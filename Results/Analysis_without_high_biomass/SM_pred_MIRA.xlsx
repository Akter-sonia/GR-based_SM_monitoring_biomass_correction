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3rd_paper_cleaned\Analysis_without_high_biomass\"/>
    </mc:Choice>
  </mc:AlternateContent>
  <xr:revisionPtr revIDLastSave="0" documentId="13_ncr:1_{6AC9B711-AC90-482D-B9EC-B07738EC0F5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elhausen_SM_Kdose_daily" sheetId="1" r:id="rId1"/>
    <sheet name="Sheet1" sheetId="2" r:id="rId2"/>
  </sheets>
  <definedNames>
    <definedName name="solver_adj" localSheetId="0" hidden="1">selhausen_SM_Kdose_daily!$B$2,selhausen_SM_Kdose_daily!$B$4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selhausen_SM_Kdose_daily!$K$6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1" l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8" i="1"/>
  <c r="O6" i="1" l="1" a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231" i="1" l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8" i="1"/>
  <c r="F8" i="1"/>
  <c r="P6" i="1" l="1" a="1"/>
  <c r="K6" i="1" a="1"/>
  <c r="K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<sst xmlns="http://schemas.openxmlformats.org/spreadsheetml/2006/main" count="442" uniqueCount="433">
  <si>
    <t>Timestamp GMT</t>
  </si>
  <si>
    <t>Parameters</t>
  </si>
  <si>
    <t>Estimates</t>
  </si>
  <si>
    <t>Ndry</t>
  </si>
  <si>
    <t>BD</t>
  </si>
  <si>
    <t>ratio</t>
  </si>
  <si>
    <t>R-squared</t>
  </si>
  <si>
    <t>RMSE</t>
  </si>
  <si>
    <t>SM_predicted_empirical</t>
  </si>
  <si>
    <t>K-dose prediction</t>
  </si>
  <si>
    <t xml:space="preserve">Empirical </t>
  </si>
  <si>
    <t>SM prediction</t>
  </si>
  <si>
    <t>SM_ref</t>
  </si>
  <si>
    <t>SM_predicted_theory</t>
  </si>
  <si>
    <t>Beta</t>
  </si>
  <si>
    <t>R2</t>
  </si>
  <si>
    <t>0-3.5</t>
  </si>
  <si>
    <t>0-7.5</t>
  </si>
  <si>
    <t>0-15</t>
  </si>
  <si>
    <t>Sensitivity weighted SM</t>
  </si>
  <si>
    <t>0-25</t>
  </si>
  <si>
    <t>BWE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</si>
  <si>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</si>
  <si>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</si>
  <si>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</si>
  <si>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</si>
  <si>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</si>
  <si>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</si>
  <si>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</si>
  <si>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</si>
  <si>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</si>
  <si>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</si>
  <si>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</si>
  <si>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</si>
  <si>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</si>
  <si>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</si>
  <si>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</si>
  <si>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</si>
  <si>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</si>
  <si>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</si>
  <si>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</si>
  <si>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</si>
  <si>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</si>
  <si>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</si>
  <si>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</si>
  <si>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</si>
  <si>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</si>
  <si>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</si>
  <si>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</si>
  <si>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</si>
  <si>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</si>
  <si>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</si>
  <si>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</si>
  <si>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</si>
  <si>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</si>
  <si>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</si>
  <si>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</si>
  <si>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</si>
  <si>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</si>
  <si>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</si>
  <si>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</si>
  <si>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</si>
  <si>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</si>
  <si>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</si>
  <si>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</si>
  <si>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</si>
  <si>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</si>
  <si>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</si>
  <si>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</si>
  <si>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</si>
  <si>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</si>
  <si>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</si>
  <si>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</si>
  <si>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</si>
  <si>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</si>
  <si>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</si>
  <si>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</si>
  <si>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</si>
  <si>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</si>
  <si>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</si>
  <si>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</si>
  <si>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</si>
  <si>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</si>
  <si>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</si>
  <si>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</si>
  <si>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</si>
  <si>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</si>
  <si>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</si>
  <si>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</si>
  <si>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</si>
  <si>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</si>
  <si>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</si>
  <si>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</si>
  <si>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</si>
  <si>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</si>
  <si>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</si>
  <si>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</si>
  <si>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</si>
  <si>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</si>
  <si>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</si>
  <si>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</si>
  <si>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</si>
  <si>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</si>
  <si>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</si>
  <si>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</si>
  <si>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</si>
  <si>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</si>
  <si>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</si>
  <si>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</si>
  <si>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</si>
  <si>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</si>
  <si>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</si>
  <si>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</si>
  <si>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</si>
  <si>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</si>
  <si>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</si>
  <si>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</si>
  <si>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</si>
  <si>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</si>
  <si>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</si>
  <si>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</si>
  <si>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</si>
  <si>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</si>
  <si>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</si>
  <si>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</si>
  <si>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</si>
  <si>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</si>
  <si>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</si>
  <si>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</si>
  <si>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</si>
  <si>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</si>
  <si>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</si>
  <si>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</si>
  <si>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</si>
  <si>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</si>
  <si>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</si>
  <si>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</si>
  <si>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</si>
  <si>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</si>
  <si>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</si>
  <si>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</si>
  <si>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</si>
  <si>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</si>
  <si>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</si>
  <si>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</si>
  <si>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</si>
  <si>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</si>
  <si>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</si>
  <si>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</si>
  <si>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</si>
  <si>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</si>
  <si>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</si>
  <si>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</si>
  <si>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</si>
  <si>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</si>
  <si>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</si>
  <si>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</si>
  <si>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</si>
  <si>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</si>
  <si>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</si>
  <si>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</si>
  <si>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</si>
  <si>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</si>
  <si>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</si>
  <si>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</si>
  <si>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</si>
  <si>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</si>
  <si>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</si>
  <si>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</si>
  <si>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</si>
  <si>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</si>
  <si>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</si>
  <si>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</si>
  <si>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</si>
  <si>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</si>
  <si>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</si>
  <si>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</si>
  <si>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</si>
  <si>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</si>
  <si>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</si>
  <si>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</si>
  <si>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</si>
  <si>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</si>
  <si>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</si>
  <si>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</si>
  <si>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</si>
  <si>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</si>
  <si>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</si>
  <si>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</si>
  <si>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</si>
  <si>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</si>
  <si>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</si>
  <si>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</si>
  <si>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</si>
  <si>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</si>
  <si>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</si>
  <si>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</si>
  <si>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</si>
  <si>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</si>
  <si>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</si>
  <si>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</si>
  <si>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</si>
  <si>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</si>
  <si>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</si>
  <si>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</si>
  <si>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</si>
  <si>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</si>
  <si>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</si>
  <si>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</si>
  <si>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</si>
  <si>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</si>
  <si>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</si>
  <si>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</si>
  <si>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</si>
  <si>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</si>
  <si>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</si>
  <si>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</si>
  <si>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</si>
  <si>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</si>
  <si>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</si>
  <si>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</si>
  <si>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</si>
  <si>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</si>
  <si>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</si>
  <si>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</si>
  <si>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</si>
  <si>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</si>
  <si>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</si>
  <si>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</si>
  <si>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</si>
  <si>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</si>
  <si>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</si>
  <si>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</si>
  <si>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</si>
  <si>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</si>
  <si>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</si>
  <si>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</si>
  <si>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</si>
  <si>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</si>
  <si>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</si>
  <si>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</si>
  <si>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</si>
  <si>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</si>
  <si>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</si>
  <si>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</si>
  <si>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</si>
  <si>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</si>
  <si>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</si>
  <si>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</si>
  <si>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</si>
  <si>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beta</t>
  </si>
  <si>
    <t>Corrected_MIRA_EGR</t>
  </si>
  <si>
    <t>Predicted_MIRA_EGR</t>
  </si>
  <si>
    <t>MIRA_EGR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</si>
  <si>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</si>
  <si>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</si>
  <si>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</si>
  <si>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</si>
  <si>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</si>
  <si>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</si>
  <si>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</si>
  <si>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</si>
  <si>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</si>
  <si>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</si>
  <si>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</si>
  <si>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</si>
  <si>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</si>
  <si>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</si>
  <si>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</si>
  <si>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</si>
  <si>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</si>
  <si>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</si>
  <si>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</si>
  <si>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</si>
  <si>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</si>
  <si>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</si>
  <si>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</si>
  <si>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</si>
  <si>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</si>
  <si>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</si>
  <si>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</si>
  <si>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</si>
  <si>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</si>
  <si>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</si>
  <si>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</si>
  <si>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</si>
  <si>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</si>
  <si>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</si>
  <si>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</si>
  <si>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</si>
  <si>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</si>
  <si>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</si>
  <si>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</si>
  <si>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</si>
  <si>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</si>
  <si>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2024-03-23 00:00:00+00:00</t>
  </si>
  <si>
    <t>2024-03-24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</si>
  <si>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</si>
  <si>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</si>
  <si>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</si>
  <si>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</si>
  <si>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</si>
  <si>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2024-03-30 00:00:00+00:00</t>
  </si>
  <si>
    <t>2024-03-31 00:00:00+00:00</t>
  </si>
  <si>
    <t>2024-04-03 00:00:00+00:00</t>
  </si>
  <si>
    <t>2024-04-04 00:00:00+00:00</t>
  </si>
  <si>
    <t>2024-04-05 00:00:00+00:00</t>
  </si>
  <si>
    <t>2024-04-06 00:00:00+00:00</t>
  </si>
  <si>
    <t>2024-04-07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</si>
  <si>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</si>
  <si>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</si>
  <si>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</si>
  <si>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</si>
  <si>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</si>
  <si>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2024-04-13 00:00:00+00:00</t>
  </si>
  <si>
    <t>2024-04-14 00:00:00+00:00</t>
  </si>
  <si>
    <t>2024-04-15 00:00:00+00:00</t>
  </si>
  <si>
    <t>2024-05-02 00:00:00+00:00</t>
  </si>
  <si>
    <t>2024-05-03 00:00:00+00:00</t>
  </si>
  <si>
    <t>2024-05-04 00:00:00+00:00</t>
  </si>
  <si>
    <t>2024-05-05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</si>
  <si>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</si>
  <si>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</si>
  <si>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</si>
  <si>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</si>
  <si>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</si>
  <si>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2024-05-11 00:00:00+00:00</t>
  </si>
  <si>
    <t>2024-05-12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</si>
  <si>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</si>
  <si>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</si>
  <si>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</si>
  <si>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</si>
  <si>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</si>
  <si>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2024-05-18 00:00:00+00:00</t>
  </si>
  <si>
    <t>2024-05-19 00:00:00+00:00</t>
  </si>
  <si>
    <t>2024-05-21 00:00:00+00:00</t>
  </si>
  <si>
    <t>2024-05-22 00:00:00+00:00</t>
  </si>
  <si>
    <t>2024-05-23 00:00:00+00:00</t>
  </si>
  <si>
    <t>2024-05-24 00:00:00+00:00</t>
  </si>
  <si>
    <t>2024-05-25 00:00:00+00:00</t>
  </si>
  <si>
    <t>2024-05-26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</si>
  <si>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</si>
  <si>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</si>
  <si>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</si>
  <si>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</si>
  <si>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</si>
  <si>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2024-06-01 00:00:00+00:00</t>
  </si>
  <si>
    <t>2024-06-02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</si>
  <si>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</si>
  <si>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</si>
  <si>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</si>
  <si>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</si>
  <si>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</si>
  <si>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2024-06-08 00:00:00+00:00</t>
  </si>
  <si>
    <t>2024-06-09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</si>
  <si>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</si>
  <si>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</si>
  <si>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</si>
  <si>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</si>
  <si>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</si>
  <si>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2024-06-15 00:00:00+00:00</t>
  </si>
  <si>
    <t>2024-06-16 00:00:00+00:00</t>
  </si>
  <si>
    <t>2024-06-17 00:00:00+00:00</t>
  </si>
  <si>
    <t>2024-06-18 00:00:00+00:00</t>
  </si>
  <si>
    <t>2024-06-21 00:00:00+00:00</t>
  </si>
  <si>
    <t>2024-06-22 00:00:00+00:00</t>
  </si>
  <si>
    <t>2024-06-23 00:00:00+00:00</t>
  </si>
  <si>
    <t>2024-06-24 00:00:00+00:00</t>
  </si>
  <si>
    <t>2024-06-25 00:00:00+00:00</t>
  </si>
  <si>
    <t>2024-06-26 00:00:00+00:00</t>
  </si>
  <si>
    <t>2024-09-16 00:00:00+00:00</t>
  </si>
  <si>
    <t>2024-09-17 00:00:00+00:00</t>
  </si>
  <si>
    <t>2024-10-31 00:00:00+00:00</t>
  </si>
  <si>
    <t>2024-11-01 00:00:00+00:00</t>
  </si>
  <si>
    <t>2024-11-02 00:00:00+00:00</t>
  </si>
  <si>
    <t>2024-11-03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</si>
  <si>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</si>
  <si>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</si>
  <si>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</si>
  <si>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</si>
  <si>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</si>
  <si>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2024-11-09 00:00:00+00:00</t>
  </si>
  <si>
    <t>2024-11-10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</si>
  <si>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</si>
  <si>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</si>
  <si>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</si>
  <si>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</si>
  <si>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</si>
  <si>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2024-11-16 00:00:00+00:00</t>
  </si>
  <si>
    <t>2024-11-17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</si>
  <si>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</si>
  <si>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</si>
  <si>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</si>
  <si>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</si>
  <si>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</si>
  <si>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2024-11-23 00:00:00+00:00</t>
  </si>
  <si>
    <t>2024-11-24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</si>
  <si>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</si>
  <si>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</si>
  <si>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</si>
  <si>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</si>
  <si>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</si>
  <si>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2024-11-30 00:00:00+00:00</t>
  </si>
  <si>
    <t>2024-12-01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</si>
  <si>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</si>
  <si>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</si>
  <si>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</si>
  <si>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</si>
  <si>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</si>
  <si>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2024-12-07 00:00:00+00:00</t>
  </si>
  <si>
    <t>2024-12-08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</si>
  <si>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</si>
  <si>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</si>
  <si>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</si>
  <si>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</si>
  <si>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</si>
  <si>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2024-12-14 00:00:00+00:00</t>
  </si>
  <si>
    <t>2024-12-15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</si>
  <si>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</si>
  <si>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</si>
  <si>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</si>
  <si>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</si>
  <si>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</si>
  <si>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2024-12-21 00:00:00+00:00</t>
  </si>
  <si>
    <t>2024-12-22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</si>
  <si>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</si>
  <si>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</si>
  <si>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</si>
  <si>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</si>
  <si>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</si>
  <si>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2024-12-28 00:00:00+00:00</t>
  </si>
  <si>
    <t>2024-12-29 00:00:00+00:00</t>
  </si>
  <si>
    <t>2024-12-30 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</si>
</sst>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Kdose_SM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42541557305337E-2"/>
                  <c:y val="-0.55723935549722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36.827739288057799</c:v>
                </c:pt>
                <c:pt idx="229">
                  <c:v>36.502086615008203</c:v>
                </c:pt>
                <c:pt idx="230">
                  <c:v>37.820905597170601</c:v>
                </c:pt>
                <c:pt idx="231">
                  <c:v>37.385703514750197</c:v>
                </c:pt>
                <c:pt idx="232">
                  <c:v>36.330821405988701</c:v>
                </c:pt>
                <c:pt idx="233">
                  <c:v>38.522220074486697</c:v>
                </c:pt>
                <c:pt idx="234">
                  <c:v>39.199029022511397</c:v>
                </c:pt>
                <c:pt idx="235">
                  <c:v>38.994992077880099</c:v>
                </c:pt>
                <c:pt idx="236">
                  <c:v>38.558119855760197</c:v>
                </c:pt>
                <c:pt idx="237">
                  <c:v>38.523438943215801</c:v>
                </c:pt>
                <c:pt idx="238">
                  <c:v>37.951135763560401</c:v>
                </c:pt>
                <c:pt idx="239">
                  <c:v>37.3219873750744</c:v>
                </c:pt>
                <c:pt idx="240">
                  <c:v>36.929590288939401</c:v>
                </c:pt>
                <c:pt idx="241">
                  <c:v>37.077414175641501</c:v>
                </c:pt>
                <c:pt idx="242">
                  <c:v>36.905670172037802</c:v>
                </c:pt>
                <c:pt idx="243">
                  <c:v>37.364110724335703</c:v>
                </c:pt>
                <c:pt idx="244">
                  <c:v>37.744059991978702</c:v>
                </c:pt>
                <c:pt idx="245">
                  <c:v>38.451154163460501</c:v>
                </c:pt>
                <c:pt idx="246">
                  <c:v>38.264715277809898</c:v>
                </c:pt>
                <c:pt idx="247">
                  <c:v>37.437937154580602</c:v>
                </c:pt>
                <c:pt idx="248">
                  <c:v>38.649393085200501</c:v>
                </c:pt>
                <c:pt idx="249">
                  <c:v>38.492626629082899</c:v>
                </c:pt>
                <c:pt idx="250">
                  <c:v>37.409015079073001</c:v>
                </c:pt>
                <c:pt idx="251">
                  <c:v>36.832495049798197</c:v>
                </c:pt>
                <c:pt idx="252">
                  <c:v>38.891737159288901</c:v>
                </c:pt>
                <c:pt idx="253">
                  <c:v>38.694481583835099</c:v>
                </c:pt>
                <c:pt idx="254">
                  <c:v>37.887614657947402</c:v>
                </c:pt>
                <c:pt idx="255">
                  <c:v>37.644267541068402</c:v>
                </c:pt>
                <c:pt idx="256">
                  <c:v>37.714892073714701</c:v>
                </c:pt>
                <c:pt idx="257">
                  <c:v>37.785516606361</c:v>
                </c:pt>
                <c:pt idx="258">
                  <c:v>38.3216019609401</c:v>
                </c:pt>
                <c:pt idx="259">
                  <c:v>38.709285472713503</c:v>
                </c:pt>
                <c:pt idx="260">
                  <c:v>37.456798997182503</c:v>
                </c:pt>
                <c:pt idx="261">
                  <c:v>36.844163778936199</c:v>
                </c:pt>
                <c:pt idx="262">
                  <c:v>38.224117367542597</c:v>
                </c:pt>
                <c:pt idx="263">
                  <c:v>37.1468579436063</c:v>
                </c:pt>
                <c:pt idx="264">
                  <c:v>36.717923589951901</c:v>
                </c:pt>
                <c:pt idx="265">
                  <c:v>36.1140824782252</c:v>
                </c:pt>
                <c:pt idx="266">
                  <c:v>35.4904756034882</c:v>
                </c:pt>
                <c:pt idx="267">
                  <c:v>34.9526329184134</c:v>
                </c:pt>
                <c:pt idx="268">
                  <c:v>34.733795326231601</c:v>
                </c:pt>
                <c:pt idx="269">
                  <c:v>36.320441281008002</c:v>
                </c:pt>
                <c:pt idx="270">
                  <c:v>37.5800935134939</c:v>
                </c:pt>
                <c:pt idx="271">
                  <c:v>37.006157454053998</c:v>
                </c:pt>
                <c:pt idx="272">
                  <c:v>35.932403876890902</c:v>
                </c:pt>
                <c:pt idx="273">
                  <c:v>36.254133463046898</c:v>
                </c:pt>
                <c:pt idx="274">
                  <c:v>36.390973332691502</c:v>
                </c:pt>
                <c:pt idx="275">
                  <c:v>36.008973915065198</c:v>
                </c:pt>
                <c:pt idx="276">
                  <c:v>35.9239697832028</c:v>
                </c:pt>
                <c:pt idx="277">
                  <c:v>35.838965651340402</c:v>
                </c:pt>
                <c:pt idx="278">
                  <c:v>35.502528596995298</c:v>
                </c:pt>
                <c:pt idx="279">
                  <c:v>36.699949187168897</c:v>
                </c:pt>
                <c:pt idx="280">
                  <c:v>36.536614010711297</c:v>
                </c:pt>
                <c:pt idx="281">
                  <c:v>35.3305826550299</c:v>
                </c:pt>
                <c:pt idx="282">
                  <c:v>34.201074692677899</c:v>
                </c:pt>
                <c:pt idx="283">
                  <c:v>34.403486905825503</c:v>
                </c:pt>
                <c:pt idx="284">
                  <c:v>33.855690507900697</c:v>
                </c:pt>
                <c:pt idx="285">
                  <c:v>33.351948487343698</c:v>
                </c:pt>
                <c:pt idx="286">
                  <c:v>32.841713263601797</c:v>
                </c:pt>
                <c:pt idx="287">
                  <c:v>32.4797632307071</c:v>
                </c:pt>
                <c:pt idx="288">
                  <c:v>32.103782964479898</c:v>
                </c:pt>
                <c:pt idx="289">
                  <c:v>31.742797573479098</c:v>
                </c:pt>
                <c:pt idx="290">
                  <c:v>31.381812182478299</c:v>
                </c:pt>
                <c:pt idx="291">
                  <c:v>26.831183762971801</c:v>
                </c:pt>
                <c:pt idx="292">
                  <c:v>34.518864171282701</c:v>
                </c:pt>
                <c:pt idx="293">
                  <c:v>35.2391245748125</c:v>
                </c:pt>
                <c:pt idx="294">
                  <c:v>35.778244035441197</c:v>
                </c:pt>
                <c:pt idx="295">
                  <c:v>35.945191989545997</c:v>
                </c:pt>
                <c:pt idx="296">
                  <c:v>38.786420794270299</c:v>
                </c:pt>
                <c:pt idx="297">
                  <c:v>37.327950427753798</c:v>
                </c:pt>
                <c:pt idx="298">
                  <c:v>36.144562939614801</c:v>
                </c:pt>
                <c:pt idx="299">
                  <c:v>34.735708502413402</c:v>
                </c:pt>
                <c:pt idx="300">
                  <c:v>33.465459648726799</c:v>
                </c:pt>
                <c:pt idx="301">
                  <c:v>32.308438444707399</c:v>
                </c:pt>
                <c:pt idx="302">
                  <c:v>31.300998297678699</c:v>
                </c:pt>
                <c:pt idx="303">
                  <c:v>30.469237327995899</c:v>
                </c:pt>
                <c:pt idx="304">
                  <c:v>30.168969211969401</c:v>
                </c:pt>
                <c:pt idx="305">
                  <c:v>32.0910279215949</c:v>
                </c:pt>
                <c:pt idx="306">
                  <c:v>31.862592664967799</c:v>
                </c:pt>
                <c:pt idx="307">
                  <c:v>31.4583462654731</c:v>
                </c:pt>
                <c:pt idx="308">
                  <c:v>31.062609024766999</c:v>
                </c:pt>
                <c:pt idx="309">
                  <c:v>30.994080608836001</c:v>
                </c:pt>
                <c:pt idx="310">
                  <c:v>32.7750177828378</c:v>
                </c:pt>
                <c:pt idx="311">
                  <c:v>32.065218593262003</c:v>
                </c:pt>
                <c:pt idx="312">
                  <c:v>34.802265302004301</c:v>
                </c:pt>
                <c:pt idx="313">
                  <c:v>36.065530825288597</c:v>
                </c:pt>
                <c:pt idx="314">
                  <c:v>34.739342932042398</c:v>
                </c:pt>
                <c:pt idx="315">
                  <c:v>34.122340470902699</c:v>
                </c:pt>
                <c:pt idx="316">
                  <c:v>34.492350777914901</c:v>
                </c:pt>
                <c:pt idx="317">
                  <c:v>34.037416416620601</c:v>
                </c:pt>
                <c:pt idx="318">
                  <c:v>37.0387419568141</c:v>
                </c:pt>
                <c:pt idx="319">
                  <c:v>36.461872022930798</c:v>
                </c:pt>
                <c:pt idx="320">
                  <c:v>35.498626930236597</c:v>
                </c:pt>
                <c:pt idx="321">
                  <c:v>35.928328229430001</c:v>
                </c:pt>
                <c:pt idx="322">
                  <c:v>35.126552158502001</c:v>
                </c:pt>
                <c:pt idx="323">
                  <c:v>34.1167529843746</c:v>
                </c:pt>
                <c:pt idx="324">
                  <c:v>33.224320606064701</c:v>
                </c:pt>
                <c:pt idx="325">
                  <c:v>32.518967356221502</c:v>
                </c:pt>
                <c:pt idx="326">
                  <c:v>31.557899166655702</c:v>
                </c:pt>
                <c:pt idx="327">
                  <c:v>30.590635727977698</c:v>
                </c:pt>
                <c:pt idx="328">
                  <c:v>29.7898125302466</c:v>
                </c:pt>
                <c:pt idx="329">
                  <c:v>29.1723054063017</c:v>
                </c:pt>
                <c:pt idx="330">
                  <c:v>28.944480207266501</c:v>
                </c:pt>
                <c:pt idx="331">
                  <c:v>28.5637140906992</c:v>
                </c:pt>
                <c:pt idx="332">
                  <c:v>28.3356722144595</c:v>
                </c:pt>
                <c:pt idx="333">
                  <c:v>27.8769048488621</c:v>
                </c:pt>
                <c:pt idx="334">
                  <c:v>27.662044485460701</c:v>
                </c:pt>
                <c:pt idx="335">
                  <c:v>27.326281992673099</c:v>
                </c:pt>
                <c:pt idx="336">
                  <c:v>27.385899725779801</c:v>
                </c:pt>
                <c:pt idx="337">
                  <c:v>29.5353925470143</c:v>
                </c:pt>
                <c:pt idx="338">
                  <c:v>34.350204460009799</c:v>
                </c:pt>
                <c:pt idx="339">
                  <c:v>34.704479509313899</c:v>
                </c:pt>
                <c:pt idx="340">
                  <c:v>32.800289756108803</c:v>
                </c:pt>
                <c:pt idx="341">
                  <c:v>31.089399471392699</c:v>
                </c:pt>
                <c:pt idx="342">
                  <c:v>29.9702984372367</c:v>
                </c:pt>
                <c:pt idx="343">
                  <c:v>28.691059373047299</c:v>
                </c:pt>
                <c:pt idx="344">
                  <c:v>25.651812184132002</c:v>
                </c:pt>
                <c:pt idx="345">
                  <c:v>25.644585580873201</c:v>
                </c:pt>
                <c:pt idx="346">
                  <c:v>25.704669784903</c:v>
                </c:pt>
                <c:pt idx="347">
                  <c:v>25.524946577219801</c:v>
                </c:pt>
                <c:pt idx="348">
                  <c:v>25.378913774904198</c:v>
                </c:pt>
                <c:pt idx="349">
                  <c:v>25.242158586146701</c:v>
                </c:pt>
                <c:pt idx="350">
                  <c:v>25.067398879416999</c:v>
                </c:pt>
                <c:pt idx="351">
                  <c:v>24.907534436572998</c:v>
                </c:pt>
                <c:pt idx="352">
                  <c:v>24.8047357611104</c:v>
                </c:pt>
                <c:pt idx="353">
                  <c:v>24.830965556009001</c:v>
                </c:pt>
                <c:pt idx="354">
                  <c:v>24.7153816619062</c:v>
                </c:pt>
                <c:pt idx="355">
                  <c:v>24.609987020952701</c:v>
                </c:pt>
                <c:pt idx="356">
                  <c:v>24.548865205684098</c:v>
                </c:pt>
                <c:pt idx="357">
                  <c:v>25.092118600356699</c:v>
                </c:pt>
                <c:pt idx="358">
                  <c:v>30.494581167153999</c:v>
                </c:pt>
                <c:pt idx="359">
                  <c:v>29.756301592032699</c:v>
                </c:pt>
                <c:pt idx="360">
                  <c:v>31.0129393030074</c:v>
                </c:pt>
                <c:pt idx="361">
                  <c:v>31.105628316753201</c:v>
                </c:pt>
                <c:pt idx="362">
                  <c:v>30.582460661745898</c:v>
                </c:pt>
                <c:pt idx="363">
                  <c:v>31.868333880808699</c:v>
                </c:pt>
                <c:pt idx="364">
                  <c:v>34.478083042584601</c:v>
                </c:pt>
                <c:pt idx="365">
                  <c:v>36.670393613875802</c:v>
                </c:pt>
                <c:pt idx="366">
                  <c:v>36.752385835974501</c:v>
                </c:pt>
                <c:pt idx="367">
                  <c:v>36.363554659059503</c:v>
                </c:pt>
                <c:pt idx="368">
                  <c:v>35.408974394312402</c:v>
                </c:pt>
                <c:pt idx="369">
                  <c:v>36.0267540933433</c:v>
                </c:pt>
                <c:pt idx="370">
                  <c:v>35.202150482981899</c:v>
                </c:pt>
                <c:pt idx="371">
                  <c:v>33.978632949764602</c:v>
                </c:pt>
                <c:pt idx="372">
                  <c:v>33.881251988418803</c:v>
                </c:pt>
                <c:pt idx="373">
                  <c:v>33.680472559087697</c:v>
                </c:pt>
                <c:pt idx="374">
                  <c:v>33.522864355579301</c:v>
                </c:pt>
                <c:pt idx="375">
                  <c:v>33.250008972594699</c:v>
                </c:pt>
                <c:pt idx="376">
                  <c:v>32.920701844085499</c:v>
                </c:pt>
                <c:pt idx="377">
                  <c:v>32.6365692391377</c:v>
                </c:pt>
                <c:pt idx="378">
                  <c:v>32.901828619733003</c:v>
                </c:pt>
                <c:pt idx="379">
                  <c:v>33.843721689773297</c:v>
                </c:pt>
                <c:pt idx="380">
                  <c:v>33.8397785579551</c:v>
                </c:pt>
                <c:pt idx="381">
                  <c:v>34.362193350928102</c:v>
                </c:pt>
                <c:pt idx="382">
                  <c:v>36.151065321793602</c:v>
                </c:pt>
                <c:pt idx="383">
                  <c:v>35.102276247107497</c:v>
                </c:pt>
                <c:pt idx="384">
                  <c:v>34.589577186762</c:v>
                </c:pt>
                <c:pt idx="385">
                  <c:v>34.597926126721703</c:v>
                </c:pt>
                <c:pt idx="386">
                  <c:v>35.034692047449397</c:v>
                </c:pt>
                <c:pt idx="387">
                  <c:v>34.742557310828197</c:v>
                </c:pt>
                <c:pt idx="388">
                  <c:v>34.420257618638402</c:v>
                </c:pt>
                <c:pt idx="389">
                  <c:v>34.0611903858197</c:v>
                </c:pt>
                <c:pt idx="390">
                  <c:v>33.7256732440419</c:v>
                </c:pt>
                <c:pt idx="391">
                  <c:v>34.601165085075202</c:v>
                </c:pt>
                <c:pt idx="392">
                  <c:v>34.394010868605399</c:v>
                </c:pt>
              </c:numCache>
            </c:numRef>
          </c:xVal>
          <c:yVal>
            <c:numRef>
              <c:f>selhausen_SM_Kdose_daily!$B$8:$B$400</c:f>
              <c:numCache>
                <c:formatCode>General</c:formatCode>
                <c:ptCount val="393"/>
                <c:pt idx="0">
                  <c:v>89.677773672228</c:v>
                </c:pt>
                <c:pt idx="1">
                  <c:v>90.551369069587096</c:v>
                </c:pt>
                <c:pt idx="2">
                  <c:v>90.906757031458199</c:v>
                </c:pt>
                <c:pt idx="3">
                  <c:v>91.598697775433195</c:v>
                </c:pt>
                <c:pt idx="4">
                  <c:v>91.534481291355803</c:v>
                </c:pt>
                <c:pt idx="5">
                  <c:v>91.596326090495893</c:v>
                </c:pt>
                <c:pt idx="6">
                  <c:v>91.562559274159696</c:v>
                </c:pt>
                <c:pt idx="7">
                  <c:v>91.852236804325003</c:v>
                </c:pt>
                <c:pt idx="8">
                  <c:v>92.599630677359102</c:v>
                </c:pt>
                <c:pt idx="9">
                  <c:v>93.9574357211782</c:v>
                </c:pt>
                <c:pt idx="10">
                  <c:v>94.397145473936405</c:v>
                </c:pt>
                <c:pt idx="11">
                  <c:v>93.360727318346605</c:v>
                </c:pt>
                <c:pt idx="12">
                  <c:v>91.493680671329301</c:v>
                </c:pt>
                <c:pt idx="13">
                  <c:v>90.602716615175694</c:v>
                </c:pt>
                <c:pt idx="14">
                  <c:v>90.173977053680005</c:v>
                </c:pt>
                <c:pt idx="15">
                  <c:v>90.651394417558507</c:v>
                </c:pt>
                <c:pt idx="16">
                  <c:v>91.881430113799993</c:v>
                </c:pt>
                <c:pt idx="17">
                  <c:v>92.062789814456096</c:v>
                </c:pt>
                <c:pt idx="18">
                  <c:v>91.416558199218699</c:v>
                </c:pt>
                <c:pt idx="19">
                  <c:v>90.060859484378497</c:v>
                </c:pt>
                <c:pt idx="20">
                  <c:v>90.066895924202498</c:v>
                </c:pt>
                <c:pt idx="21">
                  <c:v>90.545565513363997</c:v>
                </c:pt>
                <c:pt idx="22">
                  <c:v>90.969161485897004</c:v>
                </c:pt>
                <c:pt idx="23">
                  <c:v>91.249585832524204</c:v>
                </c:pt>
                <c:pt idx="24">
                  <c:v>91.645203798133593</c:v>
                </c:pt>
                <c:pt idx="25">
                  <c:v>91.803241339848697</c:v>
                </c:pt>
                <c:pt idx="26">
                  <c:v>91.720438512182696</c:v>
                </c:pt>
                <c:pt idx="27">
                  <c:v>91.745912789318794</c:v>
                </c:pt>
                <c:pt idx="28">
                  <c:v>91.507326870385398</c:v>
                </c:pt>
                <c:pt idx="29">
                  <c:v>91.644206125434707</c:v>
                </c:pt>
                <c:pt idx="30">
                  <c:v>91.303548147706195</c:v>
                </c:pt>
                <c:pt idx="31">
                  <c:v>90.322008320383702</c:v>
                </c:pt>
                <c:pt idx="32">
                  <c:v>89.340468493061195</c:v>
                </c:pt>
                <c:pt idx="33">
                  <c:v>88.358928665738603</c:v>
                </c:pt>
                <c:pt idx="34">
                  <c:v>89.022057709365896</c:v>
                </c:pt>
                <c:pt idx="35">
                  <c:v>88.961398625484705</c:v>
                </c:pt>
                <c:pt idx="36">
                  <c:v>89.262633605357706</c:v>
                </c:pt>
                <c:pt idx="37">
                  <c:v>88.5183617897179</c:v>
                </c:pt>
                <c:pt idx="38">
                  <c:v>88.811391238735197</c:v>
                </c:pt>
                <c:pt idx="39">
                  <c:v>88.811391238735197</c:v>
                </c:pt>
                <c:pt idx="40">
                  <c:v>89.426139355757002</c:v>
                </c:pt>
                <c:pt idx="41">
                  <c:v>89.504815171102194</c:v>
                </c:pt>
                <c:pt idx="42">
                  <c:v>89.583490986447401</c:v>
                </c:pt>
                <c:pt idx="43">
                  <c:v>89.662166801792594</c:v>
                </c:pt>
                <c:pt idx="44">
                  <c:v>89.740842617137901</c:v>
                </c:pt>
                <c:pt idx="45">
                  <c:v>89.795328694899894</c:v>
                </c:pt>
                <c:pt idx="46">
                  <c:v>89.7828712783528</c:v>
                </c:pt>
                <c:pt idx="47">
                  <c:v>89.8038856089603</c:v>
                </c:pt>
                <c:pt idx="48">
                  <c:v>89.757956445258699</c:v>
                </c:pt>
                <c:pt idx="49">
                  <c:v>88.859896272863907</c:v>
                </c:pt>
                <c:pt idx="50">
                  <c:v>88.892492160347899</c:v>
                </c:pt>
                <c:pt idx="51">
                  <c:v>89.094109797226295</c:v>
                </c:pt>
                <c:pt idx="52">
                  <c:v>89.344226540977701</c:v>
                </c:pt>
                <c:pt idx="53">
                  <c:v>89.119569500007103</c:v>
                </c:pt>
                <c:pt idx="54">
                  <c:v>88.930681714519096</c:v>
                </c:pt>
                <c:pt idx="55">
                  <c:v>88.5701311248595</c:v>
                </c:pt>
                <c:pt idx="56">
                  <c:v>88.700264816024401</c:v>
                </c:pt>
                <c:pt idx="57">
                  <c:v>88.918572194713903</c:v>
                </c:pt>
                <c:pt idx="58">
                  <c:v>89.5495486254799</c:v>
                </c:pt>
                <c:pt idx="59">
                  <c:v>90.757166084065602</c:v>
                </c:pt>
                <c:pt idx="60">
                  <c:v>90.5043670331399</c:v>
                </c:pt>
                <c:pt idx="61">
                  <c:v>89.756343386965895</c:v>
                </c:pt>
                <c:pt idx="62">
                  <c:v>89.095721739831106</c:v>
                </c:pt>
                <c:pt idx="63">
                  <c:v>90.239644827134896</c:v>
                </c:pt>
                <c:pt idx="64">
                  <c:v>92.566447197078702</c:v>
                </c:pt>
                <c:pt idx="65">
                  <c:v>93.750543132629204</c:v>
                </c:pt>
                <c:pt idx="66">
                  <c:v>94.120033129113196</c:v>
                </c:pt>
                <c:pt idx="67">
                  <c:v>93.1098543209459</c:v>
                </c:pt>
                <c:pt idx="68">
                  <c:v>91.082009602965101</c:v>
                </c:pt>
                <c:pt idx="69">
                  <c:v>89.768413424269696</c:v>
                </c:pt>
                <c:pt idx="70">
                  <c:v>90.2293218302528</c:v>
                </c:pt>
                <c:pt idx="71">
                  <c:v>91.700804979837898</c:v>
                </c:pt>
                <c:pt idx="72">
                  <c:v>91.715807056327094</c:v>
                </c:pt>
                <c:pt idx="73">
                  <c:v>91.495251187564506</c:v>
                </c:pt>
                <c:pt idx="74">
                  <c:v>91.329362977450998</c:v>
                </c:pt>
                <c:pt idx="75">
                  <c:v>91.054007384346605</c:v>
                </c:pt>
                <c:pt idx="76">
                  <c:v>91.410734442009698</c:v>
                </c:pt>
                <c:pt idx="77">
                  <c:v>91.975721483910704</c:v>
                </c:pt>
                <c:pt idx="78">
                  <c:v>92.355064156218702</c:v>
                </c:pt>
                <c:pt idx="79">
                  <c:v>93.458569631857998</c:v>
                </c:pt>
                <c:pt idx="80">
                  <c:v>95.015618191101098</c:v>
                </c:pt>
                <c:pt idx="81">
                  <c:v>97.384275108232004</c:v>
                </c:pt>
                <c:pt idx="82">
                  <c:v>99.042906602458004</c:v>
                </c:pt>
                <c:pt idx="83">
                  <c:v>99.494081823690195</c:v>
                </c:pt>
                <c:pt idx="84">
                  <c:v>99.211957202066699</c:v>
                </c:pt>
                <c:pt idx="85">
                  <c:v>98.861545917840601</c:v>
                </c:pt>
                <c:pt idx="86">
                  <c:v>94.399364938032903</c:v>
                </c:pt>
                <c:pt idx="87">
                  <c:v>91.065741562152894</c:v>
                </c:pt>
                <c:pt idx="88">
                  <c:v>92.094807690881098</c:v>
                </c:pt>
                <c:pt idx="89">
                  <c:v>94.0729122122532</c:v>
                </c:pt>
                <c:pt idx="90">
                  <c:v>94.8296353492359</c:v>
                </c:pt>
                <c:pt idx="91">
                  <c:v>94.630571696917201</c:v>
                </c:pt>
                <c:pt idx="92">
                  <c:v>93.499750458538898</c:v>
                </c:pt>
                <c:pt idx="93">
                  <c:v>93.631058640012</c:v>
                </c:pt>
                <c:pt idx="94">
                  <c:v>94.235032184145695</c:v>
                </c:pt>
                <c:pt idx="95">
                  <c:v>93.476710704175801</c:v>
                </c:pt>
                <c:pt idx="96">
                  <c:v>92.423559398581503</c:v>
                </c:pt>
                <c:pt idx="97">
                  <c:v>91.818452009586906</c:v>
                </c:pt>
                <c:pt idx="98">
                  <c:v>93.416173028360205</c:v>
                </c:pt>
                <c:pt idx="99">
                  <c:v>95.377044136511103</c:v>
                </c:pt>
                <c:pt idx="100">
                  <c:v>97.206213402678003</c:v>
                </c:pt>
                <c:pt idx="101">
                  <c:v>98.076501453805506</c:v>
                </c:pt>
                <c:pt idx="102">
                  <c:v>97.576059962204297</c:v>
                </c:pt>
                <c:pt idx="103">
                  <c:v>96.659002544510301</c:v>
                </c:pt>
                <c:pt idx="104">
                  <c:v>96.113161711141004</c:v>
                </c:pt>
                <c:pt idx="105">
                  <c:v>96.975281159957305</c:v>
                </c:pt>
                <c:pt idx="106">
                  <c:v>97.017747919760296</c:v>
                </c:pt>
                <c:pt idx="107">
                  <c:v>96.394397570364106</c:v>
                </c:pt>
                <c:pt idx="108">
                  <c:v>94.922803602643299</c:v>
                </c:pt>
                <c:pt idx="109">
                  <c:v>94.384435568187797</c:v>
                </c:pt>
                <c:pt idx="110">
                  <c:v>95.020113137866005</c:v>
                </c:pt>
                <c:pt idx="111">
                  <c:v>96.315618137055694</c:v>
                </c:pt>
                <c:pt idx="112">
                  <c:v>97.258049580656404</c:v>
                </c:pt>
                <c:pt idx="113">
                  <c:v>97.832042227328202</c:v>
                </c:pt>
                <c:pt idx="114">
                  <c:v>97.898419865526606</c:v>
                </c:pt>
                <c:pt idx="115">
                  <c:v>98.234976448962001</c:v>
                </c:pt>
                <c:pt idx="116">
                  <c:v>98.250446014751802</c:v>
                </c:pt>
                <c:pt idx="117">
                  <c:v>96.877085535032194</c:v>
                </c:pt>
                <c:pt idx="118">
                  <c:v>95.364328834056806</c:v>
                </c:pt>
                <c:pt idx="119">
                  <c:v>94.317387533320499</c:v>
                </c:pt>
                <c:pt idx="120">
                  <c:v>95.145112336871705</c:v>
                </c:pt>
                <c:pt idx="121">
                  <c:v>96.981183610423997</c:v>
                </c:pt>
                <c:pt idx="122">
                  <c:v>96.760019144796402</c:v>
                </c:pt>
                <c:pt idx="123">
                  <c:v>96.924166522213397</c:v>
                </c:pt>
                <c:pt idx="124">
                  <c:v>92.035587652251195</c:v>
                </c:pt>
                <c:pt idx="125">
                  <c:v>89.830729237174594</c:v>
                </c:pt>
                <c:pt idx="126">
                  <c:v>89.830729237174594</c:v>
                </c:pt>
                <c:pt idx="127">
                  <c:v>91.972532974476195</c:v>
                </c:pt>
                <c:pt idx="128">
                  <c:v>91.972532974476195</c:v>
                </c:pt>
                <c:pt idx="129">
                  <c:v>91.972532974476195</c:v>
                </c:pt>
                <c:pt idx="130">
                  <c:v>91.517469022951005</c:v>
                </c:pt>
                <c:pt idx="131">
                  <c:v>91.0624050714258</c:v>
                </c:pt>
                <c:pt idx="132">
                  <c:v>90.607341119900596</c:v>
                </c:pt>
                <c:pt idx="133">
                  <c:v>90.607341119900596</c:v>
                </c:pt>
                <c:pt idx="134">
                  <c:v>90.244455677829706</c:v>
                </c:pt>
                <c:pt idx="135">
                  <c:v>89.881570235758801</c:v>
                </c:pt>
                <c:pt idx="136">
                  <c:v>91.005583452012701</c:v>
                </c:pt>
                <c:pt idx="137">
                  <c:v>91.339803604534794</c:v>
                </c:pt>
                <c:pt idx="138">
                  <c:v>91.505824583556503</c:v>
                </c:pt>
                <c:pt idx="139">
                  <c:v>90.933770447962701</c:v>
                </c:pt>
                <c:pt idx="140">
                  <c:v>90.667362827212102</c:v>
                </c:pt>
                <c:pt idx="141">
                  <c:v>90.080000950559693</c:v>
                </c:pt>
                <c:pt idx="142">
                  <c:v>90.371735268587699</c:v>
                </c:pt>
                <c:pt idx="143">
                  <c:v>90.682209063605896</c:v>
                </c:pt>
                <c:pt idx="144">
                  <c:v>91.288637215569295</c:v>
                </c:pt>
                <c:pt idx="145">
                  <c:v>88.940882412275599</c:v>
                </c:pt>
                <c:pt idx="146">
                  <c:v>89.794067552010503</c:v>
                </c:pt>
                <c:pt idx="147">
                  <c:v>89.794067552010503</c:v>
                </c:pt>
                <c:pt idx="148">
                  <c:v>90.647252691745507</c:v>
                </c:pt>
                <c:pt idx="149">
                  <c:v>88.997056995398097</c:v>
                </c:pt>
                <c:pt idx="150">
                  <c:v>89.289277592101101</c:v>
                </c:pt>
                <c:pt idx="151">
                  <c:v>89.899021328055696</c:v>
                </c:pt>
                <c:pt idx="152">
                  <c:v>90.327491650394506</c:v>
                </c:pt>
                <c:pt idx="153">
                  <c:v>90.195765692442606</c:v>
                </c:pt>
                <c:pt idx="154">
                  <c:v>89.555255527380396</c:v>
                </c:pt>
                <c:pt idx="155">
                  <c:v>89.161740558062306</c:v>
                </c:pt>
                <c:pt idx="156">
                  <c:v>89.216171175610995</c:v>
                </c:pt>
                <c:pt idx="157">
                  <c:v>89.231262260970198</c:v>
                </c:pt>
                <c:pt idx="158">
                  <c:v>89.295931864225295</c:v>
                </c:pt>
                <c:pt idx="159">
                  <c:v>88.950729600581099</c:v>
                </c:pt>
                <c:pt idx="160">
                  <c:v>88.822729750777</c:v>
                </c:pt>
                <c:pt idx="161">
                  <c:v>88.822729750777</c:v>
                </c:pt>
                <c:pt idx="162">
                  <c:v>89.194430847857305</c:v>
                </c:pt>
                <c:pt idx="163">
                  <c:v>89.701099698088598</c:v>
                </c:pt>
                <c:pt idx="164">
                  <c:v>90.218519675452796</c:v>
                </c:pt>
                <c:pt idx="165">
                  <c:v>90.674413834479793</c:v>
                </c:pt>
                <c:pt idx="166">
                  <c:v>90.781662750219098</c:v>
                </c:pt>
                <c:pt idx="167">
                  <c:v>90.687071282894493</c:v>
                </c:pt>
                <c:pt idx="168">
                  <c:v>91.061416307607303</c:v>
                </c:pt>
                <c:pt idx="169">
                  <c:v>91.4314563069466</c:v>
                </c:pt>
                <c:pt idx="170">
                  <c:v>91.485121932787493</c:v>
                </c:pt>
                <c:pt idx="171">
                  <c:v>91.013532174922503</c:v>
                </c:pt>
                <c:pt idx="172">
                  <c:v>90.634028250552007</c:v>
                </c:pt>
                <c:pt idx="173">
                  <c:v>90.109500636474394</c:v>
                </c:pt>
                <c:pt idx="174">
                  <c:v>89.490174400322402</c:v>
                </c:pt>
                <c:pt idx="175">
                  <c:v>89.199831296045602</c:v>
                </c:pt>
                <c:pt idx="176">
                  <c:v>89.184466033502403</c:v>
                </c:pt>
                <c:pt idx="177">
                  <c:v>89.126221299111293</c:v>
                </c:pt>
                <c:pt idx="178">
                  <c:v>89.733677954188806</c:v>
                </c:pt>
                <c:pt idx="179">
                  <c:v>89.666710369644306</c:v>
                </c:pt>
                <c:pt idx="180">
                  <c:v>90.041201073340602</c:v>
                </c:pt>
                <c:pt idx="181">
                  <c:v>90.013821772626898</c:v>
                </c:pt>
                <c:pt idx="182">
                  <c:v>91.399110910666394</c:v>
                </c:pt>
                <c:pt idx="183">
                  <c:v>91.4512834564635</c:v>
                </c:pt>
                <c:pt idx="184">
                  <c:v>91.358136824205204</c:v>
                </c:pt>
                <c:pt idx="185">
                  <c:v>90.331103981051697</c:v>
                </c:pt>
                <c:pt idx="186">
                  <c:v>90.464783255296695</c:v>
                </c:pt>
                <c:pt idx="187">
                  <c:v>89.718238002935905</c:v>
                </c:pt>
                <c:pt idx="188">
                  <c:v>89.718238002935905</c:v>
                </c:pt>
                <c:pt idx="189">
                  <c:v>89.260825678489994</c:v>
                </c:pt>
                <c:pt idx="190">
                  <c:v>88.622634855825495</c:v>
                </c:pt>
                <c:pt idx="191">
                  <c:v>89.057086140197001</c:v>
                </c:pt>
                <c:pt idx="192">
                  <c:v>89.655756300373596</c:v>
                </c:pt>
                <c:pt idx="193">
                  <c:v>90.262706271756997</c:v>
                </c:pt>
                <c:pt idx="194">
                  <c:v>90.202130066856697</c:v>
                </c:pt>
                <c:pt idx="195">
                  <c:v>90.309842698260397</c:v>
                </c:pt>
                <c:pt idx="196">
                  <c:v>90.029525801452493</c:v>
                </c:pt>
                <c:pt idx="197">
                  <c:v>90.141870552609106</c:v>
                </c:pt>
                <c:pt idx="198">
                  <c:v>88.519923504600797</c:v>
                </c:pt>
                <c:pt idx="199">
                  <c:v>88.144967063000706</c:v>
                </c:pt>
                <c:pt idx="200">
                  <c:v>88.426851344901607</c:v>
                </c:pt>
                <c:pt idx="201">
                  <c:v>88.920557219015706</c:v>
                </c:pt>
                <c:pt idx="202">
                  <c:v>89.378375632163298</c:v>
                </c:pt>
                <c:pt idx="203">
                  <c:v>89.667962604475093</c:v>
                </c:pt>
                <c:pt idx="204">
                  <c:v>90.133110220009598</c:v>
                </c:pt>
                <c:pt idx="205">
                  <c:v>90.642677136991793</c:v>
                </c:pt>
                <c:pt idx="206">
                  <c:v>91.556626837590898</c:v>
                </c:pt>
                <c:pt idx="207">
                  <c:v>91.416543114166799</c:v>
                </c:pt>
                <c:pt idx="208">
                  <c:v>90.846934065669203</c:v>
                </c:pt>
                <c:pt idx="209">
                  <c:v>90.285428146278406</c:v>
                </c:pt>
                <c:pt idx="210">
                  <c:v>90.414510069398503</c:v>
                </c:pt>
                <c:pt idx="211">
                  <c:v>90.916712169263704</c:v>
                </c:pt>
                <c:pt idx="212">
                  <c:v>90.866223413350099</c:v>
                </c:pt>
                <c:pt idx="213">
                  <c:v>90.815734657436593</c:v>
                </c:pt>
                <c:pt idx="214">
                  <c:v>90.765245901523002</c:v>
                </c:pt>
                <c:pt idx="215">
                  <c:v>90.714757145609397</c:v>
                </c:pt>
                <c:pt idx="216">
                  <c:v>90.664268389695806</c:v>
                </c:pt>
                <c:pt idx="217">
                  <c:v>90.613779633782201</c:v>
                </c:pt>
                <c:pt idx="218">
                  <c:v>90.563290877868695</c:v>
                </c:pt>
                <c:pt idx="219">
                  <c:v>90.512802121955104</c:v>
                </c:pt>
                <c:pt idx="220">
                  <c:v>90.217731880022896</c:v>
                </c:pt>
                <c:pt idx="221">
                  <c:v>89.957556816445106</c:v>
                </c:pt>
                <c:pt idx="222">
                  <c:v>90.114822369951995</c:v>
                </c:pt>
                <c:pt idx="223">
                  <c:v>90.8048923081558</c:v>
                </c:pt>
                <c:pt idx="224">
                  <c:v>91.920141380066099</c:v>
                </c:pt>
                <c:pt idx="225">
                  <c:v>92.037632708964594</c:v>
                </c:pt>
                <c:pt idx="226">
                  <c:v>91.5598323761442</c:v>
                </c:pt>
                <c:pt idx="227">
                  <c:v>90.5207652985697</c:v>
                </c:pt>
                <c:pt idx="228">
                  <c:v>89.281321664405397</c:v>
                </c:pt>
                <c:pt idx="229">
                  <c:v>89.521427103680907</c:v>
                </c:pt>
                <c:pt idx="230">
                  <c:v>89.502896545914993</c:v>
                </c:pt>
                <c:pt idx="231">
                  <c:v>90.059741818036102</c:v>
                </c:pt>
                <c:pt idx="232">
                  <c:v>90.059741818036102</c:v>
                </c:pt>
                <c:pt idx="233">
                  <c:v>90.709972819651597</c:v>
                </c:pt>
                <c:pt idx="234">
                  <c:v>90.356960641679606</c:v>
                </c:pt>
                <c:pt idx="235">
                  <c:v>90.057227244527994</c:v>
                </c:pt>
                <c:pt idx="236">
                  <c:v>89.825665013673898</c:v>
                </c:pt>
                <c:pt idx="237">
                  <c:v>89.433297979471504</c:v>
                </c:pt>
                <c:pt idx="238">
                  <c:v>89.496133545653706</c:v>
                </c:pt>
                <c:pt idx="239">
                  <c:v>89.720651604362303</c:v>
                </c:pt>
                <c:pt idx="240">
                  <c:v>90.098453612144198</c:v>
                </c:pt>
                <c:pt idx="241">
                  <c:v>90.446205146677499</c:v>
                </c:pt>
                <c:pt idx="242">
                  <c:v>90.114887931038297</c:v>
                </c:pt>
                <c:pt idx="243">
                  <c:v>90.070618271689696</c:v>
                </c:pt>
                <c:pt idx="244">
                  <c:v>89.463335454123097</c:v>
                </c:pt>
                <c:pt idx="245">
                  <c:v>89.631989370360799</c:v>
                </c:pt>
                <c:pt idx="246">
                  <c:v>89.795270515933595</c:v>
                </c:pt>
                <c:pt idx="247">
                  <c:v>89.833458489198804</c:v>
                </c:pt>
                <c:pt idx="248">
                  <c:v>90.001204623518603</c:v>
                </c:pt>
                <c:pt idx="249">
                  <c:v>90.0070317651153</c:v>
                </c:pt>
                <c:pt idx="250">
                  <c:v>90.437945551226406</c:v>
                </c:pt>
                <c:pt idx="251">
                  <c:v>90.631246710416406</c:v>
                </c:pt>
                <c:pt idx="252">
                  <c:v>90.688919324485497</c:v>
                </c:pt>
                <c:pt idx="253">
                  <c:v>90.928206485659203</c:v>
                </c:pt>
                <c:pt idx="254">
                  <c:v>90.7645422264834</c:v>
                </c:pt>
                <c:pt idx="255">
                  <c:v>90.577651099456602</c:v>
                </c:pt>
                <c:pt idx="256">
                  <c:v>90.463398884952596</c:v>
                </c:pt>
                <c:pt idx="257">
                  <c:v>91.074468516370004</c:v>
                </c:pt>
                <c:pt idx="258">
                  <c:v>89.870070280543402</c:v>
                </c:pt>
                <c:pt idx="259">
                  <c:v>89.849894830224699</c:v>
                </c:pt>
                <c:pt idx="260">
                  <c:v>89.9068437250248</c:v>
                </c:pt>
                <c:pt idx="261">
                  <c:v>89.961072031735895</c:v>
                </c:pt>
                <c:pt idx="262">
                  <c:v>89.895657338113395</c:v>
                </c:pt>
                <c:pt idx="263">
                  <c:v>89.537278104543503</c:v>
                </c:pt>
                <c:pt idx="264">
                  <c:v>89.962449560611503</c:v>
                </c:pt>
                <c:pt idx="265">
                  <c:v>90.549199565392698</c:v>
                </c:pt>
                <c:pt idx="266">
                  <c:v>91.067559241439497</c:v>
                </c:pt>
                <c:pt idx="267">
                  <c:v>91.049587477553104</c:v>
                </c:pt>
                <c:pt idx="268">
                  <c:v>90.887606284797897</c:v>
                </c:pt>
                <c:pt idx="269">
                  <c:v>90.615072855974802</c:v>
                </c:pt>
                <c:pt idx="270">
                  <c:v>90.130195058455698</c:v>
                </c:pt>
                <c:pt idx="271">
                  <c:v>90.672428275688105</c:v>
                </c:pt>
                <c:pt idx="272">
                  <c:v>90.774401202780993</c:v>
                </c:pt>
                <c:pt idx="273">
                  <c:v>90.796243221333697</c:v>
                </c:pt>
                <c:pt idx="274">
                  <c:v>90.447412056783904</c:v>
                </c:pt>
                <c:pt idx="275">
                  <c:v>90.312861489919598</c:v>
                </c:pt>
                <c:pt idx="276">
                  <c:v>90.550146215194601</c:v>
                </c:pt>
                <c:pt idx="277">
                  <c:v>90.475090702500296</c:v>
                </c:pt>
                <c:pt idx="278">
                  <c:v>89.8197302030445</c:v>
                </c:pt>
                <c:pt idx="279">
                  <c:v>89.738089532620506</c:v>
                </c:pt>
                <c:pt idx="280">
                  <c:v>89.612485961067193</c:v>
                </c:pt>
                <c:pt idx="281">
                  <c:v>90.080584986495694</c:v>
                </c:pt>
                <c:pt idx="282">
                  <c:v>90.480009592237096</c:v>
                </c:pt>
                <c:pt idx="283">
                  <c:v>90.561156916424196</c:v>
                </c:pt>
                <c:pt idx="284">
                  <c:v>90.564777020323504</c:v>
                </c:pt>
                <c:pt idx="285">
                  <c:v>90.342717699030302</c:v>
                </c:pt>
                <c:pt idx="286">
                  <c:v>90.048105630418206</c:v>
                </c:pt>
                <c:pt idx="287">
                  <c:v>89.722116520992699</c:v>
                </c:pt>
                <c:pt idx="288">
                  <c:v>89.751224861728005</c:v>
                </c:pt>
                <c:pt idx="289">
                  <c:v>89.899557903191393</c:v>
                </c:pt>
                <c:pt idx="290">
                  <c:v>90.388702205323298</c:v>
                </c:pt>
                <c:pt idx="291">
                  <c:v>91.437635516391197</c:v>
                </c:pt>
                <c:pt idx="292">
                  <c:v>89.803152054952903</c:v>
                </c:pt>
                <c:pt idx="293">
                  <c:v>86.860509257952799</c:v>
                </c:pt>
                <c:pt idx="294">
                  <c:v>87.007552285003399</c:v>
                </c:pt>
                <c:pt idx="295">
                  <c:v>86.334039915870093</c:v>
                </c:pt>
                <c:pt idx="296">
                  <c:v>86.623050389057695</c:v>
                </c:pt>
                <c:pt idx="297">
                  <c:v>87.077584013442504</c:v>
                </c:pt>
                <c:pt idx="298">
                  <c:v>88.158722282920706</c:v>
                </c:pt>
                <c:pt idx="299">
                  <c:v>89.314101215929995</c:v>
                </c:pt>
                <c:pt idx="300">
                  <c:v>90.831437670124402</c:v>
                </c:pt>
                <c:pt idx="301">
                  <c:v>91.994349007718895</c:v>
                </c:pt>
                <c:pt idx="302">
                  <c:v>92.905637563827597</c:v>
                </c:pt>
                <c:pt idx="303">
                  <c:v>93.466027509616197</c:v>
                </c:pt>
                <c:pt idx="304">
                  <c:v>91.665399161967997</c:v>
                </c:pt>
                <c:pt idx="305">
                  <c:v>89.958823353056502</c:v>
                </c:pt>
                <c:pt idx="306">
                  <c:v>88.177280541414902</c:v>
                </c:pt>
                <c:pt idx="307">
                  <c:v>89.095482398248393</c:v>
                </c:pt>
                <c:pt idx="308">
                  <c:v>89.986502884175806</c:v>
                </c:pt>
                <c:pt idx="309">
                  <c:v>90.303669265259003</c:v>
                </c:pt>
                <c:pt idx="310">
                  <c:v>89.563480550436097</c:v>
                </c:pt>
                <c:pt idx="311">
                  <c:v>88.038139651378003</c:v>
                </c:pt>
                <c:pt idx="312">
                  <c:v>87.889780585003507</c:v>
                </c:pt>
                <c:pt idx="313">
                  <c:v>87.616971900883996</c:v>
                </c:pt>
                <c:pt idx="314">
                  <c:v>87.717039321251804</c:v>
                </c:pt>
                <c:pt idx="315">
                  <c:v>87.686486674955205</c:v>
                </c:pt>
                <c:pt idx="316">
                  <c:v>87.476956155188205</c:v>
                </c:pt>
                <c:pt idx="317">
                  <c:v>87.978055238440007</c:v>
                </c:pt>
                <c:pt idx="318">
                  <c:v>88.687524146795297</c:v>
                </c:pt>
                <c:pt idx="319">
                  <c:v>88.655823883556806</c:v>
                </c:pt>
                <c:pt idx="320">
                  <c:v>88.498225924719407</c:v>
                </c:pt>
                <c:pt idx="321">
                  <c:v>88.731055926016097</c:v>
                </c:pt>
                <c:pt idx="322">
                  <c:v>89.122158956828997</c:v>
                </c:pt>
                <c:pt idx="323">
                  <c:v>90.019176542797993</c:v>
                </c:pt>
                <c:pt idx="324">
                  <c:v>90.905842183238505</c:v>
                </c:pt>
                <c:pt idx="325">
                  <c:v>91.525410322728305</c:v>
                </c:pt>
                <c:pt idx="326">
                  <c:v>91.697303773784299</c:v>
                </c:pt>
                <c:pt idx="327">
                  <c:v>91.578184955813597</c:v>
                </c:pt>
                <c:pt idx="328">
                  <c:v>92.091797531248304</c:v>
                </c:pt>
                <c:pt idx="329">
                  <c:v>92.248662198188498</c:v>
                </c:pt>
                <c:pt idx="330">
                  <c:v>92.579203240048699</c:v>
                </c:pt>
                <c:pt idx="331">
                  <c:v>92.517183619141406</c:v>
                </c:pt>
                <c:pt idx="332">
                  <c:v>93.208079920369997</c:v>
                </c:pt>
                <c:pt idx="333">
                  <c:v>93.184259469806406</c:v>
                </c:pt>
                <c:pt idx="334">
                  <c:v>93.138041913362599</c:v>
                </c:pt>
                <c:pt idx="335">
                  <c:v>92.820813515024099</c:v>
                </c:pt>
                <c:pt idx="336">
                  <c:v>93.042736167391695</c:v>
                </c:pt>
                <c:pt idx="337">
                  <c:v>93.244909272545001</c:v>
                </c:pt>
                <c:pt idx="338">
                  <c:v>88.481953743391301</c:v>
                </c:pt>
                <c:pt idx="339">
                  <c:v>88.894600481385893</c:v>
                </c:pt>
                <c:pt idx="340">
                  <c:v>89.133575523998502</c:v>
                </c:pt>
                <c:pt idx="341">
                  <c:v>90.044216441129095</c:v>
                </c:pt>
                <c:pt idx="342">
                  <c:v>91.099302674558203</c:v>
                </c:pt>
                <c:pt idx="343">
                  <c:v>91.927876720529696</c:v>
                </c:pt>
                <c:pt idx="344">
                  <c:v>93.544076112532593</c:v>
                </c:pt>
                <c:pt idx="345">
                  <c:v>94.665946814513205</c:v>
                </c:pt>
                <c:pt idx="346">
                  <c:v>92.197418722156996</c:v>
                </c:pt>
                <c:pt idx="347">
                  <c:v>92.733535645691902</c:v>
                </c:pt>
                <c:pt idx="348">
                  <c:v>93.299148177001399</c:v>
                </c:pt>
                <c:pt idx="349">
                  <c:v>94.536960736998296</c:v>
                </c:pt>
                <c:pt idx="350">
                  <c:v>96.189267560924606</c:v>
                </c:pt>
                <c:pt idx="351">
                  <c:v>98.206833102678402</c:v>
                </c:pt>
                <c:pt idx="352">
                  <c:v>97.368186090897893</c:v>
                </c:pt>
                <c:pt idx="353">
                  <c:v>97.058323360595594</c:v>
                </c:pt>
                <c:pt idx="354">
                  <c:v>95.755312777065797</c:v>
                </c:pt>
                <c:pt idx="355">
                  <c:v>96.855821210384605</c:v>
                </c:pt>
                <c:pt idx="356">
                  <c:v>95.565330515737003</c:v>
                </c:pt>
                <c:pt idx="357">
                  <c:v>94.332144972745795</c:v>
                </c:pt>
                <c:pt idx="358">
                  <c:v>92.654768622631806</c:v>
                </c:pt>
                <c:pt idx="359">
                  <c:v>92.809903337080101</c:v>
                </c:pt>
                <c:pt idx="360">
                  <c:v>91.932959796892405</c:v>
                </c:pt>
                <c:pt idx="361">
                  <c:v>91.187886603887804</c:v>
                </c:pt>
                <c:pt idx="362">
                  <c:v>91.187886603887804</c:v>
                </c:pt>
                <c:pt idx="363">
                  <c:v>90.930464249934701</c:v>
                </c:pt>
                <c:pt idx="364">
                  <c:v>90.540474481035204</c:v>
                </c:pt>
                <c:pt idx="365">
                  <c:v>90.540474481035204</c:v>
                </c:pt>
                <c:pt idx="366">
                  <c:v>91.700890388738401</c:v>
                </c:pt>
                <c:pt idx="367">
                  <c:v>91.279753308598998</c:v>
                </c:pt>
                <c:pt idx="368">
                  <c:v>90.857174218345804</c:v>
                </c:pt>
                <c:pt idx="369">
                  <c:v>90.536140475912205</c:v>
                </c:pt>
                <c:pt idx="370">
                  <c:v>90.259980389787899</c:v>
                </c:pt>
                <c:pt idx="371">
                  <c:v>90.106837566112006</c:v>
                </c:pt>
                <c:pt idx="372">
                  <c:v>90.285311021201693</c:v>
                </c:pt>
                <c:pt idx="373">
                  <c:v>90.132588170227095</c:v>
                </c:pt>
                <c:pt idx="374">
                  <c:v>91.224769878188795</c:v>
                </c:pt>
                <c:pt idx="375">
                  <c:v>91.567717665916106</c:v>
                </c:pt>
                <c:pt idx="376">
                  <c:v>93.226674705982802</c:v>
                </c:pt>
                <c:pt idx="377">
                  <c:v>93.024895916720297</c:v>
                </c:pt>
                <c:pt idx="378">
                  <c:v>92.556138660769903</c:v>
                </c:pt>
                <c:pt idx="379">
                  <c:v>91.452917344981898</c:v>
                </c:pt>
                <c:pt idx="380">
                  <c:v>91.437113142573196</c:v>
                </c:pt>
                <c:pt idx="381">
                  <c:v>91.403378970908193</c:v>
                </c:pt>
                <c:pt idx="382">
                  <c:v>90.909854744549804</c:v>
                </c:pt>
                <c:pt idx="383">
                  <c:v>90.862665955683795</c:v>
                </c:pt>
                <c:pt idx="384">
                  <c:v>91.821672151572102</c:v>
                </c:pt>
                <c:pt idx="385">
                  <c:v>92.880262641201796</c:v>
                </c:pt>
                <c:pt idx="386">
                  <c:v>93.075313683334798</c:v>
                </c:pt>
                <c:pt idx="387">
                  <c:v>92.678274802482406</c:v>
                </c:pt>
                <c:pt idx="388">
                  <c:v>93.078260606357006</c:v>
                </c:pt>
                <c:pt idx="389">
                  <c:v>93.3586230008803</c:v>
                </c:pt>
                <c:pt idx="390">
                  <c:v>92.825209211582404</c:v>
                </c:pt>
                <c:pt idx="391">
                  <c:v>91.657559153081095</c:v>
                </c:pt>
                <c:pt idx="392">
                  <c:v>90.958142906558507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1B-4835-B713-78E4F5BF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MIRA_EGR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36.827739288057799</c:v>
                </c:pt>
                <c:pt idx="229">
                  <c:v>36.502086615008203</c:v>
                </c:pt>
                <c:pt idx="230">
                  <c:v>37.820905597170601</c:v>
                </c:pt>
                <c:pt idx="231">
                  <c:v>37.385703514750197</c:v>
                </c:pt>
                <c:pt idx="232">
                  <c:v>36.330821405988701</c:v>
                </c:pt>
                <c:pt idx="233">
                  <c:v>38.522220074486697</c:v>
                </c:pt>
                <c:pt idx="234">
                  <c:v>39.199029022511397</c:v>
                </c:pt>
                <c:pt idx="235">
                  <c:v>38.994992077880099</c:v>
                </c:pt>
                <c:pt idx="236">
                  <c:v>38.558119855760197</c:v>
                </c:pt>
                <c:pt idx="237">
                  <c:v>38.523438943215801</c:v>
                </c:pt>
                <c:pt idx="238">
                  <c:v>37.951135763560401</c:v>
                </c:pt>
                <c:pt idx="239">
                  <c:v>37.3219873750744</c:v>
                </c:pt>
                <c:pt idx="240">
                  <c:v>36.929590288939401</c:v>
                </c:pt>
                <c:pt idx="241">
                  <c:v>37.077414175641501</c:v>
                </c:pt>
                <c:pt idx="242">
                  <c:v>36.905670172037802</c:v>
                </c:pt>
                <c:pt idx="243">
                  <c:v>37.364110724335703</c:v>
                </c:pt>
                <c:pt idx="244">
                  <c:v>37.744059991978702</c:v>
                </c:pt>
                <c:pt idx="245">
                  <c:v>38.451154163460501</c:v>
                </c:pt>
                <c:pt idx="246">
                  <c:v>38.264715277809898</c:v>
                </c:pt>
                <c:pt idx="247">
                  <c:v>37.437937154580602</c:v>
                </c:pt>
                <c:pt idx="248">
                  <c:v>38.649393085200501</c:v>
                </c:pt>
                <c:pt idx="249">
                  <c:v>38.492626629082899</c:v>
                </c:pt>
                <c:pt idx="250">
                  <c:v>37.409015079073001</c:v>
                </c:pt>
                <c:pt idx="251">
                  <c:v>36.832495049798197</c:v>
                </c:pt>
                <c:pt idx="252">
                  <c:v>38.891737159288901</c:v>
                </c:pt>
                <c:pt idx="253">
                  <c:v>38.694481583835099</c:v>
                </c:pt>
                <c:pt idx="254">
                  <c:v>37.887614657947402</c:v>
                </c:pt>
                <c:pt idx="255">
                  <c:v>37.644267541068402</c:v>
                </c:pt>
                <c:pt idx="256">
                  <c:v>37.714892073714701</c:v>
                </c:pt>
                <c:pt idx="257">
                  <c:v>37.785516606361</c:v>
                </c:pt>
                <c:pt idx="258">
                  <c:v>38.3216019609401</c:v>
                </c:pt>
                <c:pt idx="259">
                  <c:v>38.709285472713503</c:v>
                </c:pt>
                <c:pt idx="260">
                  <c:v>37.456798997182503</c:v>
                </c:pt>
                <c:pt idx="261">
                  <c:v>36.844163778936199</c:v>
                </c:pt>
                <c:pt idx="262">
                  <c:v>38.224117367542597</c:v>
                </c:pt>
                <c:pt idx="263">
                  <c:v>37.1468579436063</c:v>
                </c:pt>
                <c:pt idx="264">
                  <c:v>36.717923589951901</c:v>
                </c:pt>
                <c:pt idx="265">
                  <c:v>36.1140824782252</c:v>
                </c:pt>
                <c:pt idx="266">
                  <c:v>35.4904756034882</c:v>
                </c:pt>
                <c:pt idx="267">
                  <c:v>34.9526329184134</c:v>
                </c:pt>
                <c:pt idx="268">
                  <c:v>34.733795326231601</c:v>
                </c:pt>
                <c:pt idx="269">
                  <c:v>36.320441281008002</c:v>
                </c:pt>
                <c:pt idx="270">
                  <c:v>37.5800935134939</c:v>
                </c:pt>
                <c:pt idx="271">
                  <c:v>37.006157454053998</c:v>
                </c:pt>
                <c:pt idx="272">
                  <c:v>35.932403876890902</c:v>
                </c:pt>
                <c:pt idx="273">
                  <c:v>36.254133463046898</c:v>
                </c:pt>
                <c:pt idx="274">
                  <c:v>36.390973332691502</c:v>
                </c:pt>
                <c:pt idx="275">
                  <c:v>36.008973915065198</c:v>
                </c:pt>
                <c:pt idx="276">
                  <c:v>35.9239697832028</c:v>
                </c:pt>
                <c:pt idx="277">
                  <c:v>35.838965651340402</c:v>
                </c:pt>
                <c:pt idx="278">
                  <c:v>35.502528596995298</c:v>
                </c:pt>
                <c:pt idx="279">
                  <c:v>36.699949187168897</c:v>
                </c:pt>
                <c:pt idx="280">
                  <c:v>36.536614010711297</c:v>
                </c:pt>
                <c:pt idx="281">
                  <c:v>35.3305826550299</c:v>
                </c:pt>
                <c:pt idx="282">
                  <c:v>34.201074692677899</c:v>
                </c:pt>
                <c:pt idx="283">
                  <c:v>34.403486905825503</c:v>
                </c:pt>
                <c:pt idx="284">
                  <c:v>33.855690507900697</c:v>
                </c:pt>
                <c:pt idx="285">
                  <c:v>33.351948487343698</c:v>
                </c:pt>
                <c:pt idx="286">
                  <c:v>32.841713263601797</c:v>
                </c:pt>
                <c:pt idx="287">
                  <c:v>32.4797632307071</c:v>
                </c:pt>
                <c:pt idx="288">
                  <c:v>32.103782964479898</c:v>
                </c:pt>
                <c:pt idx="289">
                  <c:v>31.742797573479098</c:v>
                </c:pt>
                <c:pt idx="290">
                  <c:v>31.381812182478299</c:v>
                </c:pt>
                <c:pt idx="291">
                  <c:v>26.831183762971801</c:v>
                </c:pt>
                <c:pt idx="292">
                  <c:v>34.518864171282701</c:v>
                </c:pt>
                <c:pt idx="293">
                  <c:v>35.2391245748125</c:v>
                </c:pt>
                <c:pt idx="294">
                  <c:v>35.778244035441197</c:v>
                </c:pt>
                <c:pt idx="295">
                  <c:v>35.945191989545997</c:v>
                </c:pt>
                <c:pt idx="296">
                  <c:v>38.786420794270299</c:v>
                </c:pt>
                <c:pt idx="297">
                  <c:v>37.327950427753798</c:v>
                </c:pt>
                <c:pt idx="298">
                  <c:v>36.144562939614801</c:v>
                </c:pt>
                <c:pt idx="299">
                  <c:v>34.735708502413402</c:v>
                </c:pt>
                <c:pt idx="300">
                  <c:v>33.465459648726799</c:v>
                </c:pt>
                <c:pt idx="301">
                  <c:v>32.308438444707399</c:v>
                </c:pt>
                <c:pt idx="302">
                  <c:v>31.300998297678699</c:v>
                </c:pt>
                <c:pt idx="303">
                  <c:v>30.469237327995899</c:v>
                </c:pt>
                <c:pt idx="304">
                  <c:v>30.168969211969401</c:v>
                </c:pt>
                <c:pt idx="305">
                  <c:v>32.0910279215949</c:v>
                </c:pt>
                <c:pt idx="306">
                  <c:v>31.862592664967799</c:v>
                </c:pt>
                <c:pt idx="307">
                  <c:v>31.4583462654731</c:v>
                </c:pt>
                <c:pt idx="308">
                  <c:v>31.062609024766999</c:v>
                </c:pt>
                <c:pt idx="309">
                  <c:v>30.994080608836001</c:v>
                </c:pt>
                <c:pt idx="310">
                  <c:v>32.7750177828378</c:v>
                </c:pt>
                <c:pt idx="311">
                  <c:v>32.065218593262003</c:v>
                </c:pt>
                <c:pt idx="312">
                  <c:v>34.802265302004301</c:v>
                </c:pt>
                <c:pt idx="313">
                  <c:v>36.065530825288597</c:v>
                </c:pt>
                <c:pt idx="314">
                  <c:v>34.739342932042398</c:v>
                </c:pt>
                <c:pt idx="315">
                  <c:v>34.122340470902699</c:v>
                </c:pt>
                <c:pt idx="316">
                  <c:v>34.492350777914901</c:v>
                </c:pt>
                <c:pt idx="317">
                  <c:v>34.037416416620601</c:v>
                </c:pt>
                <c:pt idx="318">
                  <c:v>37.0387419568141</c:v>
                </c:pt>
                <c:pt idx="319">
                  <c:v>36.461872022930798</c:v>
                </c:pt>
                <c:pt idx="320">
                  <c:v>35.498626930236597</c:v>
                </c:pt>
                <c:pt idx="321">
                  <c:v>35.928328229430001</c:v>
                </c:pt>
                <c:pt idx="322">
                  <c:v>35.126552158502001</c:v>
                </c:pt>
                <c:pt idx="323">
                  <c:v>34.1167529843746</c:v>
                </c:pt>
                <c:pt idx="324">
                  <c:v>33.224320606064701</c:v>
                </c:pt>
                <c:pt idx="325">
                  <c:v>32.518967356221502</c:v>
                </c:pt>
                <c:pt idx="326">
                  <c:v>31.557899166655702</c:v>
                </c:pt>
                <c:pt idx="327">
                  <c:v>30.590635727977698</c:v>
                </c:pt>
                <c:pt idx="328">
                  <c:v>29.7898125302466</c:v>
                </c:pt>
                <c:pt idx="329">
                  <c:v>29.1723054063017</c:v>
                </c:pt>
                <c:pt idx="330">
                  <c:v>28.944480207266501</c:v>
                </c:pt>
                <c:pt idx="331">
                  <c:v>28.5637140906992</c:v>
                </c:pt>
                <c:pt idx="332">
                  <c:v>28.3356722144595</c:v>
                </c:pt>
                <c:pt idx="333">
                  <c:v>27.8769048488621</c:v>
                </c:pt>
                <c:pt idx="334">
                  <c:v>27.662044485460701</c:v>
                </c:pt>
                <c:pt idx="335">
                  <c:v>27.326281992673099</c:v>
                </c:pt>
                <c:pt idx="336">
                  <c:v>27.385899725779801</c:v>
                </c:pt>
                <c:pt idx="337">
                  <c:v>29.5353925470143</c:v>
                </c:pt>
                <c:pt idx="338">
                  <c:v>34.350204460009799</c:v>
                </c:pt>
                <c:pt idx="339">
                  <c:v>34.704479509313899</c:v>
                </c:pt>
                <c:pt idx="340">
                  <c:v>32.800289756108803</c:v>
                </c:pt>
                <c:pt idx="341">
                  <c:v>31.089399471392699</c:v>
                </c:pt>
                <c:pt idx="342">
                  <c:v>29.9702984372367</c:v>
                </c:pt>
                <c:pt idx="343">
                  <c:v>28.691059373047299</c:v>
                </c:pt>
                <c:pt idx="344">
                  <c:v>25.651812184132002</c:v>
                </c:pt>
                <c:pt idx="345">
                  <c:v>25.644585580873201</c:v>
                </c:pt>
                <c:pt idx="346">
                  <c:v>25.704669784903</c:v>
                </c:pt>
                <c:pt idx="347">
                  <c:v>25.524946577219801</c:v>
                </c:pt>
                <c:pt idx="348">
                  <c:v>25.378913774904198</c:v>
                </c:pt>
                <c:pt idx="349">
                  <c:v>25.242158586146701</c:v>
                </c:pt>
                <c:pt idx="350">
                  <c:v>25.067398879416999</c:v>
                </c:pt>
                <c:pt idx="351">
                  <c:v>24.907534436572998</c:v>
                </c:pt>
                <c:pt idx="352">
                  <c:v>24.8047357611104</c:v>
                </c:pt>
                <c:pt idx="353">
                  <c:v>24.830965556009001</c:v>
                </c:pt>
                <c:pt idx="354">
                  <c:v>24.7153816619062</c:v>
                </c:pt>
                <c:pt idx="355">
                  <c:v>24.609987020952701</c:v>
                </c:pt>
                <c:pt idx="356">
                  <c:v>24.548865205684098</c:v>
                </c:pt>
                <c:pt idx="357">
                  <c:v>25.092118600356699</c:v>
                </c:pt>
                <c:pt idx="358">
                  <c:v>30.494581167153999</c:v>
                </c:pt>
                <c:pt idx="359">
                  <c:v>29.756301592032699</c:v>
                </c:pt>
                <c:pt idx="360">
                  <c:v>31.0129393030074</c:v>
                </c:pt>
                <c:pt idx="361">
                  <c:v>31.105628316753201</c:v>
                </c:pt>
                <c:pt idx="362">
                  <c:v>30.582460661745898</c:v>
                </c:pt>
                <c:pt idx="363">
                  <c:v>31.868333880808699</c:v>
                </c:pt>
                <c:pt idx="364">
                  <c:v>34.478083042584601</c:v>
                </c:pt>
                <c:pt idx="365">
                  <c:v>36.670393613875802</c:v>
                </c:pt>
                <c:pt idx="366">
                  <c:v>36.752385835974501</c:v>
                </c:pt>
                <c:pt idx="367">
                  <c:v>36.363554659059503</c:v>
                </c:pt>
                <c:pt idx="368">
                  <c:v>35.408974394312402</c:v>
                </c:pt>
                <c:pt idx="369">
                  <c:v>36.0267540933433</c:v>
                </c:pt>
                <c:pt idx="370">
                  <c:v>35.202150482981899</c:v>
                </c:pt>
                <c:pt idx="371">
                  <c:v>33.978632949764602</c:v>
                </c:pt>
                <c:pt idx="372">
                  <c:v>33.881251988418803</c:v>
                </c:pt>
                <c:pt idx="373">
                  <c:v>33.680472559087697</c:v>
                </c:pt>
                <c:pt idx="374">
                  <c:v>33.522864355579301</c:v>
                </c:pt>
                <c:pt idx="375">
                  <c:v>33.250008972594699</c:v>
                </c:pt>
                <c:pt idx="376">
                  <c:v>32.920701844085499</c:v>
                </c:pt>
                <c:pt idx="377">
                  <c:v>32.6365692391377</c:v>
                </c:pt>
                <c:pt idx="378">
                  <c:v>32.901828619733003</c:v>
                </c:pt>
                <c:pt idx="379">
                  <c:v>33.843721689773297</c:v>
                </c:pt>
                <c:pt idx="380">
                  <c:v>33.8397785579551</c:v>
                </c:pt>
                <c:pt idx="381">
                  <c:v>34.362193350928102</c:v>
                </c:pt>
                <c:pt idx="382">
                  <c:v>36.151065321793602</c:v>
                </c:pt>
                <c:pt idx="383">
                  <c:v>35.102276247107497</c:v>
                </c:pt>
                <c:pt idx="384">
                  <c:v>34.589577186762</c:v>
                </c:pt>
                <c:pt idx="385">
                  <c:v>34.597926126721703</c:v>
                </c:pt>
                <c:pt idx="386">
                  <c:v>35.034692047449397</c:v>
                </c:pt>
                <c:pt idx="387">
                  <c:v>34.742557310828197</c:v>
                </c:pt>
                <c:pt idx="388">
                  <c:v>34.420257618638402</c:v>
                </c:pt>
                <c:pt idx="389">
                  <c:v>34.0611903858197</c:v>
                </c:pt>
                <c:pt idx="390">
                  <c:v>33.7256732440419</c:v>
                </c:pt>
                <c:pt idx="391">
                  <c:v>34.601165085075202</c:v>
                </c:pt>
                <c:pt idx="392">
                  <c:v>34.394010868605399</c:v>
                </c:pt>
              </c:numCache>
            </c:numRef>
          </c:xVal>
          <c:yVal>
            <c:numRef>
              <c:f>selhausen_SM_Kdose_daily!$E$8:$E$400</c:f>
              <c:numCache>
                <c:formatCode>General</c:formatCode>
                <c:ptCount val="393"/>
                <c:pt idx="0">
                  <c:v>36.102013799674921</c:v>
                </c:pt>
                <c:pt idx="1">
                  <c:v>34.956915625131607</c:v>
                </c:pt>
                <c:pt idx="2">
                  <c:v>34.491077426322974</c:v>
                </c:pt>
                <c:pt idx="3">
                  <c:v>33.584089952243808</c:v>
                </c:pt>
                <c:pt idx="4">
                  <c:v>33.668264135069073</c:v>
                </c:pt>
                <c:pt idx="5">
                  <c:v>33.587198727885834</c:v>
                </c:pt>
                <c:pt idx="6">
                  <c:v>33.63145985822559</c:v>
                </c:pt>
                <c:pt idx="7">
                  <c:v>33.251754090542661</c:v>
                </c:pt>
                <c:pt idx="8">
                  <c:v>32.272079332338308</c:v>
                </c:pt>
                <c:pt idx="9">
                  <c:v>30.492285068582774</c:v>
                </c:pt>
                <c:pt idx="10">
                  <c:v>29.915918896400044</c:v>
                </c:pt>
                <c:pt idx="11">
                  <c:v>31.274443153301078</c:v>
                </c:pt>
                <c:pt idx="12">
                  <c:v>33.72174508935732</c:v>
                </c:pt>
                <c:pt idx="13">
                  <c:v>34.889609889663525</c:v>
                </c:pt>
                <c:pt idx="14">
                  <c:v>35.451596469157153</c:v>
                </c:pt>
                <c:pt idx="15">
                  <c:v>34.825803620974561</c:v>
                </c:pt>
                <c:pt idx="16">
                  <c:v>33.213487857124136</c:v>
                </c:pt>
                <c:pt idx="17">
                  <c:v>32.975763777092546</c:v>
                </c:pt>
                <c:pt idx="18">
                  <c:v>33.822836283629961</c:v>
                </c:pt>
                <c:pt idx="19">
                  <c:v>35.599869597092017</c:v>
                </c:pt>
                <c:pt idx="20">
                  <c:v>35.591957105515142</c:v>
                </c:pt>
                <c:pt idx="21">
                  <c:v>34.964522855729456</c:v>
                </c:pt>
                <c:pt idx="22">
                  <c:v>34.409278429811238</c:v>
                </c:pt>
                <c:pt idx="23">
                  <c:v>34.041701622068153</c:v>
                </c:pt>
                <c:pt idx="24">
                  <c:v>33.523130425830914</c:v>
                </c:pt>
                <c:pt idx="25">
                  <c:v>33.315976746823047</c:v>
                </c:pt>
                <c:pt idx="26">
                  <c:v>33.424513681763408</c:v>
                </c:pt>
                <c:pt idx="27">
                  <c:v>33.39112231050099</c:v>
                </c:pt>
                <c:pt idx="28">
                  <c:v>33.703857818343948</c:v>
                </c:pt>
                <c:pt idx="29">
                  <c:v>33.524438163016505</c:v>
                </c:pt>
                <c:pt idx="30">
                  <c:v>33.970968478560494</c:v>
                </c:pt>
                <c:pt idx="31">
                  <c:v>35.257558893192154</c:v>
                </c:pt>
                <c:pt idx="32">
                  <c:v>36.544149307823837</c:v>
                </c:pt>
                <c:pt idx="33">
                  <c:v>37.830739722455625</c:v>
                </c:pt>
                <c:pt idx="34">
                  <c:v>36.961518273212874</c:v>
                </c:pt>
                <c:pt idx="35">
                  <c:v>37.041029459320086</c:v>
                </c:pt>
                <c:pt idx="36">
                  <c:v>36.646174327752384</c:v>
                </c:pt>
                <c:pt idx="37">
                  <c:v>37.621756731265037</c:v>
                </c:pt>
                <c:pt idx="38">
                  <c:v>37.237657309299777</c:v>
                </c:pt>
                <c:pt idx="39">
                  <c:v>37.237657309299777</c:v>
                </c:pt>
                <c:pt idx="40">
                  <c:v>36.431852987603875</c:v>
                </c:pt>
                <c:pt idx="41">
                  <c:v>36.328725689995814</c:v>
                </c:pt>
                <c:pt idx="42">
                  <c:v>36.225598392387724</c:v>
                </c:pt>
                <c:pt idx="43">
                  <c:v>36.122471094779662</c:v>
                </c:pt>
                <c:pt idx="44">
                  <c:v>36.019343797171445</c:v>
                </c:pt>
                <c:pt idx="45">
                  <c:v>35.947924112072492</c:v>
                </c:pt>
                <c:pt idx="46">
                  <c:v>35.964253141495867</c:v>
                </c:pt>
                <c:pt idx="47">
                  <c:v>35.93670781365801</c:v>
                </c:pt>
                <c:pt idx="48">
                  <c:v>35.99691120034251</c:v>
                </c:pt>
                <c:pt idx="49">
                  <c:v>37.174077503127663</c:v>
                </c:pt>
                <c:pt idx="50">
                  <c:v>37.131351212022672</c:v>
                </c:pt>
                <c:pt idx="51">
                  <c:v>36.867073276672834</c:v>
                </c:pt>
                <c:pt idx="52">
                  <c:v>36.53922330452523</c:v>
                </c:pt>
                <c:pt idx="53">
                  <c:v>36.833701009297279</c:v>
                </c:pt>
                <c:pt idx="54">
                  <c:v>37.081292810959368</c:v>
                </c:pt>
                <c:pt idx="55">
                  <c:v>37.553898119203694</c:v>
                </c:pt>
                <c:pt idx="56">
                  <c:v>37.383320466608467</c:v>
                </c:pt>
                <c:pt idx="57">
                  <c:v>37.097165821583559</c:v>
                </c:pt>
                <c:pt idx="58">
                  <c:v>36.270089624485642</c:v>
                </c:pt>
                <c:pt idx="59">
                  <c:v>34.687159412681083</c:v>
                </c:pt>
                <c:pt idx="60">
                  <c:v>35.018525320304228</c:v>
                </c:pt>
                <c:pt idx="61">
                  <c:v>35.999025577446723</c:v>
                </c:pt>
                <c:pt idx="62">
                  <c:v>36.864960361998811</c:v>
                </c:pt>
                <c:pt idx="63">
                  <c:v>35.365519953945608</c:v>
                </c:pt>
                <c:pt idx="64">
                  <c:v>32.315575832902475</c:v>
                </c:pt>
                <c:pt idx="65">
                  <c:v>30.763477346140771</c:v>
                </c:pt>
                <c:pt idx="66">
                  <c:v>30.279154372639667</c:v>
                </c:pt>
                <c:pt idx="67">
                  <c:v>31.60328441349338</c:v>
                </c:pt>
                <c:pt idx="68">
                  <c:v>34.261358496572157</c:v>
                </c:pt>
                <c:pt idx="69">
                  <c:v>35.983204320003018</c:v>
                </c:pt>
                <c:pt idx="70">
                  <c:v>35.379051212147331</c:v>
                </c:pt>
                <c:pt idx="71">
                  <c:v>33.450249076107092</c:v>
                </c:pt>
                <c:pt idx="72">
                  <c:v>33.430584537518556</c:v>
                </c:pt>
                <c:pt idx="73">
                  <c:v>33.719686475862488</c:v>
                </c:pt>
                <c:pt idx="74">
                  <c:v>33.937130715098967</c:v>
                </c:pt>
                <c:pt idx="75">
                  <c:v>34.298063462646994</c:v>
                </c:pt>
                <c:pt idx="76">
                  <c:v>33.830469993433347</c:v>
                </c:pt>
                <c:pt idx="77">
                  <c:v>33.089891881097515</c:v>
                </c:pt>
                <c:pt idx="78">
                  <c:v>32.592654140491931</c:v>
                </c:pt>
                <c:pt idx="79">
                  <c:v>31.14619264404509</c:v>
                </c:pt>
                <c:pt idx="80">
                  <c:v>29.105232414338577</c:v>
                </c:pt>
                <c:pt idx="81">
                  <c:v>26.000425864160434</c:v>
                </c:pt>
                <c:pt idx="82">
                  <c:v>23.826311964270538</c:v>
                </c:pt>
                <c:pt idx="83">
                  <c:v>23.234916996080486</c:v>
                </c:pt>
                <c:pt idx="84">
                  <c:v>23.604722503517234</c:v>
                </c:pt>
                <c:pt idx="85">
                  <c:v>24.064037334066583</c:v>
                </c:pt>
                <c:pt idx="86">
                  <c:v>29.91300964997653</c:v>
                </c:pt>
                <c:pt idx="87">
                  <c:v>34.282682445729591</c:v>
                </c:pt>
                <c:pt idx="88">
                  <c:v>32.933795135822386</c:v>
                </c:pt>
                <c:pt idx="89">
                  <c:v>30.340919894805083</c:v>
                </c:pt>
                <c:pt idx="90">
                  <c:v>29.349016451388252</c:v>
                </c:pt>
                <c:pt idx="91">
                  <c:v>29.609946654978106</c:v>
                </c:pt>
                <c:pt idx="92">
                  <c:v>31.092213319519072</c:v>
                </c:pt>
                <c:pt idx="93">
                  <c:v>30.920096159376062</c:v>
                </c:pt>
                <c:pt idx="94">
                  <c:v>30.12841501619387</c:v>
                </c:pt>
                <c:pt idx="95">
                  <c:v>31.122413548072089</c:v>
                </c:pt>
                <c:pt idx="96">
                  <c:v>32.502871413577786</c:v>
                </c:pt>
                <c:pt idx="97">
                  <c:v>33.296038786751986</c:v>
                </c:pt>
                <c:pt idx="98">
                  <c:v>31.201765593970105</c:v>
                </c:pt>
                <c:pt idx="99">
                  <c:v>28.631479700470436</c:v>
                </c:pt>
                <c:pt idx="100">
                  <c:v>26.233826972502289</c:v>
                </c:pt>
                <c:pt idx="101">
                  <c:v>25.093064026995009</c:v>
                </c:pt>
                <c:pt idx="102">
                  <c:v>25.749036620521302</c:v>
                </c:pt>
                <c:pt idx="103">
                  <c:v>26.951104280364003</c:v>
                </c:pt>
                <c:pt idx="104">
                  <c:v>27.666585776456934</c:v>
                </c:pt>
                <c:pt idx="105">
                  <c:v>26.536530135067103</c:v>
                </c:pt>
                <c:pt idx="106">
                  <c:v>26.480865225114304</c:v>
                </c:pt>
                <c:pt idx="107">
                  <c:v>27.297945247917017</c:v>
                </c:pt>
                <c:pt idx="108">
                  <c:v>29.226892643015727</c:v>
                </c:pt>
                <c:pt idx="109">
                  <c:v>29.932578885584221</c:v>
                </c:pt>
                <c:pt idx="110">
                  <c:v>29.099340493031843</c:v>
                </c:pt>
                <c:pt idx="111">
                  <c:v>27.401208366685417</c:v>
                </c:pt>
                <c:pt idx="112">
                  <c:v>26.165880743667053</c:v>
                </c:pt>
                <c:pt idx="113">
                  <c:v>25.413498194615016</c:v>
                </c:pt>
                <c:pt idx="114">
                  <c:v>25.326491197369762</c:v>
                </c:pt>
                <c:pt idx="115">
                  <c:v>24.885336939360332</c:v>
                </c:pt>
                <c:pt idx="116">
                  <c:v>24.865059621507665</c:v>
                </c:pt>
                <c:pt idx="117">
                  <c:v>26.66524376060795</c:v>
                </c:pt>
                <c:pt idx="118">
                  <c:v>28.6481467635905</c:v>
                </c:pt>
                <c:pt idx="119">
                  <c:v>30.020464630593132</c:v>
                </c:pt>
                <c:pt idx="120">
                  <c:v>28.935493070033154</c:v>
                </c:pt>
                <c:pt idx="121">
                  <c:v>26.528793275102899</c:v>
                </c:pt>
                <c:pt idx="122">
                  <c:v>26.818692954782534</c:v>
                </c:pt>
                <c:pt idx="123">
                  <c:v>26.60353057777769</c:v>
                </c:pt>
                <c:pt idx="124">
                  <c:v>33.011420038994366</c:v>
                </c:pt>
                <c:pt idx="125">
                  <c:v>35.901521513731034</c:v>
                </c:pt>
                <c:pt idx="126">
                  <c:v>35.901521513731034</c:v>
                </c:pt>
                <c:pt idx="127">
                  <c:v>33.094071340311707</c:v>
                </c:pt>
                <c:pt idx="128">
                  <c:v>33.094071340311707</c:v>
                </c:pt>
                <c:pt idx="129">
                  <c:v>33.094071340311707</c:v>
                </c:pt>
                <c:pt idx="130">
                  <c:v>33.690563608662991</c:v>
                </c:pt>
                <c:pt idx="131">
                  <c:v>34.287055877014282</c:v>
                </c:pt>
                <c:pt idx="132">
                  <c:v>34.88354814536558</c:v>
                </c:pt>
                <c:pt idx="133">
                  <c:v>34.88354814536558</c:v>
                </c:pt>
                <c:pt idx="134">
                  <c:v>35.359213949626806</c:v>
                </c:pt>
                <c:pt idx="135">
                  <c:v>35.834879753888053</c:v>
                </c:pt>
                <c:pt idx="136">
                  <c:v>34.361536961577265</c:v>
                </c:pt>
                <c:pt idx="137">
                  <c:v>33.923445268665887</c:v>
                </c:pt>
                <c:pt idx="138">
                  <c:v>33.705826997566518</c:v>
                </c:pt>
                <c:pt idx="139">
                  <c:v>34.455668569979416</c:v>
                </c:pt>
                <c:pt idx="140">
                  <c:v>34.804872424679374</c:v>
                </c:pt>
                <c:pt idx="141">
                  <c:v>35.574779197064238</c:v>
                </c:pt>
                <c:pt idx="142">
                  <c:v>35.192377416977713</c:v>
                </c:pt>
                <c:pt idx="143">
                  <c:v>34.785412159384066</c:v>
                </c:pt>
                <c:pt idx="144">
                  <c:v>33.990513546245516</c:v>
                </c:pt>
                <c:pt idx="145">
                  <c:v>37.067921860957398</c:v>
                </c:pt>
                <c:pt idx="146">
                  <c:v>35.949577202765099</c:v>
                </c:pt>
                <c:pt idx="147">
                  <c:v>35.949577202765099</c:v>
                </c:pt>
                <c:pt idx="148">
                  <c:v>34.831232544572671</c:v>
                </c:pt>
                <c:pt idx="149">
                  <c:v>36.994288903659587</c:v>
                </c:pt>
                <c:pt idx="150">
                  <c:v>36.611249715426524</c:v>
                </c:pt>
                <c:pt idx="151">
                  <c:v>35.812005075297293</c:v>
                </c:pt>
                <c:pt idx="152">
                  <c:v>35.250371411201328</c:v>
                </c:pt>
                <c:pt idx="153">
                  <c:v>35.423036187648961</c:v>
                </c:pt>
                <c:pt idx="154">
                  <c:v>36.262609087193084</c:v>
                </c:pt>
                <c:pt idx="155">
                  <c:v>36.77842370158303</c:v>
                </c:pt>
                <c:pt idx="156">
                  <c:v>36.707076713054143</c:v>
                </c:pt>
                <c:pt idx="157">
                  <c:v>36.68729550272618</c:v>
                </c:pt>
                <c:pt idx="158">
                  <c:v>36.60252737681833</c:v>
                </c:pt>
                <c:pt idx="159">
                  <c:v>37.055014286825141</c:v>
                </c:pt>
                <c:pt idx="160">
                  <c:v>37.222794926232794</c:v>
                </c:pt>
                <c:pt idx="161">
                  <c:v>37.222794926232794</c:v>
                </c:pt>
                <c:pt idx="162">
                  <c:v>36.735573669082044</c:v>
                </c:pt>
                <c:pt idx="163">
                  <c:v>36.071438329940229</c:v>
                </c:pt>
                <c:pt idx="164">
                  <c:v>35.393210544694192</c:v>
                </c:pt>
                <c:pt idx="165">
                  <c:v>34.795630050491816</c:v>
                </c:pt>
                <c:pt idx="166">
                  <c:v>34.655049481951629</c:v>
                </c:pt>
                <c:pt idx="167">
                  <c:v>34.77903882174008</c:v>
                </c:pt>
                <c:pt idx="168">
                  <c:v>34.288351936548295</c:v>
                </c:pt>
                <c:pt idx="169">
                  <c:v>33.803308026023593</c:v>
                </c:pt>
                <c:pt idx="170">
                  <c:v>33.732963779279729</c:v>
                </c:pt>
                <c:pt idx="171">
                  <c:v>34.35111787269301</c:v>
                </c:pt>
                <c:pt idx="172">
                  <c:v>34.848566980532169</c:v>
                </c:pt>
                <c:pt idx="173">
                  <c:v>35.536111369151399</c:v>
                </c:pt>
                <c:pt idx="174">
                  <c:v>36.34791663347437</c:v>
                </c:pt>
                <c:pt idx="175">
                  <c:v>36.72849482757163</c:v>
                </c:pt>
                <c:pt idx="176">
                  <c:v>36.748635426002878</c:v>
                </c:pt>
                <c:pt idx="177">
                  <c:v>36.824981912293495</c:v>
                </c:pt>
                <c:pt idx="178">
                  <c:v>36.028735149837715</c:v>
                </c:pt>
                <c:pt idx="179">
                  <c:v>36.116515441546326</c:v>
                </c:pt>
                <c:pt idx="180">
                  <c:v>35.625637602122687</c:v>
                </c:pt>
                <c:pt idx="181">
                  <c:v>35.661526055017831</c:v>
                </c:pt>
                <c:pt idx="182">
                  <c:v>33.84570597631879</c:v>
                </c:pt>
                <c:pt idx="183">
                  <c:v>33.777318840656044</c:v>
                </c:pt>
                <c:pt idx="184">
                  <c:v>33.89941430829046</c:v>
                </c:pt>
                <c:pt idx="185">
                  <c:v>35.245636412306069</c:v>
                </c:pt>
                <c:pt idx="186">
                  <c:v>35.070411252724213</c:v>
                </c:pt>
                <c:pt idx="187">
                  <c:v>36.048973649317205</c:v>
                </c:pt>
                <c:pt idx="188">
                  <c:v>36.048973649317205</c:v>
                </c:pt>
                <c:pt idx="189">
                  <c:v>36.648544136203967</c:v>
                </c:pt>
                <c:pt idx="190">
                  <c:v>37.485076870067509</c:v>
                </c:pt>
                <c:pt idx="191">
                  <c:v>36.915603434005767</c:v>
                </c:pt>
                <c:pt idx="192">
                  <c:v>36.130873901725522</c:v>
                </c:pt>
                <c:pt idx="193">
                  <c:v>35.335291294066067</c:v>
                </c:pt>
                <c:pt idx="194">
                  <c:v>35.414693843417616</c:v>
                </c:pt>
                <c:pt idx="195">
                  <c:v>35.273505442049547</c:v>
                </c:pt>
                <c:pt idx="196">
                  <c:v>35.640941405882167</c:v>
                </c:pt>
                <c:pt idx="197">
                  <c:v>35.493681278530467</c:v>
                </c:pt>
                <c:pt idx="198">
                  <c:v>37.619709654475294</c:v>
                </c:pt>
                <c:pt idx="199">
                  <c:v>38.111197977453521</c:v>
                </c:pt>
                <c:pt idx="200">
                  <c:v>37.741707504389034</c:v>
                </c:pt>
                <c:pt idx="201">
                  <c:v>37.094563875978885</c:v>
                </c:pt>
                <c:pt idx="202">
                  <c:v>36.494461092982959</c:v>
                </c:pt>
                <c:pt idx="203">
                  <c:v>36.114874027428108</c:v>
                </c:pt>
                <c:pt idx="204">
                  <c:v>35.505164215480924</c:v>
                </c:pt>
                <c:pt idx="205">
                  <c:v>34.837230125846382</c:v>
                </c:pt>
                <c:pt idx="206">
                  <c:v>33.639236023606109</c:v>
                </c:pt>
                <c:pt idx="207">
                  <c:v>33.822856056931705</c:v>
                </c:pt>
                <c:pt idx="208">
                  <c:v>34.569492639049408</c:v>
                </c:pt>
                <c:pt idx="209">
                  <c:v>35.305507738526138</c:v>
                </c:pt>
                <c:pt idx="210">
                  <c:v>35.136308730635072</c:v>
                </c:pt>
                <c:pt idx="211">
                  <c:v>34.478028353304879</c:v>
                </c:pt>
                <c:pt idx="212">
                  <c:v>34.544208397758418</c:v>
                </c:pt>
                <c:pt idx="213">
                  <c:v>34.610388442211828</c:v>
                </c:pt>
                <c:pt idx="214">
                  <c:v>34.676568486665353</c:v>
                </c:pt>
                <c:pt idx="215">
                  <c:v>34.742748531118892</c:v>
                </c:pt>
                <c:pt idx="216">
                  <c:v>34.808928575572409</c:v>
                </c:pt>
                <c:pt idx="217">
                  <c:v>34.875108620025948</c:v>
                </c:pt>
                <c:pt idx="218">
                  <c:v>34.941288664479359</c:v>
                </c:pt>
                <c:pt idx="219">
                  <c:v>35.007468708932876</c:v>
                </c:pt>
                <c:pt idx="220">
                  <c:v>35.394243177319574</c:v>
                </c:pt>
                <c:pt idx="221">
                  <c:v>35.73527747221771</c:v>
                </c:pt>
                <c:pt idx="222">
                  <c:v>35.529135705922144</c:v>
                </c:pt>
                <c:pt idx="223">
                  <c:v>34.624600461193076</c:v>
                </c:pt>
                <c:pt idx="224">
                  <c:v>33.16274560222034</c:v>
                </c:pt>
                <c:pt idx="225">
                  <c:v>33.008739403637968</c:v>
                </c:pt>
                <c:pt idx="226">
                  <c:v>33.63503424283104</c:v>
                </c:pt>
                <c:pt idx="227">
                  <c:v>34.997030674308952</c:v>
                </c:pt>
                <c:pt idx="228">
                  <c:v>36.621678248256131</c:v>
                </c:pt>
                <c:pt idx="229">
                  <c:v>36.306950971712006</c:v>
                </c:pt>
                <c:pt idx="230">
                  <c:v>36.331240600452226</c:v>
                </c:pt>
                <c:pt idx="231">
                  <c:v>35.601334620479612</c:v>
                </c:pt>
                <c:pt idx="232">
                  <c:v>35.601334620479612</c:v>
                </c:pt>
                <c:pt idx="233">
                  <c:v>34.749019767136453</c:v>
                </c:pt>
                <c:pt idx="234">
                  <c:v>35.211743817433991</c:v>
                </c:pt>
                <c:pt idx="235">
                  <c:v>35.60463069271465</c:v>
                </c:pt>
                <c:pt idx="236">
                  <c:v>35.908159636028444</c:v>
                </c:pt>
                <c:pt idx="237">
                  <c:v>36.422469551092533</c:v>
                </c:pt>
                <c:pt idx="238">
                  <c:v>36.340105458574243</c:v>
                </c:pt>
                <c:pt idx="239">
                  <c:v>36.045809930053345</c:v>
                </c:pt>
                <c:pt idx="240">
                  <c:v>35.550591673686988</c:v>
                </c:pt>
                <c:pt idx="241">
                  <c:v>35.094763210542006</c:v>
                </c:pt>
                <c:pt idx="242">
                  <c:v>35.529049769251152</c:v>
                </c:pt>
                <c:pt idx="243">
                  <c:v>35.587077897903136</c:v>
                </c:pt>
                <c:pt idx="244">
                  <c:v>36.3830967962733</c:v>
                </c:pt>
                <c:pt idx="245">
                  <c:v>36.162027303236599</c:v>
                </c:pt>
                <c:pt idx="246">
                  <c:v>35.948000372350769</c:v>
                </c:pt>
                <c:pt idx="247">
                  <c:v>35.897944043519722</c:v>
                </c:pt>
                <c:pt idx="248">
                  <c:v>35.678064459931043</c:v>
                </c:pt>
                <c:pt idx="249">
                  <c:v>35.670426313913616</c:v>
                </c:pt>
                <c:pt idx="250">
                  <c:v>35.105589787355605</c:v>
                </c:pt>
                <c:pt idx="251">
                  <c:v>34.852212989361114</c:v>
                </c:pt>
                <c:pt idx="252">
                  <c:v>34.776616431399269</c:v>
                </c:pt>
                <c:pt idx="253">
                  <c:v>34.462961743794459</c:v>
                </c:pt>
                <c:pt idx="254">
                  <c:v>34.677490855310786</c:v>
                </c:pt>
                <c:pt idx="255">
                  <c:v>34.922465461454181</c:v>
                </c:pt>
                <c:pt idx="256">
                  <c:v>35.072225868459043</c:v>
                </c:pt>
                <c:pt idx="257">
                  <c:v>34.271243260755007</c:v>
                </c:pt>
                <c:pt idx="258">
                  <c:v>35.84995375469471</c:v>
                </c:pt>
                <c:pt idx="259">
                  <c:v>35.87639948849823</c:v>
                </c:pt>
                <c:pt idx="260">
                  <c:v>35.801751572912828</c:v>
                </c:pt>
                <c:pt idx="261">
                  <c:v>35.730669770958322</c:v>
                </c:pt>
                <c:pt idx="262">
                  <c:v>35.816414552217331</c:v>
                </c:pt>
                <c:pt idx="263">
                  <c:v>36.286173673425736</c:v>
                </c:pt>
                <c:pt idx="264">
                  <c:v>35.728864122936812</c:v>
                </c:pt>
                <c:pt idx="265">
                  <c:v>34.959759384725785</c:v>
                </c:pt>
                <c:pt idx="266">
                  <c:v>34.280299853926465</c:v>
                </c:pt>
                <c:pt idx="267">
                  <c:v>34.303857022475938</c:v>
                </c:pt>
                <c:pt idx="268">
                  <c:v>34.516179991089395</c:v>
                </c:pt>
                <c:pt idx="269">
                  <c:v>34.873413480174591</c:v>
                </c:pt>
                <c:pt idx="270">
                  <c:v>35.508985373632584</c:v>
                </c:pt>
                <c:pt idx="271">
                  <c:v>34.798232696699294</c:v>
                </c:pt>
                <c:pt idx="272">
                  <c:v>34.664567829622499</c:v>
                </c:pt>
                <c:pt idx="273">
                  <c:v>34.635937578537558</c:v>
                </c:pt>
                <c:pt idx="274">
                  <c:v>35.093181207518803</c:v>
                </c:pt>
                <c:pt idx="275">
                  <c:v>35.269548446821865</c:v>
                </c:pt>
                <c:pt idx="276">
                  <c:v>34.958518527730234</c:v>
                </c:pt>
                <c:pt idx="277">
                  <c:v>35.056900376851097</c:v>
                </c:pt>
                <c:pt idx="278">
                  <c:v>35.915938913298596</c:v>
                </c:pt>
                <c:pt idx="279">
                  <c:v>36.022952506723676</c:v>
                </c:pt>
                <c:pt idx="280">
                  <c:v>36.187592133874432</c:v>
                </c:pt>
                <c:pt idx="281">
                  <c:v>35.574013649894226</c:v>
                </c:pt>
                <c:pt idx="282">
                  <c:v>35.050452756275924</c:v>
                </c:pt>
                <c:pt idx="283">
                  <c:v>34.944085835071178</c:v>
                </c:pt>
                <c:pt idx="284">
                  <c:v>34.939340647105119</c:v>
                </c:pt>
                <c:pt idx="285">
                  <c:v>35.230413292659186</c:v>
                </c:pt>
                <c:pt idx="286">
                  <c:v>35.616587193055175</c:v>
                </c:pt>
                <c:pt idx="287">
                  <c:v>36.043889735230437</c:v>
                </c:pt>
                <c:pt idx="288">
                  <c:v>36.00573487779787</c:v>
                </c:pt>
                <c:pt idx="289">
                  <c:v>35.811301739164513</c:v>
                </c:pt>
                <c:pt idx="290">
                  <c:v>35.170137363581986</c:v>
                </c:pt>
                <c:pt idx="291">
                  <c:v>33.795208393772185</c:v>
                </c:pt>
                <c:pt idx="292">
                  <c:v>35.937669347289415</c:v>
                </c:pt>
                <c:pt idx="293">
                  <c:v>39.794849576677414</c:v>
                </c:pt>
                <c:pt idx="294">
                  <c:v>39.602107373176821</c:v>
                </c:pt>
                <c:pt idx="295">
                  <c:v>40.484939158644522</c:v>
                </c:pt>
                <c:pt idx="296">
                  <c:v>40.106107761098833</c:v>
                </c:pt>
                <c:pt idx="297">
                  <c:v>39.510310639084409</c:v>
                </c:pt>
                <c:pt idx="298">
                  <c:v>38.093167803223608</c:v>
                </c:pt>
                <c:pt idx="299">
                  <c:v>36.578711212570461</c:v>
                </c:pt>
                <c:pt idx="300">
                  <c:v>34.589805125017165</c:v>
                </c:pt>
                <c:pt idx="301">
                  <c:v>33.065475150453665</c:v>
                </c:pt>
                <c:pt idx="302">
                  <c:v>31.870969243901431</c:v>
                </c:pt>
                <c:pt idx="303">
                  <c:v>31.136416948989122</c:v>
                </c:pt>
                <c:pt idx="304">
                  <c:v>33.496658589634293</c:v>
                </c:pt>
                <c:pt idx="305">
                  <c:v>35.73361731150019</c:v>
                </c:pt>
                <c:pt idx="306">
                  <c:v>38.068841864707167</c:v>
                </c:pt>
                <c:pt idx="307">
                  <c:v>36.865274088021501</c:v>
                </c:pt>
                <c:pt idx="308">
                  <c:v>35.697335320257167</c:v>
                </c:pt>
                <c:pt idx="309">
                  <c:v>35.28159750260977</c:v>
                </c:pt>
                <c:pt idx="310">
                  <c:v>36.251827827453013</c:v>
                </c:pt>
                <c:pt idx="311">
                  <c:v>38.251226043546986</c:v>
                </c:pt>
                <c:pt idx="312">
                  <c:v>38.445693295315891</c:v>
                </c:pt>
                <c:pt idx="313">
                  <c:v>38.803287585680955</c:v>
                </c:pt>
                <c:pt idx="314">
                  <c:v>38.672120433540691</c:v>
                </c:pt>
                <c:pt idx="315">
                  <c:v>38.712168469058582</c:v>
                </c:pt>
                <c:pt idx="316">
                  <c:v>38.986818514630741</c:v>
                </c:pt>
                <c:pt idx="317">
                  <c:v>38.329983958002344</c:v>
                </c:pt>
                <c:pt idx="318">
                  <c:v>37.400020780187049</c:v>
                </c:pt>
                <c:pt idx="319">
                  <c:v>37.441573097972466</c:v>
                </c:pt>
                <c:pt idx="320">
                  <c:v>37.648150577114421</c:v>
                </c:pt>
                <c:pt idx="321">
                  <c:v>37.342959855792245</c:v>
                </c:pt>
                <c:pt idx="322">
                  <c:v>36.830306780929348</c:v>
                </c:pt>
                <c:pt idx="323">
                  <c:v>35.654507087694334</c:v>
                </c:pt>
                <c:pt idx="324">
                  <c:v>34.492276598193072</c:v>
                </c:pt>
                <c:pt idx="325">
                  <c:v>33.680154249930126</c:v>
                </c:pt>
                <c:pt idx="326">
                  <c:v>33.454838414229521</c:v>
                </c:pt>
                <c:pt idx="327">
                  <c:v>33.610977905605452</c:v>
                </c:pt>
                <c:pt idx="328">
                  <c:v>32.93774081629531</c:v>
                </c:pt>
                <c:pt idx="329">
                  <c:v>32.732124527213919</c:v>
                </c:pt>
                <c:pt idx="330">
                  <c:v>32.298855367612134</c:v>
                </c:pt>
                <c:pt idx="331">
                  <c:v>32.380149929032108</c:v>
                </c:pt>
                <c:pt idx="332">
                  <c:v>31.474531497745446</c:v>
                </c:pt>
                <c:pt idx="333">
                  <c:v>31.505755053340664</c:v>
                </c:pt>
                <c:pt idx="334">
                  <c:v>31.566336461708481</c:v>
                </c:pt>
                <c:pt idx="335">
                  <c:v>31.982155570816488</c:v>
                </c:pt>
                <c:pt idx="336">
                  <c:v>31.691262069220478</c:v>
                </c:pt>
                <c:pt idx="337">
                  <c:v>31.426256032841785</c:v>
                </c:pt>
                <c:pt idx="338">
                  <c:v>37.66947995360951</c:v>
                </c:pt>
                <c:pt idx="339">
                  <c:v>37.128587650562466</c:v>
                </c:pt>
                <c:pt idx="340">
                  <c:v>36.815342084154537</c:v>
                </c:pt>
                <c:pt idx="341">
                  <c:v>35.621685094862897</c:v>
                </c:pt>
                <c:pt idx="342">
                  <c:v>34.238690949589454</c:v>
                </c:pt>
                <c:pt idx="343">
                  <c:v>33.152606212439771</c:v>
                </c:pt>
                <c:pt idx="344">
                  <c:v>31.034111793770357</c:v>
                </c:pt>
                <c:pt idx="345">
                  <c:v>29.563577382994879</c:v>
                </c:pt>
                <c:pt idx="346">
                  <c:v>32.799293849577928</c:v>
                </c:pt>
                <c:pt idx="347">
                  <c:v>32.096558335703364</c:v>
                </c:pt>
                <c:pt idx="348">
                  <c:v>31.355160339492201</c:v>
                </c:pt>
                <c:pt idx="349">
                  <c:v>29.732650757637572</c:v>
                </c:pt>
                <c:pt idx="350">
                  <c:v>27.566827158310911</c:v>
                </c:pt>
                <c:pt idx="351">
                  <c:v>24.922226893854496</c:v>
                </c:pt>
                <c:pt idx="352">
                  <c:v>26.021515151529826</c:v>
                </c:pt>
                <c:pt idx="353">
                  <c:v>26.427679432958978</c:v>
                </c:pt>
                <c:pt idx="354">
                  <c:v>28.13564978756613</c:v>
                </c:pt>
                <c:pt idx="355">
                  <c:v>26.69311677757949</c:v>
                </c:pt>
                <c:pt idx="356">
                  <c:v>28.384676214789614</c:v>
                </c:pt>
                <c:pt idx="357">
                  <c:v>30.001120759279335</c:v>
                </c:pt>
                <c:pt idx="358">
                  <c:v>32.199805187269881</c:v>
                </c:pt>
                <c:pt idx="359">
                  <c:v>31.996456498780834</c:v>
                </c:pt>
                <c:pt idx="360">
                  <c:v>33.145943378041153</c:v>
                </c:pt>
                <c:pt idx="361">
                  <c:v>34.122576217213521</c:v>
                </c:pt>
                <c:pt idx="362">
                  <c:v>34.122576217213521</c:v>
                </c:pt>
                <c:pt idx="363">
                  <c:v>34.460002293964209</c:v>
                </c:pt>
                <c:pt idx="364">
                  <c:v>34.971196118711227</c:v>
                </c:pt>
                <c:pt idx="365">
                  <c:v>34.971196118711227</c:v>
                </c:pt>
                <c:pt idx="366">
                  <c:v>33.450137123163714</c:v>
                </c:pt>
                <c:pt idx="367">
                  <c:v>34.002158462971558</c:v>
                </c:pt>
                <c:pt idx="368">
                  <c:v>34.556069972020175</c:v>
                </c:pt>
                <c:pt idx="369">
                  <c:v>34.976877079679895</c:v>
                </c:pt>
                <c:pt idx="370">
                  <c:v>35.338864346850308</c:v>
                </c:pt>
                <c:pt idx="371">
                  <c:v>35.539602089248909</c:v>
                </c:pt>
                <c:pt idx="372">
                  <c:v>35.305661264645835</c:v>
                </c:pt>
                <c:pt idx="373">
                  <c:v>35.505848511958192</c:v>
                </c:pt>
                <c:pt idx="374">
                  <c:v>34.074230071845854</c:v>
                </c:pt>
                <c:pt idx="375">
                  <c:v>33.624698301328998</c:v>
                </c:pt>
                <c:pt idx="376">
                  <c:v>31.450157679928164</c:v>
                </c:pt>
                <c:pt idx="377">
                  <c:v>31.714646851854372</c:v>
                </c:pt>
                <c:pt idx="378">
                  <c:v>32.329088136361378</c:v>
                </c:pt>
                <c:pt idx="379">
                  <c:v>33.775177159546601</c:v>
                </c:pt>
                <c:pt idx="380">
                  <c:v>33.795893114991223</c:v>
                </c:pt>
                <c:pt idx="381">
                  <c:v>33.840111455094778</c:v>
                </c:pt>
                <c:pt idx="382">
                  <c:v>34.487016981845841</c:v>
                </c:pt>
                <c:pt idx="383">
                  <c:v>34.54887146980758</c:v>
                </c:pt>
                <c:pt idx="384">
                  <c:v>33.291817863976796</c:v>
                </c:pt>
                <c:pt idx="385">
                  <c:v>31.904230382485519</c:v>
                </c:pt>
                <c:pt idx="386">
                  <c:v>31.648559859306857</c:v>
                </c:pt>
                <c:pt idx="387">
                  <c:v>32.168993573885949</c:v>
                </c:pt>
                <c:pt idx="388">
                  <c:v>31.644697068610554</c:v>
                </c:pt>
                <c:pt idx="389">
                  <c:v>31.277201466928428</c:v>
                </c:pt>
                <c:pt idx="390">
                  <c:v>31.976393745468073</c:v>
                </c:pt>
                <c:pt idx="391">
                  <c:v>33.50693517750544</c:v>
                </c:pt>
                <c:pt idx="392">
                  <c:v>34.423721448999203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C-4371-AAB3-629E8476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36.827739288057799</c:v>
                </c:pt>
                <c:pt idx="229">
                  <c:v>36.502086615008203</c:v>
                </c:pt>
                <c:pt idx="230">
                  <c:v>37.820905597170601</c:v>
                </c:pt>
                <c:pt idx="231">
                  <c:v>37.385703514750197</c:v>
                </c:pt>
                <c:pt idx="232">
                  <c:v>36.330821405988701</c:v>
                </c:pt>
                <c:pt idx="233">
                  <c:v>38.522220074486697</c:v>
                </c:pt>
                <c:pt idx="234">
                  <c:v>39.199029022511397</c:v>
                </c:pt>
                <c:pt idx="235">
                  <c:v>38.994992077880099</c:v>
                </c:pt>
                <c:pt idx="236">
                  <c:v>38.558119855760197</c:v>
                </c:pt>
                <c:pt idx="237">
                  <c:v>38.523438943215801</c:v>
                </c:pt>
                <c:pt idx="238">
                  <c:v>37.951135763560401</c:v>
                </c:pt>
                <c:pt idx="239">
                  <c:v>37.3219873750744</c:v>
                </c:pt>
                <c:pt idx="240">
                  <c:v>36.929590288939401</c:v>
                </c:pt>
                <c:pt idx="241">
                  <c:v>37.077414175641501</c:v>
                </c:pt>
                <c:pt idx="242">
                  <c:v>36.905670172037802</c:v>
                </c:pt>
                <c:pt idx="243">
                  <c:v>37.364110724335703</c:v>
                </c:pt>
                <c:pt idx="244">
                  <c:v>37.744059991978702</c:v>
                </c:pt>
                <c:pt idx="245">
                  <c:v>38.451154163460501</c:v>
                </c:pt>
                <c:pt idx="246">
                  <c:v>38.264715277809898</c:v>
                </c:pt>
                <c:pt idx="247">
                  <c:v>37.437937154580602</c:v>
                </c:pt>
                <c:pt idx="248">
                  <c:v>38.649393085200501</c:v>
                </c:pt>
                <c:pt idx="249">
                  <c:v>38.492626629082899</c:v>
                </c:pt>
                <c:pt idx="250">
                  <c:v>37.409015079073001</c:v>
                </c:pt>
                <c:pt idx="251">
                  <c:v>36.832495049798197</c:v>
                </c:pt>
                <c:pt idx="252">
                  <c:v>38.891737159288901</c:v>
                </c:pt>
                <c:pt idx="253">
                  <c:v>38.694481583835099</c:v>
                </c:pt>
                <c:pt idx="254">
                  <c:v>37.887614657947402</c:v>
                </c:pt>
                <c:pt idx="255">
                  <c:v>37.644267541068402</c:v>
                </c:pt>
                <c:pt idx="256">
                  <c:v>37.714892073714701</c:v>
                </c:pt>
                <c:pt idx="257">
                  <c:v>37.785516606361</c:v>
                </c:pt>
                <c:pt idx="258">
                  <c:v>38.3216019609401</c:v>
                </c:pt>
                <c:pt idx="259">
                  <c:v>38.709285472713503</c:v>
                </c:pt>
                <c:pt idx="260">
                  <c:v>37.456798997182503</c:v>
                </c:pt>
                <c:pt idx="261">
                  <c:v>36.844163778936199</c:v>
                </c:pt>
                <c:pt idx="262">
                  <c:v>38.224117367542597</c:v>
                </c:pt>
                <c:pt idx="263">
                  <c:v>37.1468579436063</c:v>
                </c:pt>
                <c:pt idx="264">
                  <c:v>36.717923589951901</c:v>
                </c:pt>
                <c:pt idx="265">
                  <c:v>36.1140824782252</c:v>
                </c:pt>
                <c:pt idx="266">
                  <c:v>35.4904756034882</c:v>
                </c:pt>
                <c:pt idx="267">
                  <c:v>34.9526329184134</c:v>
                </c:pt>
                <c:pt idx="268">
                  <c:v>34.733795326231601</c:v>
                </c:pt>
                <c:pt idx="269">
                  <c:v>36.320441281008002</c:v>
                </c:pt>
                <c:pt idx="270">
                  <c:v>37.5800935134939</c:v>
                </c:pt>
                <c:pt idx="271">
                  <c:v>37.006157454053998</c:v>
                </c:pt>
                <c:pt idx="272">
                  <c:v>35.932403876890902</c:v>
                </c:pt>
                <c:pt idx="273">
                  <c:v>36.254133463046898</c:v>
                </c:pt>
                <c:pt idx="274">
                  <c:v>36.390973332691502</c:v>
                </c:pt>
                <c:pt idx="275">
                  <c:v>36.008973915065198</c:v>
                </c:pt>
                <c:pt idx="276">
                  <c:v>35.9239697832028</c:v>
                </c:pt>
                <c:pt idx="277">
                  <c:v>35.838965651340402</c:v>
                </c:pt>
                <c:pt idx="278">
                  <c:v>35.502528596995298</c:v>
                </c:pt>
                <c:pt idx="279">
                  <c:v>36.699949187168897</c:v>
                </c:pt>
                <c:pt idx="280">
                  <c:v>36.536614010711297</c:v>
                </c:pt>
                <c:pt idx="281">
                  <c:v>35.3305826550299</c:v>
                </c:pt>
                <c:pt idx="282">
                  <c:v>34.201074692677899</c:v>
                </c:pt>
                <c:pt idx="283">
                  <c:v>34.403486905825503</c:v>
                </c:pt>
                <c:pt idx="284">
                  <c:v>33.855690507900697</c:v>
                </c:pt>
                <c:pt idx="285">
                  <c:v>33.351948487343698</c:v>
                </c:pt>
                <c:pt idx="286">
                  <c:v>32.841713263601797</c:v>
                </c:pt>
                <c:pt idx="287">
                  <c:v>32.4797632307071</c:v>
                </c:pt>
                <c:pt idx="288">
                  <c:v>32.103782964479898</c:v>
                </c:pt>
                <c:pt idx="289">
                  <c:v>31.742797573479098</c:v>
                </c:pt>
                <c:pt idx="290">
                  <c:v>31.381812182478299</c:v>
                </c:pt>
                <c:pt idx="291">
                  <c:v>26.831183762971801</c:v>
                </c:pt>
                <c:pt idx="292">
                  <c:v>34.518864171282701</c:v>
                </c:pt>
                <c:pt idx="293">
                  <c:v>35.2391245748125</c:v>
                </c:pt>
                <c:pt idx="294">
                  <c:v>35.778244035441197</c:v>
                </c:pt>
                <c:pt idx="295">
                  <c:v>35.945191989545997</c:v>
                </c:pt>
                <c:pt idx="296">
                  <c:v>38.786420794270299</c:v>
                </c:pt>
                <c:pt idx="297">
                  <c:v>37.327950427753798</c:v>
                </c:pt>
                <c:pt idx="298">
                  <c:v>36.144562939614801</c:v>
                </c:pt>
                <c:pt idx="299">
                  <c:v>34.735708502413402</c:v>
                </c:pt>
                <c:pt idx="300">
                  <c:v>33.465459648726799</c:v>
                </c:pt>
                <c:pt idx="301">
                  <c:v>32.308438444707399</c:v>
                </c:pt>
                <c:pt idx="302">
                  <c:v>31.300998297678699</c:v>
                </c:pt>
                <c:pt idx="303">
                  <c:v>30.469237327995899</c:v>
                </c:pt>
                <c:pt idx="304">
                  <c:v>30.168969211969401</c:v>
                </c:pt>
                <c:pt idx="305">
                  <c:v>32.0910279215949</c:v>
                </c:pt>
                <c:pt idx="306">
                  <c:v>31.862592664967799</c:v>
                </c:pt>
                <c:pt idx="307">
                  <c:v>31.4583462654731</c:v>
                </c:pt>
                <c:pt idx="308">
                  <c:v>31.062609024766999</c:v>
                </c:pt>
                <c:pt idx="309">
                  <c:v>30.994080608836001</c:v>
                </c:pt>
                <c:pt idx="310">
                  <c:v>32.7750177828378</c:v>
                </c:pt>
                <c:pt idx="311">
                  <c:v>32.065218593262003</c:v>
                </c:pt>
                <c:pt idx="312">
                  <c:v>34.802265302004301</c:v>
                </c:pt>
                <c:pt idx="313">
                  <c:v>36.065530825288597</c:v>
                </c:pt>
                <c:pt idx="314">
                  <c:v>34.739342932042398</c:v>
                </c:pt>
                <c:pt idx="315">
                  <c:v>34.122340470902699</c:v>
                </c:pt>
                <c:pt idx="316">
                  <c:v>34.492350777914901</c:v>
                </c:pt>
                <c:pt idx="317">
                  <c:v>34.037416416620601</c:v>
                </c:pt>
                <c:pt idx="318">
                  <c:v>37.0387419568141</c:v>
                </c:pt>
                <c:pt idx="319">
                  <c:v>36.461872022930798</c:v>
                </c:pt>
                <c:pt idx="320">
                  <c:v>35.498626930236597</c:v>
                </c:pt>
                <c:pt idx="321">
                  <c:v>35.928328229430001</c:v>
                </c:pt>
                <c:pt idx="322">
                  <c:v>35.126552158502001</c:v>
                </c:pt>
                <c:pt idx="323">
                  <c:v>34.1167529843746</c:v>
                </c:pt>
                <c:pt idx="324">
                  <c:v>33.224320606064701</c:v>
                </c:pt>
                <c:pt idx="325">
                  <c:v>32.518967356221502</c:v>
                </c:pt>
                <c:pt idx="326">
                  <c:v>31.557899166655702</c:v>
                </c:pt>
                <c:pt idx="327">
                  <c:v>30.590635727977698</c:v>
                </c:pt>
                <c:pt idx="328">
                  <c:v>29.7898125302466</c:v>
                </c:pt>
                <c:pt idx="329">
                  <c:v>29.1723054063017</c:v>
                </c:pt>
                <c:pt idx="330">
                  <c:v>28.944480207266501</c:v>
                </c:pt>
                <c:pt idx="331">
                  <c:v>28.5637140906992</c:v>
                </c:pt>
                <c:pt idx="332">
                  <c:v>28.3356722144595</c:v>
                </c:pt>
                <c:pt idx="333">
                  <c:v>27.8769048488621</c:v>
                </c:pt>
                <c:pt idx="334">
                  <c:v>27.662044485460701</c:v>
                </c:pt>
                <c:pt idx="335">
                  <c:v>27.326281992673099</c:v>
                </c:pt>
                <c:pt idx="336">
                  <c:v>27.385899725779801</c:v>
                </c:pt>
                <c:pt idx="337">
                  <c:v>29.5353925470143</c:v>
                </c:pt>
                <c:pt idx="338">
                  <c:v>34.350204460009799</c:v>
                </c:pt>
                <c:pt idx="339">
                  <c:v>34.704479509313899</c:v>
                </c:pt>
                <c:pt idx="340">
                  <c:v>32.800289756108803</c:v>
                </c:pt>
                <c:pt idx="341">
                  <c:v>31.089399471392699</c:v>
                </c:pt>
                <c:pt idx="342">
                  <c:v>29.9702984372367</c:v>
                </c:pt>
                <c:pt idx="343">
                  <c:v>28.691059373047299</c:v>
                </c:pt>
                <c:pt idx="344">
                  <c:v>25.651812184132002</c:v>
                </c:pt>
                <c:pt idx="345">
                  <c:v>25.644585580873201</c:v>
                </c:pt>
                <c:pt idx="346">
                  <c:v>25.704669784903</c:v>
                </c:pt>
                <c:pt idx="347">
                  <c:v>25.524946577219801</c:v>
                </c:pt>
                <c:pt idx="348">
                  <c:v>25.378913774904198</c:v>
                </c:pt>
                <c:pt idx="349">
                  <c:v>25.242158586146701</c:v>
                </c:pt>
                <c:pt idx="350">
                  <c:v>25.067398879416999</c:v>
                </c:pt>
                <c:pt idx="351">
                  <c:v>24.907534436572998</c:v>
                </c:pt>
                <c:pt idx="352">
                  <c:v>24.8047357611104</c:v>
                </c:pt>
                <c:pt idx="353">
                  <c:v>24.830965556009001</c:v>
                </c:pt>
                <c:pt idx="354">
                  <c:v>24.7153816619062</c:v>
                </c:pt>
                <c:pt idx="355">
                  <c:v>24.609987020952701</c:v>
                </c:pt>
                <c:pt idx="356">
                  <c:v>24.548865205684098</c:v>
                </c:pt>
                <c:pt idx="357">
                  <c:v>25.092118600356699</c:v>
                </c:pt>
                <c:pt idx="358">
                  <c:v>30.494581167153999</c:v>
                </c:pt>
                <c:pt idx="359">
                  <c:v>29.756301592032699</c:v>
                </c:pt>
                <c:pt idx="360">
                  <c:v>31.0129393030074</c:v>
                </c:pt>
                <c:pt idx="361">
                  <c:v>31.105628316753201</c:v>
                </c:pt>
                <c:pt idx="362">
                  <c:v>30.582460661745898</c:v>
                </c:pt>
                <c:pt idx="363">
                  <c:v>31.868333880808699</c:v>
                </c:pt>
                <c:pt idx="364">
                  <c:v>34.478083042584601</c:v>
                </c:pt>
                <c:pt idx="365">
                  <c:v>36.670393613875802</c:v>
                </c:pt>
                <c:pt idx="366">
                  <c:v>36.752385835974501</c:v>
                </c:pt>
                <c:pt idx="367">
                  <c:v>36.363554659059503</c:v>
                </c:pt>
                <c:pt idx="368">
                  <c:v>35.408974394312402</c:v>
                </c:pt>
                <c:pt idx="369">
                  <c:v>36.0267540933433</c:v>
                </c:pt>
                <c:pt idx="370">
                  <c:v>35.202150482981899</c:v>
                </c:pt>
                <c:pt idx="371">
                  <c:v>33.978632949764602</c:v>
                </c:pt>
                <c:pt idx="372">
                  <c:v>33.881251988418803</c:v>
                </c:pt>
                <c:pt idx="373">
                  <c:v>33.680472559087697</c:v>
                </c:pt>
                <c:pt idx="374">
                  <c:v>33.522864355579301</c:v>
                </c:pt>
                <c:pt idx="375">
                  <c:v>33.250008972594699</c:v>
                </c:pt>
                <c:pt idx="376">
                  <c:v>32.920701844085499</c:v>
                </c:pt>
                <c:pt idx="377">
                  <c:v>32.6365692391377</c:v>
                </c:pt>
                <c:pt idx="378">
                  <c:v>32.901828619733003</c:v>
                </c:pt>
                <c:pt idx="379">
                  <c:v>33.843721689773297</c:v>
                </c:pt>
                <c:pt idx="380">
                  <c:v>33.8397785579551</c:v>
                </c:pt>
                <c:pt idx="381">
                  <c:v>34.362193350928102</c:v>
                </c:pt>
                <c:pt idx="382">
                  <c:v>36.151065321793602</c:v>
                </c:pt>
                <c:pt idx="383">
                  <c:v>35.102276247107497</c:v>
                </c:pt>
                <c:pt idx="384">
                  <c:v>34.589577186762</c:v>
                </c:pt>
                <c:pt idx="385">
                  <c:v>34.597926126721703</c:v>
                </c:pt>
                <c:pt idx="386">
                  <c:v>35.034692047449397</c:v>
                </c:pt>
                <c:pt idx="387">
                  <c:v>34.742557310828197</c:v>
                </c:pt>
                <c:pt idx="388">
                  <c:v>34.420257618638402</c:v>
                </c:pt>
                <c:pt idx="389">
                  <c:v>34.0611903858197</c:v>
                </c:pt>
                <c:pt idx="390">
                  <c:v>33.7256732440419</c:v>
                </c:pt>
                <c:pt idx="391">
                  <c:v>34.601165085075202</c:v>
                </c:pt>
                <c:pt idx="392">
                  <c:v>34.394010868605399</c:v>
                </c:pt>
              </c:numCache>
            </c:numRef>
          </c:xVal>
          <c:yVal>
            <c:numRef>
              <c:f>selhausen_SM_Kdose_daily!$B$8:$B$400</c:f>
              <c:numCache>
                <c:formatCode>General</c:formatCode>
                <c:ptCount val="393"/>
                <c:pt idx="0">
                  <c:v>89.677773672228</c:v>
                </c:pt>
                <c:pt idx="1">
                  <c:v>90.551369069587096</c:v>
                </c:pt>
                <c:pt idx="2">
                  <c:v>90.906757031458199</c:v>
                </c:pt>
                <c:pt idx="3">
                  <c:v>91.598697775433195</c:v>
                </c:pt>
                <c:pt idx="4">
                  <c:v>91.534481291355803</c:v>
                </c:pt>
                <c:pt idx="5">
                  <c:v>91.596326090495893</c:v>
                </c:pt>
                <c:pt idx="6">
                  <c:v>91.562559274159696</c:v>
                </c:pt>
                <c:pt idx="7">
                  <c:v>91.852236804325003</c:v>
                </c:pt>
                <c:pt idx="8">
                  <c:v>92.599630677359102</c:v>
                </c:pt>
                <c:pt idx="9">
                  <c:v>93.9574357211782</c:v>
                </c:pt>
                <c:pt idx="10">
                  <c:v>94.397145473936405</c:v>
                </c:pt>
                <c:pt idx="11">
                  <c:v>93.360727318346605</c:v>
                </c:pt>
                <c:pt idx="12">
                  <c:v>91.493680671329301</c:v>
                </c:pt>
                <c:pt idx="13">
                  <c:v>90.602716615175694</c:v>
                </c:pt>
                <c:pt idx="14">
                  <c:v>90.173977053680005</c:v>
                </c:pt>
                <c:pt idx="15">
                  <c:v>90.651394417558507</c:v>
                </c:pt>
                <c:pt idx="16">
                  <c:v>91.881430113799993</c:v>
                </c:pt>
                <c:pt idx="17">
                  <c:v>92.062789814456096</c:v>
                </c:pt>
                <c:pt idx="18">
                  <c:v>91.416558199218699</c:v>
                </c:pt>
                <c:pt idx="19">
                  <c:v>90.060859484378497</c:v>
                </c:pt>
                <c:pt idx="20">
                  <c:v>90.066895924202498</c:v>
                </c:pt>
                <c:pt idx="21">
                  <c:v>90.545565513363997</c:v>
                </c:pt>
                <c:pt idx="22">
                  <c:v>90.969161485897004</c:v>
                </c:pt>
                <c:pt idx="23">
                  <c:v>91.249585832524204</c:v>
                </c:pt>
                <c:pt idx="24">
                  <c:v>91.645203798133593</c:v>
                </c:pt>
                <c:pt idx="25">
                  <c:v>91.803241339848697</c:v>
                </c:pt>
                <c:pt idx="26">
                  <c:v>91.720438512182696</c:v>
                </c:pt>
                <c:pt idx="27">
                  <c:v>91.745912789318794</c:v>
                </c:pt>
                <c:pt idx="28">
                  <c:v>91.507326870385398</c:v>
                </c:pt>
                <c:pt idx="29">
                  <c:v>91.644206125434707</c:v>
                </c:pt>
                <c:pt idx="30">
                  <c:v>91.303548147706195</c:v>
                </c:pt>
                <c:pt idx="31">
                  <c:v>90.322008320383702</c:v>
                </c:pt>
                <c:pt idx="32">
                  <c:v>89.340468493061195</c:v>
                </c:pt>
                <c:pt idx="33">
                  <c:v>88.358928665738603</c:v>
                </c:pt>
                <c:pt idx="34">
                  <c:v>89.022057709365896</c:v>
                </c:pt>
                <c:pt idx="35">
                  <c:v>88.961398625484705</c:v>
                </c:pt>
                <c:pt idx="36">
                  <c:v>89.262633605357706</c:v>
                </c:pt>
                <c:pt idx="37">
                  <c:v>88.5183617897179</c:v>
                </c:pt>
                <c:pt idx="38">
                  <c:v>88.811391238735197</c:v>
                </c:pt>
                <c:pt idx="39">
                  <c:v>88.811391238735197</c:v>
                </c:pt>
                <c:pt idx="40">
                  <c:v>89.426139355757002</c:v>
                </c:pt>
                <c:pt idx="41">
                  <c:v>89.504815171102194</c:v>
                </c:pt>
                <c:pt idx="42">
                  <c:v>89.583490986447401</c:v>
                </c:pt>
                <c:pt idx="43">
                  <c:v>89.662166801792594</c:v>
                </c:pt>
                <c:pt idx="44">
                  <c:v>89.740842617137901</c:v>
                </c:pt>
                <c:pt idx="45">
                  <c:v>89.795328694899894</c:v>
                </c:pt>
                <c:pt idx="46">
                  <c:v>89.7828712783528</c:v>
                </c:pt>
                <c:pt idx="47">
                  <c:v>89.8038856089603</c:v>
                </c:pt>
                <c:pt idx="48">
                  <c:v>89.757956445258699</c:v>
                </c:pt>
                <c:pt idx="49">
                  <c:v>88.859896272863907</c:v>
                </c:pt>
                <c:pt idx="50">
                  <c:v>88.892492160347899</c:v>
                </c:pt>
                <c:pt idx="51">
                  <c:v>89.094109797226295</c:v>
                </c:pt>
                <c:pt idx="52">
                  <c:v>89.344226540977701</c:v>
                </c:pt>
                <c:pt idx="53">
                  <c:v>89.119569500007103</c:v>
                </c:pt>
                <c:pt idx="54">
                  <c:v>88.930681714519096</c:v>
                </c:pt>
                <c:pt idx="55">
                  <c:v>88.5701311248595</c:v>
                </c:pt>
                <c:pt idx="56">
                  <c:v>88.700264816024401</c:v>
                </c:pt>
                <c:pt idx="57">
                  <c:v>88.918572194713903</c:v>
                </c:pt>
                <c:pt idx="58">
                  <c:v>89.5495486254799</c:v>
                </c:pt>
                <c:pt idx="59">
                  <c:v>90.757166084065602</c:v>
                </c:pt>
                <c:pt idx="60">
                  <c:v>90.5043670331399</c:v>
                </c:pt>
                <c:pt idx="61">
                  <c:v>89.756343386965895</c:v>
                </c:pt>
                <c:pt idx="62">
                  <c:v>89.095721739831106</c:v>
                </c:pt>
                <c:pt idx="63">
                  <c:v>90.239644827134896</c:v>
                </c:pt>
                <c:pt idx="64">
                  <c:v>92.566447197078702</c:v>
                </c:pt>
                <c:pt idx="65">
                  <c:v>93.750543132629204</c:v>
                </c:pt>
                <c:pt idx="66">
                  <c:v>94.120033129113196</c:v>
                </c:pt>
                <c:pt idx="67">
                  <c:v>93.1098543209459</c:v>
                </c:pt>
                <c:pt idx="68">
                  <c:v>91.082009602965101</c:v>
                </c:pt>
                <c:pt idx="69">
                  <c:v>89.768413424269696</c:v>
                </c:pt>
                <c:pt idx="70">
                  <c:v>90.2293218302528</c:v>
                </c:pt>
                <c:pt idx="71">
                  <c:v>91.700804979837898</c:v>
                </c:pt>
                <c:pt idx="72">
                  <c:v>91.715807056327094</c:v>
                </c:pt>
                <c:pt idx="73">
                  <c:v>91.495251187564506</c:v>
                </c:pt>
                <c:pt idx="74">
                  <c:v>91.329362977450998</c:v>
                </c:pt>
                <c:pt idx="75">
                  <c:v>91.054007384346605</c:v>
                </c:pt>
                <c:pt idx="76">
                  <c:v>91.410734442009698</c:v>
                </c:pt>
                <c:pt idx="77">
                  <c:v>91.975721483910704</c:v>
                </c:pt>
                <c:pt idx="78">
                  <c:v>92.355064156218702</c:v>
                </c:pt>
                <c:pt idx="79">
                  <c:v>93.458569631857998</c:v>
                </c:pt>
                <c:pt idx="80">
                  <c:v>95.015618191101098</c:v>
                </c:pt>
                <c:pt idx="81">
                  <c:v>97.384275108232004</c:v>
                </c:pt>
                <c:pt idx="82">
                  <c:v>99.042906602458004</c:v>
                </c:pt>
                <c:pt idx="83">
                  <c:v>99.494081823690195</c:v>
                </c:pt>
                <c:pt idx="84">
                  <c:v>99.211957202066699</c:v>
                </c:pt>
                <c:pt idx="85">
                  <c:v>98.861545917840601</c:v>
                </c:pt>
                <c:pt idx="86">
                  <c:v>94.399364938032903</c:v>
                </c:pt>
                <c:pt idx="87">
                  <c:v>91.065741562152894</c:v>
                </c:pt>
                <c:pt idx="88">
                  <c:v>92.094807690881098</c:v>
                </c:pt>
                <c:pt idx="89">
                  <c:v>94.0729122122532</c:v>
                </c:pt>
                <c:pt idx="90">
                  <c:v>94.8296353492359</c:v>
                </c:pt>
                <c:pt idx="91">
                  <c:v>94.630571696917201</c:v>
                </c:pt>
                <c:pt idx="92">
                  <c:v>93.499750458538898</c:v>
                </c:pt>
                <c:pt idx="93">
                  <c:v>93.631058640012</c:v>
                </c:pt>
                <c:pt idx="94">
                  <c:v>94.235032184145695</c:v>
                </c:pt>
                <c:pt idx="95">
                  <c:v>93.476710704175801</c:v>
                </c:pt>
                <c:pt idx="96">
                  <c:v>92.423559398581503</c:v>
                </c:pt>
                <c:pt idx="97">
                  <c:v>91.818452009586906</c:v>
                </c:pt>
                <c:pt idx="98">
                  <c:v>93.416173028360205</c:v>
                </c:pt>
                <c:pt idx="99">
                  <c:v>95.377044136511103</c:v>
                </c:pt>
                <c:pt idx="100">
                  <c:v>97.206213402678003</c:v>
                </c:pt>
                <c:pt idx="101">
                  <c:v>98.076501453805506</c:v>
                </c:pt>
                <c:pt idx="102">
                  <c:v>97.576059962204297</c:v>
                </c:pt>
                <c:pt idx="103">
                  <c:v>96.659002544510301</c:v>
                </c:pt>
                <c:pt idx="104">
                  <c:v>96.113161711141004</c:v>
                </c:pt>
                <c:pt idx="105">
                  <c:v>96.975281159957305</c:v>
                </c:pt>
                <c:pt idx="106">
                  <c:v>97.017747919760296</c:v>
                </c:pt>
                <c:pt idx="107">
                  <c:v>96.394397570364106</c:v>
                </c:pt>
                <c:pt idx="108">
                  <c:v>94.922803602643299</c:v>
                </c:pt>
                <c:pt idx="109">
                  <c:v>94.384435568187797</c:v>
                </c:pt>
                <c:pt idx="110">
                  <c:v>95.020113137866005</c:v>
                </c:pt>
                <c:pt idx="111">
                  <c:v>96.315618137055694</c:v>
                </c:pt>
                <c:pt idx="112">
                  <c:v>97.258049580656404</c:v>
                </c:pt>
                <c:pt idx="113">
                  <c:v>97.832042227328202</c:v>
                </c:pt>
                <c:pt idx="114">
                  <c:v>97.898419865526606</c:v>
                </c:pt>
                <c:pt idx="115">
                  <c:v>98.234976448962001</c:v>
                </c:pt>
                <c:pt idx="116">
                  <c:v>98.250446014751802</c:v>
                </c:pt>
                <c:pt idx="117">
                  <c:v>96.877085535032194</c:v>
                </c:pt>
                <c:pt idx="118">
                  <c:v>95.364328834056806</c:v>
                </c:pt>
                <c:pt idx="119">
                  <c:v>94.317387533320499</c:v>
                </c:pt>
                <c:pt idx="120">
                  <c:v>95.145112336871705</c:v>
                </c:pt>
                <c:pt idx="121">
                  <c:v>96.981183610423997</c:v>
                </c:pt>
                <c:pt idx="122">
                  <c:v>96.760019144796402</c:v>
                </c:pt>
                <c:pt idx="123">
                  <c:v>96.924166522213397</c:v>
                </c:pt>
                <c:pt idx="124">
                  <c:v>92.035587652251195</c:v>
                </c:pt>
                <c:pt idx="125">
                  <c:v>89.830729237174594</c:v>
                </c:pt>
                <c:pt idx="126">
                  <c:v>89.830729237174594</c:v>
                </c:pt>
                <c:pt idx="127">
                  <c:v>91.972532974476195</c:v>
                </c:pt>
                <c:pt idx="128">
                  <c:v>91.972532974476195</c:v>
                </c:pt>
                <c:pt idx="129">
                  <c:v>91.972532974476195</c:v>
                </c:pt>
                <c:pt idx="130">
                  <c:v>91.517469022951005</c:v>
                </c:pt>
                <c:pt idx="131">
                  <c:v>91.0624050714258</c:v>
                </c:pt>
                <c:pt idx="132">
                  <c:v>90.607341119900596</c:v>
                </c:pt>
                <c:pt idx="133">
                  <c:v>90.607341119900596</c:v>
                </c:pt>
                <c:pt idx="134">
                  <c:v>90.244455677829706</c:v>
                </c:pt>
                <c:pt idx="135">
                  <c:v>89.881570235758801</c:v>
                </c:pt>
                <c:pt idx="136">
                  <c:v>91.005583452012701</c:v>
                </c:pt>
                <c:pt idx="137">
                  <c:v>91.339803604534794</c:v>
                </c:pt>
                <c:pt idx="138">
                  <c:v>91.505824583556503</c:v>
                </c:pt>
                <c:pt idx="139">
                  <c:v>90.933770447962701</c:v>
                </c:pt>
                <c:pt idx="140">
                  <c:v>90.667362827212102</c:v>
                </c:pt>
                <c:pt idx="141">
                  <c:v>90.080000950559693</c:v>
                </c:pt>
                <c:pt idx="142">
                  <c:v>90.371735268587699</c:v>
                </c:pt>
                <c:pt idx="143">
                  <c:v>90.682209063605896</c:v>
                </c:pt>
                <c:pt idx="144">
                  <c:v>91.288637215569295</c:v>
                </c:pt>
                <c:pt idx="145">
                  <c:v>88.940882412275599</c:v>
                </c:pt>
                <c:pt idx="146">
                  <c:v>89.794067552010503</c:v>
                </c:pt>
                <c:pt idx="147">
                  <c:v>89.794067552010503</c:v>
                </c:pt>
                <c:pt idx="148">
                  <c:v>90.647252691745507</c:v>
                </c:pt>
                <c:pt idx="149">
                  <c:v>88.997056995398097</c:v>
                </c:pt>
                <c:pt idx="150">
                  <c:v>89.289277592101101</c:v>
                </c:pt>
                <c:pt idx="151">
                  <c:v>89.899021328055696</c:v>
                </c:pt>
                <c:pt idx="152">
                  <c:v>90.327491650394506</c:v>
                </c:pt>
                <c:pt idx="153">
                  <c:v>90.195765692442606</c:v>
                </c:pt>
                <c:pt idx="154">
                  <c:v>89.555255527380396</c:v>
                </c:pt>
                <c:pt idx="155">
                  <c:v>89.161740558062306</c:v>
                </c:pt>
                <c:pt idx="156">
                  <c:v>89.216171175610995</c:v>
                </c:pt>
                <c:pt idx="157">
                  <c:v>89.231262260970198</c:v>
                </c:pt>
                <c:pt idx="158">
                  <c:v>89.295931864225295</c:v>
                </c:pt>
                <c:pt idx="159">
                  <c:v>88.950729600581099</c:v>
                </c:pt>
                <c:pt idx="160">
                  <c:v>88.822729750777</c:v>
                </c:pt>
                <c:pt idx="161">
                  <c:v>88.822729750777</c:v>
                </c:pt>
                <c:pt idx="162">
                  <c:v>89.194430847857305</c:v>
                </c:pt>
                <c:pt idx="163">
                  <c:v>89.701099698088598</c:v>
                </c:pt>
                <c:pt idx="164">
                  <c:v>90.218519675452796</c:v>
                </c:pt>
                <c:pt idx="165">
                  <c:v>90.674413834479793</c:v>
                </c:pt>
                <c:pt idx="166">
                  <c:v>90.781662750219098</c:v>
                </c:pt>
                <c:pt idx="167">
                  <c:v>90.687071282894493</c:v>
                </c:pt>
                <c:pt idx="168">
                  <c:v>91.061416307607303</c:v>
                </c:pt>
                <c:pt idx="169">
                  <c:v>91.4314563069466</c:v>
                </c:pt>
                <c:pt idx="170">
                  <c:v>91.485121932787493</c:v>
                </c:pt>
                <c:pt idx="171">
                  <c:v>91.013532174922503</c:v>
                </c:pt>
                <c:pt idx="172">
                  <c:v>90.634028250552007</c:v>
                </c:pt>
                <c:pt idx="173">
                  <c:v>90.109500636474394</c:v>
                </c:pt>
                <c:pt idx="174">
                  <c:v>89.490174400322402</c:v>
                </c:pt>
                <c:pt idx="175">
                  <c:v>89.199831296045602</c:v>
                </c:pt>
                <c:pt idx="176">
                  <c:v>89.184466033502403</c:v>
                </c:pt>
                <c:pt idx="177">
                  <c:v>89.126221299111293</c:v>
                </c:pt>
                <c:pt idx="178">
                  <c:v>89.733677954188806</c:v>
                </c:pt>
                <c:pt idx="179">
                  <c:v>89.666710369644306</c:v>
                </c:pt>
                <c:pt idx="180">
                  <c:v>90.041201073340602</c:v>
                </c:pt>
                <c:pt idx="181">
                  <c:v>90.013821772626898</c:v>
                </c:pt>
                <c:pt idx="182">
                  <c:v>91.399110910666394</c:v>
                </c:pt>
                <c:pt idx="183">
                  <c:v>91.4512834564635</c:v>
                </c:pt>
                <c:pt idx="184">
                  <c:v>91.358136824205204</c:v>
                </c:pt>
                <c:pt idx="185">
                  <c:v>90.331103981051697</c:v>
                </c:pt>
                <c:pt idx="186">
                  <c:v>90.464783255296695</c:v>
                </c:pt>
                <c:pt idx="187">
                  <c:v>89.718238002935905</c:v>
                </c:pt>
                <c:pt idx="188">
                  <c:v>89.718238002935905</c:v>
                </c:pt>
                <c:pt idx="189">
                  <c:v>89.260825678489994</c:v>
                </c:pt>
                <c:pt idx="190">
                  <c:v>88.622634855825495</c:v>
                </c:pt>
                <c:pt idx="191">
                  <c:v>89.057086140197001</c:v>
                </c:pt>
                <c:pt idx="192">
                  <c:v>89.655756300373596</c:v>
                </c:pt>
                <c:pt idx="193">
                  <c:v>90.262706271756997</c:v>
                </c:pt>
                <c:pt idx="194">
                  <c:v>90.202130066856697</c:v>
                </c:pt>
                <c:pt idx="195">
                  <c:v>90.309842698260397</c:v>
                </c:pt>
                <c:pt idx="196">
                  <c:v>90.029525801452493</c:v>
                </c:pt>
                <c:pt idx="197">
                  <c:v>90.141870552609106</c:v>
                </c:pt>
                <c:pt idx="198">
                  <c:v>88.519923504600797</c:v>
                </c:pt>
                <c:pt idx="199">
                  <c:v>88.144967063000706</c:v>
                </c:pt>
                <c:pt idx="200">
                  <c:v>88.426851344901607</c:v>
                </c:pt>
                <c:pt idx="201">
                  <c:v>88.920557219015706</c:v>
                </c:pt>
                <c:pt idx="202">
                  <c:v>89.378375632163298</c:v>
                </c:pt>
                <c:pt idx="203">
                  <c:v>89.667962604475093</c:v>
                </c:pt>
                <c:pt idx="204">
                  <c:v>90.133110220009598</c:v>
                </c:pt>
                <c:pt idx="205">
                  <c:v>90.642677136991793</c:v>
                </c:pt>
                <c:pt idx="206">
                  <c:v>91.556626837590898</c:v>
                </c:pt>
                <c:pt idx="207">
                  <c:v>91.416543114166799</c:v>
                </c:pt>
                <c:pt idx="208">
                  <c:v>90.846934065669203</c:v>
                </c:pt>
                <c:pt idx="209">
                  <c:v>90.285428146278406</c:v>
                </c:pt>
                <c:pt idx="210">
                  <c:v>90.414510069398503</c:v>
                </c:pt>
                <c:pt idx="211">
                  <c:v>90.916712169263704</c:v>
                </c:pt>
                <c:pt idx="212">
                  <c:v>90.866223413350099</c:v>
                </c:pt>
                <c:pt idx="213">
                  <c:v>90.815734657436593</c:v>
                </c:pt>
                <c:pt idx="214">
                  <c:v>90.765245901523002</c:v>
                </c:pt>
                <c:pt idx="215">
                  <c:v>90.714757145609397</c:v>
                </c:pt>
                <c:pt idx="216">
                  <c:v>90.664268389695806</c:v>
                </c:pt>
                <c:pt idx="217">
                  <c:v>90.613779633782201</c:v>
                </c:pt>
                <c:pt idx="218">
                  <c:v>90.563290877868695</c:v>
                </c:pt>
                <c:pt idx="219">
                  <c:v>90.512802121955104</c:v>
                </c:pt>
                <c:pt idx="220">
                  <c:v>90.217731880022896</c:v>
                </c:pt>
                <c:pt idx="221">
                  <c:v>89.957556816445106</c:v>
                </c:pt>
                <c:pt idx="222">
                  <c:v>90.114822369951995</c:v>
                </c:pt>
                <c:pt idx="223">
                  <c:v>90.8048923081558</c:v>
                </c:pt>
                <c:pt idx="224">
                  <c:v>91.920141380066099</c:v>
                </c:pt>
                <c:pt idx="225">
                  <c:v>92.037632708964594</c:v>
                </c:pt>
                <c:pt idx="226">
                  <c:v>91.5598323761442</c:v>
                </c:pt>
                <c:pt idx="227">
                  <c:v>90.5207652985697</c:v>
                </c:pt>
                <c:pt idx="228">
                  <c:v>89.281321664405397</c:v>
                </c:pt>
                <c:pt idx="229">
                  <c:v>89.521427103680907</c:v>
                </c:pt>
                <c:pt idx="230">
                  <c:v>89.502896545914993</c:v>
                </c:pt>
                <c:pt idx="231">
                  <c:v>90.059741818036102</c:v>
                </c:pt>
                <c:pt idx="232">
                  <c:v>90.059741818036102</c:v>
                </c:pt>
                <c:pt idx="233">
                  <c:v>90.709972819651597</c:v>
                </c:pt>
                <c:pt idx="234">
                  <c:v>90.356960641679606</c:v>
                </c:pt>
                <c:pt idx="235">
                  <c:v>90.057227244527994</c:v>
                </c:pt>
                <c:pt idx="236">
                  <c:v>89.825665013673898</c:v>
                </c:pt>
                <c:pt idx="237">
                  <c:v>89.433297979471504</c:v>
                </c:pt>
                <c:pt idx="238">
                  <c:v>89.496133545653706</c:v>
                </c:pt>
                <c:pt idx="239">
                  <c:v>89.720651604362303</c:v>
                </c:pt>
                <c:pt idx="240">
                  <c:v>90.098453612144198</c:v>
                </c:pt>
                <c:pt idx="241">
                  <c:v>90.446205146677499</c:v>
                </c:pt>
                <c:pt idx="242">
                  <c:v>90.114887931038297</c:v>
                </c:pt>
                <c:pt idx="243">
                  <c:v>90.070618271689696</c:v>
                </c:pt>
                <c:pt idx="244">
                  <c:v>89.463335454123097</c:v>
                </c:pt>
                <c:pt idx="245">
                  <c:v>89.631989370360799</c:v>
                </c:pt>
                <c:pt idx="246">
                  <c:v>89.795270515933595</c:v>
                </c:pt>
                <c:pt idx="247">
                  <c:v>89.833458489198804</c:v>
                </c:pt>
                <c:pt idx="248">
                  <c:v>90.001204623518603</c:v>
                </c:pt>
                <c:pt idx="249">
                  <c:v>90.0070317651153</c:v>
                </c:pt>
                <c:pt idx="250">
                  <c:v>90.437945551226406</c:v>
                </c:pt>
                <c:pt idx="251">
                  <c:v>90.631246710416406</c:v>
                </c:pt>
                <c:pt idx="252">
                  <c:v>90.688919324485497</c:v>
                </c:pt>
                <c:pt idx="253">
                  <c:v>90.928206485659203</c:v>
                </c:pt>
                <c:pt idx="254">
                  <c:v>90.7645422264834</c:v>
                </c:pt>
                <c:pt idx="255">
                  <c:v>90.577651099456602</c:v>
                </c:pt>
                <c:pt idx="256">
                  <c:v>90.463398884952596</c:v>
                </c:pt>
                <c:pt idx="257">
                  <c:v>91.074468516370004</c:v>
                </c:pt>
                <c:pt idx="258">
                  <c:v>89.870070280543402</c:v>
                </c:pt>
                <c:pt idx="259">
                  <c:v>89.849894830224699</c:v>
                </c:pt>
                <c:pt idx="260">
                  <c:v>89.9068437250248</c:v>
                </c:pt>
                <c:pt idx="261">
                  <c:v>89.961072031735895</c:v>
                </c:pt>
                <c:pt idx="262">
                  <c:v>89.895657338113395</c:v>
                </c:pt>
                <c:pt idx="263">
                  <c:v>89.537278104543503</c:v>
                </c:pt>
                <c:pt idx="264">
                  <c:v>89.962449560611503</c:v>
                </c:pt>
                <c:pt idx="265">
                  <c:v>90.549199565392698</c:v>
                </c:pt>
                <c:pt idx="266">
                  <c:v>91.067559241439497</c:v>
                </c:pt>
                <c:pt idx="267">
                  <c:v>91.049587477553104</c:v>
                </c:pt>
                <c:pt idx="268">
                  <c:v>90.887606284797897</c:v>
                </c:pt>
                <c:pt idx="269">
                  <c:v>90.615072855974802</c:v>
                </c:pt>
                <c:pt idx="270">
                  <c:v>90.130195058455698</c:v>
                </c:pt>
                <c:pt idx="271">
                  <c:v>90.672428275688105</c:v>
                </c:pt>
                <c:pt idx="272">
                  <c:v>90.774401202780993</c:v>
                </c:pt>
                <c:pt idx="273">
                  <c:v>90.796243221333697</c:v>
                </c:pt>
                <c:pt idx="274">
                  <c:v>90.447412056783904</c:v>
                </c:pt>
                <c:pt idx="275">
                  <c:v>90.312861489919598</c:v>
                </c:pt>
                <c:pt idx="276">
                  <c:v>90.550146215194601</c:v>
                </c:pt>
                <c:pt idx="277">
                  <c:v>90.475090702500296</c:v>
                </c:pt>
                <c:pt idx="278">
                  <c:v>89.8197302030445</c:v>
                </c:pt>
                <c:pt idx="279">
                  <c:v>89.738089532620506</c:v>
                </c:pt>
                <c:pt idx="280">
                  <c:v>89.612485961067193</c:v>
                </c:pt>
                <c:pt idx="281">
                  <c:v>90.080584986495694</c:v>
                </c:pt>
                <c:pt idx="282">
                  <c:v>90.480009592237096</c:v>
                </c:pt>
                <c:pt idx="283">
                  <c:v>90.561156916424196</c:v>
                </c:pt>
                <c:pt idx="284">
                  <c:v>90.564777020323504</c:v>
                </c:pt>
                <c:pt idx="285">
                  <c:v>90.342717699030302</c:v>
                </c:pt>
                <c:pt idx="286">
                  <c:v>90.048105630418206</c:v>
                </c:pt>
                <c:pt idx="287">
                  <c:v>89.722116520992699</c:v>
                </c:pt>
                <c:pt idx="288">
                  <c:v>89.751224861728005</c:v>
                </c:pt>
                <c:pt idx="289">
                  <c:v>89.899557903191393</c:v>
                </c:pt>
                <c:pt idx="290">
                  <c:v>90.388702205323298</c:v>
                </c:pt>
                <c:pt idx="291">
                  <c:v>91.437635516391197</c:v>
                </c:pt>
                <c:pt idx="292">
                  <c:v>89.803152054952903</c:v>
                </c:pt>
                <c:pt idx="293">
                  <c:v>86.860509257952799</c:v>
                </c:pt>
                <c:pt idx="294">
                  <c:v>87.007552285003399</c:v>
                </c:pt>
                <c:pt idx="295">
                  <c:v>86.334039915870093</c:v>
                </c:pt>
                <c:pt idx="296">
                  <c:v>86.623050389057695</c:v>
                </c:pt>
                <c:pt idx="297">
                  <c:v>87.077584013442504</c:v>
                </c:pt>
                <c:pt idx="298">
                  <c:v>88.158722282920706</c:v>
                </c:pt>
                <c:pt idx="299">
                  <c:v>89.314101215929995</c:v>
                </c:pt>
                <c:pt idx="300">
                  <c:v>90.831437670124402</c:v>
                </c:pt>
                <c:pt idx="301">
                  <c:v>91.994349007718895</c:v>
                </c:pt>
                <c:pt idx="302">
                  <c:v>92.905637563827597</c:v>
                </c:pt>
                <c:pt idx="303">
                  <c:v>93.466027509616197</c:v>
                </c:pt>
                <c:pt idx="304">
                  <c:v>91.665399161967997</c:v>
                </c:pt>
                <c:pt idx="305">
                  <c:v>89.958823353056502</c:v>
                </c:pt>
                <c:pt idx="306">
                  <c:v>88.177280541414902</c:v>
                </c:pt>
                <c:pt idx="307">
                  <c:v>89.095482398248393</c:v>
                </c:pt>
                <c:pt idx="308">
                  <c:v>89.986502884175806</c:v>
                </c:pt>
                <c:pt idx="309">
                  <c:v>90.303669265259003</c:v>
                </c:pt>
                <c:pt idx="310">
                  <c:v>89.563480550436097</c:v>
                </c:pt>
                <c:pt idx="311">
                  <c:v>88.038139651378003</c:v>
                </c:pt>
                <c:pt idx="312">
                  <c:v>87.889780585003507</c:v>
                </c:pt>
                <c:pt idx="313">
                  <c:v>87.616971900883996</c:v>
                </c:pt>
                <c:pt idx="314">
                  <c:v>87.717039321251804</c:v>
                </c:pt>
                <c:pt idx="315">
                  <c:v>87.686486674955205</c:v>
                </c:pt>
                <c:pt idx="316">
                  <c:v>87.476956155188205</c:v>
                </c:pt>
                <c:pt idx="317">
                  <c:v>87.978055238440007</c:v>
                </c:pt>
                <c:pt idx="318">
                  <c:v>88.687524146795297</c:v>
                </c:pt>
                <c:pt idx="319">
                  <c:v>88.655823883556806</c:v>
                </c:pt>
                <c:pt idx="320">
                  <c:v>88.498225924719407</c:v>
                </c:pt>
                <c:pt idx="321">
                  <c:v>88.731055926016097</c:v>
                </c:pt>
                <c:pt idx="322">
                  <c:v>89.122158956828997</c:v>
                </c:pt>
                <c:pt idx="323">
                  <c:v>90.019176542797993</c:v>
                </c:pt>
                <c:pt idx="324">
                  <c:v>90.905842183238505</c:v>
                </c:pt>
                <c:pt idx="325">
                  <c:v>91.525410322728305</c:v>
                </c:pt>
                <c:pt idx="326">
                  <c:v>91.697303773784299</c:v>
                </c:pt>
                <c:pt idx="327">
                  <c:v>91.578184955813597</c:v>
                </c:pt>
                <c:pt idx="328">
                  <c:v>92.091797531248304</c:v>
                </c:pt>
                <c:pt idx="329">
                  <c:v>92.248662198188498</c:v>
                </c:pt>
                <c:pt idx="330">
                  <c:v>92.579203240048699</c:v>
                </c:pt>
                <c:pt idx="331">
                  <c:v>92.517183619141406</c:v>
                </c:pt>
                <c:pt idx="332">
                  <c:v>93.208079920369997</c:v>
                </c:pt>
                <c:pt idx="333">
                  <c:v>93.184259469806406</c:v>
                </c:pt>
                <c:pt idx="334">
                  <c:v>93.138041913362599</c:v>
                </c:pt>
                <c:pt idx="335">
                  <c:v>92.820813515024099</c:v>
                </c:pt>
                <c:pt idx="336">
                  <c:v>93.042736167391695</c:v>
                </c:pt>
                <c:pt idx="337">
                  <c:v>93.244909272545001</c:v>
                </c:pt>
                <c:pt idx="338">
                  <c:v>88.481953743391301</c:v>
                </c:pt>
                <c:pt idx="339">
                  <c:v>88.894600481385893</c:v>
                </c:pt>
                <c:pt idx="340">
                  <c:v>89.133575523998502</c:v>
                </c:pt>
                <c:pt idx="341">
                  <c:v>90.044216441129095</c:v>
                </c:pt>
                <c:pt idx="342">
                  <c:v>91.099302674558203</c:v>
                </c:pt>
                <c:pt idx="343">
                  <c:v>91.927876720529696</c:v>
                </c:pt>
                <c:pt idx="344">
                  <c:v>93.544076112532593</c:v>
                </c:pt>
                <c:pt idx="345">
                  <c:v>94.665946814513205</c:v>
                </c:pt>
                <c:pt idx="346">
                  <c:v>92.197418722156996</c:v>
                </c:pt>
                <c:pt idx="347">
                  <c:v>92.733535645691902</c:v>
                </c:pt>
                <c:pt idx="348">
                  <c:v>93.299148177001399</c:v>
                </c:pt>
                <c:pt idx="349">
                  <c:v>94.536960736998296</c:v>
                </c:pt>
                <c:pt idx="350">
                  <c:v>96.189267560924606</c:v>
                </c:pt>
                <c:pt idx="351">
                  <c:v>98.206833102678402</c:v>
                </c:pt>
                <c:pt idx="352">
                  <c:v>97.368186090897893</c:v>
                </c:pt>
                <c:pt idx="353">
                  <c:v>97.058323360595594</c:v>
                </c:pt>
                <c:pt idx="354">
                  <c:v>95.755312777065797</c:v>
                </c:pt>
                <c:pt idx="355">
                  <c:v>96.855821210384605</c:v>
                </c:pt>
                <c:pt idx="356">
                  <c:v>95.565330515737003</c:v>
                </c:pt>
                <c:pt idx="357">
                  <c:v>94.332144972745795</c:v>
                </c:pt>
                <c:pt idx="358">
                  <c:v>92.654768622631806</c:v>
                </c:pt>
                <c:pt idx="359">
                  <c:v>92.809903337080101</c:v>
                </c:pt>
                <c:pt idx="360">
                  <c:v>91.932959796892405</c:v>
                </c:pt>
                <c:pt idx="361">
                  <c:v>91.187886603887804</c:v>
                </c:pt>
                <c:pt idx="362">
                  <c:v>91.187886603887804</c:v>
                </c:pt>
                <c:pt idx="363">
                  <c:v>90.930464249934701</c:v>
                </c:pt>
                <c:pt idx="364">
                  <c:v>90.540474481035204</c:v>
                </c:pt>
                <c:pt idx="365">
                  <c:v>90.540474481035204</c:v>
                </c:pt>
                <c:pt idx="366">
                  <c:v>91.700890388738401</c:v>
                </c:pt>
                <c:pt idx="367">
                  <c:v>91.279753308598998</c:v>
                </c:pt>
                <c:pt idx="368">
                  <c:v>90.857174218345804</c:v>
                </c:pt>
                <c:pt idx="369">
                  <c:v>90.536140475912205</c:v>
                </c:pt>
                <c:pt idx="370">
                  <c:v>90.259980389787899</c:v>
                </c:pt>
                <c:pt idx="371">
                  <c:v>90.106837566112006</c:v>
                </c:pt>
                <c:pt idx="372">
                  <c:v>90.285311021201693</c:v>
                </c:pt>
                <c:pt idx="373">
                  <c:v>90.132588170227095</c:v>
                </c:pt>
                <c:pt idx="374">
                  <c:v>91.224769878188795</c:v>
                </c:pt>
                <c:pt idx="375">
                  <c:v>91.567717665916106</c:v>
                </c:pt>
                <c:pt idx="376">
                  <c:v>93.226674705982802</c:v>
                </c:pt>
                <c:pt idx="377">
                  <c:v>93.024895916720297</c:v>
                </c:pt>
                <c:pt idx="378">
                  <c:v>92.556138660769903</c:v>
                </c:pt>
                <c:pt idx="379">
                  <c:v>91.452917344981898</c:v>
                </c:pt>
                <c:pt idx="380">
                  <c:v>91.437113142573196</c:v>
                </c:pt>
                <c:pt idx="381">
                  <c:v>91.403378970908193</c:v>
                </c:pt>
                <c:pt idx="382">
                  <c:v>90.909854744549804</c:v>
                </c:pt>
                <c:pt idx="383">
                  <c:v>90.862665955683795</c:v>
                </c:pt>
                <c:pt idx="384">
                  <c:v>91.821672151572102</c:v>
                </c:pt>
                <c:pt idx="385">
                  <c:v>92.880262641201796</c:v>
                </c:pt>
                <c:pt idx="386">
                  <c:v>93.075313683334798</c:v>
                </c:pt>
                <c:pt idx="387">
                  <c:v>92.678274802482406</c:v>
                </c:pt>
                <c:pt idx="388">
                  <c:v>93.078260606357006</c:v>
                </c:pt>
                <c:pt idx="389">
                  <c:v>93.3586230008803</c:v>
                </c:pt>
                <c:pt idx="390">
                  <c:v>92.825209211582404</c:v>
                </c:pt>
                <c:pt idx="391">
                  <c:v>91.657559153081095</c:v>
                </c:pt>
                <c:pt idx="392">
                  <c:v>90.958142906558507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3-4658-BD55-03C7F1D33A1A}"/>
            </c:ext>
          </c:extLst>
        </c:ser>
        <c:ser>
          <c:idx val="1"/>
          <c:order val="1"/>
          <c:tx>
            <c:v>parameter fitting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36.827739288057799</c:v>
                </c:pt>
                <c:pt idx="229">
                  <c:v>36.502086615008203</c:v>
                </c:pt>
                <c:pt idx="230">
                  <c:v>37.820905597170601</c:v>
                </c:pt>
                <c:pt idx="231">
                  <c:v>37.385703514750197</c:v>
                </c:pt>
                <c:pt idx="232">
                  <c:v>36.330821405988701</c:v>
                </c:pt>
                <c:pt idx="233">
                  <c:v>38.522220074486697</c:v>
                </c:pt>
                <c:pt idx="234">
                  <c:v>39.199029022511397</c:v>
                </c:pt>
                <c:pt idx="235">
                  <c:v>38.994992077880099</c:v>
                </c:pt>
                <c:pt idx="236">
                  <c:v>38.558119855760197</c:v>
                </c:pt>
                <c:pt idx="237">
                  <c:v>38.523438943215801</c:v>
                </c:pt>
                <c:pt idx="238">
                  <c:v>37.951135763560401</c:v>
                </c:pt>
                <c:pt idx="239">
                  <c:v>37.3219873750744</c:v>
                </c:pt>
                <c:pt idx="240">
                  <c:v>36.929590288939401</c:v>
                </c:pt>
                <c:pt idx="241">
                  <c:v>37.077414175641501</c:v>
                </c:pt>
                <c:pt idx="242">
                  <c:v>36.905670172037802</c:v>
                </c:pt>
                <c:pt idx="243">
                  <c:v>37.364110724335703</c:v>
                </c:pt>
                <c:pt idx="244">
                  <c:v>37.744059991978702</c:v>
                </c:pt>
                <c:pt idx="245">
                  <c:v>38.451154163460501</c:v>
                </c:pt>
                <c:pt idx="246">
                  <c:v>38.264715277809898</c:v>
                </c:pt>
                <c:pt idx="247">
                  <c:v>37.437937154580602</c:v>
                </c:pt>
                <c:pt idx="248">
                  <c:v>38.649393085200501</c:v>
                </c:pt>
                <c:pt idx="249">
                  <c:v>38.492626629082899</c:v>
                </c:pt>
                <c:pt idx="250">
                  <c:v>37.409015079073001</c:v>
                </c:pt>
                <c:pt idx="251">
                  <c:v>36.832495049798197</c:v>
                </c:pt>
                <c:pt idx="252">
                  <c:v>38.891737159288901</c:v>
                </c:pt>
                <c:pt idx="253">
                  <c:v>38.694481583835099</c:v>
                </c:pt>
                <c:pt idx="254">
                  <c:v>37.887614657947402</c:v>
                </c:pt>
                <c:pt idx="255">
                  <c:v>37.644267541068402</c:v>
                </c:pt>
                <c:pt idx="256">
                  <c:v>37.714892073714701</c:v>
                </c:pt>
                <c:pt idx="257">
                  <c:v>37.785516606361</c:v>
                </c:pt>
                <c:pt idx="258">
                  <c:v>38.3216019609401</c:v>
                </c:pt>
                <c:pt idx="259">
                  <c:v>38.709285472713503</c:v>
                </c:pt>
                <c:pt idx="260">
                  <c:v>37.456798997182503</c:v>
                </c:pt>
                <c:pt idx="261">
                  <c:v>36.844163778936199</c:v>
                </c:pt>
                <c:pt idx="262">
                  <c:v>38.224117367542597</c:v>
                </c:pt>
                <c:pt idx="263">
                  <c:v>37.1468579436063</c:v>
                </c:pt>
                <c:pt idx="264">
                  <c:v>36.717923589951901</c:v>
                </c:pt>
                <c:pt idx="265">
                  <c:v>36.1140824782252</c:v>
                </c:pt>
                <c:pt idx="266">
                  <c:v>35.4904756034882</c:v>
                </c:pt>
                <c:pt idx="267">
                  <c:v>34.9526329184134</c:v>
                </c:pt>
                <c:pt idx="268">
                  <c:v>34.733795326231601</c:v>
                </c:pt>
                <c:pt idx="269">
                  <c:v>36.320441281008002</c:v>
                </c:pt>
                <c:pt idx="270">
                  <c:v>37.5800935134939</c:v>
                </c:pt>
                <c:pt idx="271">
                  <c:v>37.006157454053998</c:v>
                </c:pt>
                <c:pt idx="272">
                  <c:v>35.932403876890902</c:v>
                </c:pt>
                <c:pt idx="273">
                  <c:v>36.254133463046898</c:v>
                </c:pt>
                <c:pt idx="274">
                  <c:v>36.390973332691502</c:v>
                </c:pt>
                <c:pt idx="275">
                  <c:v>36.008973915065198</c:v>
                </c:pt>
                <c:pt idx="276">
                  <c:v>35.9239697832028</c:v>
                </c:pt>
                <c:pt idx="277">
                  <c:v>35.838965651340402</c:v>
                </c:pt>
                <c:pt idx="278">
                  <c:v>35.502528596995298</c:v>
                </c:pt>
                <c:pt idx="279">
                  <c:v>36.699949187168897</c:v>
                </c:pt>
                <c:pt idx="280">
                  <c:v>36.536614010711297</c:v>
                </c:pt>
                <c:pt idx="281">
                  <c:v>35.3305826550299</c:v>
                </c:pt>
                <c:pt idx="282">
                  <c:v>34.201074692677899</c:v>
                </c:pt>
                <c:pt idx="283">
                  <c:v>34.403486905825503</c:v>
                </c:pt>
                <c:pt idx="284">
                  <c:v>33.855690507900697</c:v>
                </c:pt>
                <c:pt idx="285">
                  <c:v>33.351948487343698</c:v>
                </c:pt>
                <c:pt idx="286">
                  <c:v>32.841713263601797</c:v>
                </c:pt>
                <c:pt idx="287">
                  <c:v>32.4797632307071</c:v>
                </c:pt>
                <c:pt idx="288">
                  <c:v>32.103782964479898</c:v>
                </c:pt>
                <c:pt idx="289">
                  <c:v>31.742797573479098</c:v>
                </c:pt>
                <c:pt idx="290">
                  <c:v>31.381812182478299</c:v>
                </c:pt>
                <c:pt idx="291">
                  <c:v>26.831183762971801</c:v>
                </c:pt>
                <c:pt idx="292">
                  <c:v>34.518864171282701</c:v>
                </c:pt>
                <c:pt idx="293">
                  <c:v>35.2391245748125</c:v>
                </c:pt>
                <c:pt idx="294">
                  <c:v>35.778244035441197</c:v>
                </c:pt>
                <c:pt idx="295">
                  <c:v>35.945191989545997</c:v>
                </c:pt>
                <c:pt idx="296">
                  <c:v>38.786420794270299</c:v>
                </c:pt>
                <c:pt idx="297">
                  <c:v>37.327950427753798</c:v>
                </c:pt>
                <c:pt idx="298">
                  <c:v>36.144562939614801</c:v>
                </c:pt>
                <c:pt idx="299">
                  <c:v>34.735708502413402</c:v>
                </c:pt>
                <c:pt idx="300">
                  <c:v>33.465459648726799</c:v>
                </c:pt>
                <c:pt idx="301">
                  <c:v>32.308438444707399</c:v>
                </c:pt>
                <c:pt idx="302">
                  <c:v>31.300998297678699</c:v>
                </c:pt>
                <c:pt idx="303">
                  <c:v>30.469237327995899</c:v>
                </c:pt>
                <c:pt idx="304">
                  <c:v>30.168969211969401</c:v>
                </c:pt>
                <c:pt idx="305">
                  <c:v>32.0910279215949</c:v>
                </c:pt>
                <c:pt idx="306">
                  <c:v>31.862592664967799</c:v>
                </c:pt>
                <c:pt idx="307">
                  <c:v>31.4583462654731</c:v>
                </c:pt>
                <c:pt idx="308">
                  <c:v>31.062609024766999</c:v>
                </c:pt>
                <c:pt idx="309">
                  <c:v>30.994080608836001</c:v>
                </c:pt>
                <c:pt idx="310">
                  <c:v>32.7750177828378</c:v>
                </c:pt>
                <c:pt idx="311">
                  <c:v>32.065218593262003</c:v>
                </c:pt>
                <c:pt idx="312">
                  <c:v>34.802265302004301</c:v>
                </c:pt>
                <c:pt idx="313">
                  <c:v>36.065530825288597</c:v>
                </c:pt>
                <c:pt idx="314">
                  <c:v>34.739342932042398</c:v>
                </c:pt>
                <c:pt idx="315">
                  <c:v>34.122340470902699</c:v>
                </c:pt>
                <c:pt idx="316">
                  <c:v>34.492350777914901</c:v>
                </c:pt>
                <c:pt idx="317">
                  <c:v>34.037416416620601</c:v>
                </c:pt>
                <c:pt idx="318">
                  <c:v>37.0387419568141</c:v>
                </c:pt>
                <c:pt idx="319">
                  <c:v>36.461872022930798</c:v>
                </c:pt>
                <c:pt idx="320">
                  <c:v>35.498626930236597</c:v>
                </c:pt>
                <c:pt idx="321">
                  <c:v>35.928328229430001</c:v>
                </c:pt>
                <c:pt idx="322">
                  <c:v>35.126552158502001</c:v>
                </c:pt>
                <c:pt idx="323">
                  <c:v>34.1167529843746</c:v>
                </c:pt>
                <c:pt idx="324">
                  <c:v>33.224320606064701</c:v>
                </c:pt>
                <c:pt idx="325">
                  <c:v>32.518967356221502</c:v>
                </c:pt>
                <c:pt idx="326">
                  <c:v>31.557899166655702</c:v>
                </c:pt>
                <c:pt idx="327">
                  <c:v>30.590635727977698</c:v>
                </c:pt>
                <c:pt idx="328">
                  <c:v>29.7898125302466</c:v>
                </c:pt>
                <c:pt idx="329">
                  <c:v>29.1723054063017</c:v>
                </c:pt>
                <c:pt idx="330">
                  <c:v>28.944480207266501</c:v>
                </c:pt>
                <c:pt idx="331">
                  <c:v>28.5637140906992</c:v>
                </c:pt>
                <c:pt idx="332">
                  <c:v>28.3356722144595</c:v>
                </c:pt>
                <c:pt idx="333">
                  <c:v>27.8769048488621</c:v>
                </c:pt>
                <c:pt idx="334">
                  <c:v>27.662044485460701</c:v>
                </c:pt>
                <c:pt idx="335">
                  <c:v>27.326281992673099</c:v>
                </c:pt>
                <c:pt idx="336">
                  <c:v>27.385899725779801</c:v>
                </c:pt>
                <c:pt idx="337">
                  <c:v>29.5353925470143</c:v>
                </c:pt>
                <c:pt idx="338">
                  <c:v>34.350204460009799</c:v>
                </c:pt>
                <c:pt idx="339">
                  <c:v>34.704479509313899</c:v>
                </c:pt>
                <c:pt idx="340">
                  <c:v>32.800289756108803</c:v>
                </c:pt>
                <c:pt idx="341">
                  <c:v>31.089399471392699</c:v>
                </c:pt>
                <c:pt idx="342">
                  <c:v>29.9702984372367</c:v>
                </c:pt>
                <c:pt idx="343">
                  <c:v>28.691059373047299</c:v>
                </c:pt>
                <c:pt idx="344">
                  <c:v>25.651812184132002</c:v>
                </c:pt>
                <c:pt idx="345">
                  <c:v>25.644585580873201</c:v>
                </c:pt>
                <c:pt idx="346">
                  <c:v>25.704669784903</c:v>
                </c:pt>
                <c:pt idx="347">
                  <c:v>25.524946577219801</c:v>
                </c:pt>
                <c:pt idx="348">
                  <c:v>25.378913774904198</c:v>
                </c:pt>
                <c:pt idx="349">
                  <c:v>25.242158586146701</c:v>
                </c:pt>
                <c:pt idx="350">
                  <c:v>25.067398879416999</c:v>
                </c:pt>
                <c:pt idx="351">
                  <c:v>24.907534436572998</c:v>
                </c:pt>
                <c:pt idx="352">
                  <c:v>24.8047357611104</c:v>
                </c:pt>
                <c:pt idx="353">
                  <c:v>24.830965556009001</c:v>
                </c:pt>
                <c:pt idx="354">
                  <c:v>24.7153816619062</c:v>
                </c:pt>
                <c:pt idx="355">
                  <c:v>24.609987020952701</c:v>
                </c:pt>
                <c:pt idx="356">
                  <c:v>24.548865205684098</c:v>
                </c:pt>
                <c:pt idx="357">
                  <c:v>25.092118600356699</c:v>
                </c:pt>
                <c:pt idx="358">
                  <c:v>30.494581167153999</c:v>
                </c:pt>
                <c:pt idx="359">
                  <c:v>29.756301592032699</c:v>
                </c:pt>
                <c:pt idx="360">
                  <c:v>31.0129393030074</c:v>
                </c:pt>
                <c:pt idx="361">
                  <c:v>31.105628316753201</c:v>
                </c:pt>
                <c:pt idx="362">
                  <c:v>30.582460661745898</c:v>
                </c:pt>
                <c:pt idx="363">
                  <c:v>31.868333880808699</c:v>
                </c:pt>
                <c:pt idx="364">
                  <c:v>34.478083042584601</c:v>
                </c:pt>
                <c:pt idx="365">
                  <c:v>36.670393613875802</c:v>
                </c:pt>
                <c:pt idx="366">
                  <c:v>36.752385835974501</c:v>
                </c:pt>
                <c:pt idx="367">
                  <c:v>36.363554659059503</c:v>
                </c:pt>
                <c:pt idx="368">
                  <c:v>35.408974394312402</c:v>
                </c:pt>
                <c:pt idx="369">
                  <c:v>36.0267540933433</c:v>
                </c:pt>
                <c:pt idx="370">
                  <c:v>35.202150482981899</c:v>
                </c:pt>
                <c:pt idx="371">
                  <c:v>33.978632949764602</c:v>
                </c:pt>
                <c:pt idx="372">
                  <c:v>33.881251988418803</c:v>
                </c:pt>
                <c:pt idx="373">
                  <c:v>33.680472559087697</c:v>
                </c:pt>
                <c:pt idx="374">
                  <c:v>33.522864355579301</c:v>
                </c:pt>
                <c:pt idx="375">
                  <c:v>33.250008972594699</c:v>
                </c:pt>
                <c:pt idx="376">
                  <c:v>32.920701844085499</c:v>
                </c:pt>
                <c:pt idx="377">
                  <c:v>32.6365692391377</c:v>
                </c:pt>
                <c:pt idx="378">
                  <c:v>32.901828619733003</c:v>
                </c:pt>
                <c:pt idx="379">
                  <c:v>33.843721689773297</c:v>
                </c:pt>
                <c:pt idx="380">
                  <c:v>33.8397785579551</c:v>
                </c:pt>
                <c:pt idx="381">
                  <c:v>34.362193350928102</c:v>
                </c:pt>
                <c:pt idx="382">
                  <c:v>36.151065321793602</c:v>
                </c:pt>
                <c:pt idx="383">
                  <c:v>35.102276247107497</c:v>
                </c:pt>
                <c:pt idx="384">
                  <c:v>34.589577186762</c:v>
                </c:pt>
                <c:pt idx="385">
                  <c:v>34.597926126721703</c:v>
                </c:pt>
                <c:pt idx="386">
                  <c:v>35.034692047449397</c:v>
                </c:pt>
                <c:pt idx="387">
                  <c:v>34.742557310828197</c:v>
                </c:pt>
                <c:pt idx="388">
                  <c:v>34.420257618638402</c:v>
                </c:pt>
                <c:pt idx="389">
                  <c:v>34.0611903858197</c:v>
                </c:pt>
                <c:pt idx="390">
                  <c:v>33.7256732440419</c:v>
                </c:pt>
                <c:pt idx="391">
                  <c:v>34.601165085075202</c:v>
                </c:pt>
                <c:pt idx="392">
                  <c:v>34.394010868605399</c:v>
                </c:pt>
              </c:numCache>
            </c:numRef>
          </c:xVal>
          <c:yVal>
            <c:numRef>
              <c:f>selhausen_SM_Kdose_daily!$C$8:$C$400</c:f>
              <c:numCache>
                <c:formatCode>General</c:formatCode>
                <c:ptCount val="393"/>
                <c:pt idx="0">
                  <c:v>90.486859916799872</c:v>
                </c:pt>
                <c:pt idx="1">
                  <c:v>90.512774958861428</c:v>
                </c:pt>
                <c:pt idx="2">
                  <c:v>90.731314888738723</c:v>
                </c:pt>
                <c:pt idx="3">
                  <c:v>90.950912686838336</c:v>
                </c:pt>
                <c:pt idx="4">
                  <c:v>91.171576052899383</c:v>
                </c:pt>
                <c:pt idx="5">
                  <c:v>91.393312761566321</c:v>
                </c:pt>
                <c:pt idx="6">
                  <c:v>91.456508446229847</c:v>
                </c:pt>
                <c:pt idx="7">
                  <c:v>91.508655463538929</c:v>
                </c:pt>
                <c:pt idx="8">
                  <c:v>91.564004225707976</c:v>
                </c:pt>
                <c:pt idx="9">
                  <c:v>91.671436039289574</c:v>
                </c:pt>
                <c:pt idx="10">
                  <c:v>91.76483068857344</c:v>
                </c:pt>
                <c:pt idx="11">
                  <c:v>91.808348161499396</c:v>
                </c:pt>
                <c:pt idx="12">
                  <c:v>91.872558130022654</c:v>
                </c:pt>
                <c:pt idx="13">
                  <c:v>91.94523080271648</c:v>
                </c:pt>
                <c:pt idx="14">
                  <c:v>91.797960539333232</c:v>
                </c:pt>
                <c:pt idx="15">
                  <c:v>91.810305496088731</c:v>
                </c:pt>
                <c:pt idx="16">
                  <c:v>91.896025006102732</c:v>
                </c:pt>
                <c:pt idx="17">
                  <c:v>91.949180253651164</c:v>
                </c:pt>
                <c:pt idx="18">
                  <c:v>91.294467628844373</c:v>
                </c:pt>
                <c:pt idx="19">
                  <c:v>91.353413631939432</c:v>
                </c:pt>
                <c:pt idx="20">
                  <c:v>91.432203302515191</c:v>
                </c:pt>
                <c:pt idx="21">
                  <c:v>91.675254666999635</c:v>
                </c:pt>
                <c:pt idx="22">
                  <c:v>91.925417295125129</c:v>
                </c:pt>
                <c:pt idx="23">
                  <c:v>92.076100076549423</c:v>
                </c:pt>
                <c:pt idx="24">
                  <c:v>92.246321771916982</c:v>
                </c:pt>
                <c:pt idx="25">
                  <c:v>92.331525093273797</c:v>
                </c:pt>
                <c:pt idx="26">
                  <c:v>92.364219019268432</c:v>
                </c:pt>
                <c:pt idx="27">
                  <c:v>92.360167147582956</c:v>
                </c:pt>
                <c:pt idx="28">
                  <c:v>92.381322484782459</c:v>
                </c:pt>
                <c:pt idx="29">
                  <c:v>92.391703743277773</c:v>
                </c:pt>
                <c:pt idx="30">
                  <c:v>91.6177168880225</c:v>
                </c:pt>
                <c:pt idx="31">
                  <c:v>90.084091549591506</c:v>
                </c:pt>
                <c:pt idx="32">
                  <c:v>89.818006676789295</c:v>
                </c:pt>
                <c:pt idx="33">
                  <c:v>89.776950238929587</c:v>
                </c:pt>
                <c:pt idx="34">
                  <c:v>90.188724504194752</c:v>
                </c:pt>
                <c:pt idx="35">
                  <c:v>90.464392740790558</c:v>
                </c:pt>
                <c:pt idx="36">
                  <c:v>90.637257714782493</c:v>
                </c:pt>
                <c:pt idx="37">
                  <c:v>90.170406089297387</c:v>
                </c:pt>
                <c:pt idx="38">
                  <c:v>89.875835279849511</c:v>
                </c:pt>
                <c:pt idx="39">
                  <c:v>90.366340105805776</c:v>
                </c:pt>
                <c:pt idx="40">
                  <c:v>90.686952235447862</c:v>
                </c:pt>
                <c:pt idx="41">
                  <c:v>90.91524443192958</c:v>
                </c:pt>
                <c:pt idx="42">
                  <c:v>91.062673780677457</c:v>
                </c:pt>
                <c:pt idx="43">
                  <c:v>91.183350638451032</c:v>
                </c:pt>
                <c:pt idx="44">
                  <c:v>91.211693717393075</c:v>
                </c:pt>
                <c:pt idx="45">
                  <c:v>91.24577249351843</c:v>
                </c:pt>
                <c:pt idx="46">
                  <c:v>91.356852521343214</c:v>
                </c:pt>
                <c:pt idx="47">
                  <c:v>91.499541493744957</c:v>
                </c:pt>
                <c:pt idx="48">
                  <c:v>91.49492163829656</c:v>
                </c:pt>
                <c:pt idx="49">
                  <c:v>90.514470359697782</c:v>
                </c:pt>
                <c:pt idx="50">
                  <c:v>90.378685781499129</c:v>
                </c:pt>
                <c:pt idx="51">
                  <c:v>90.796660739722881</c:v>
                </c:pt>
                <c:pt idx="52">
                  <c:v>91.00008856885492</c:v>
                </c:pt>
                <c:pt idx="53">
                  <c:v>90.616191448572053</c:v>
                </c:pt>
                <c:pt idx="54">
                  <c:v>90.221283553875253</c:v>
                </c:pt>
                <c:pt idx="55">
                  <c:v>89.667980976178896</c:v>
                </c:pt>
                <c:pt idx="56">
                  <c:v>89.891081987904073</c:v>
                </c:pt>
                <c:pt idx="57">
                  <c:v>90.429687471442008</c:v>
                </c:pt>
                <c:pt idx="58">
                  <c:v>90.881042241603751</c:v>
                </c:pt>
                <c:pt idx="59">
                  <c:v>91.216736274059798</c:v>
                </c:pt>
                <c:pt idx="60">
                  <c:v>91.388763936110124</c:v>
                </c:pt>
                <c:pt idx="61">
                  <c:v>90.968373756481711</c:v>
                </c:pt>
                <c:pt idx="62">
                  <c:v>91.124415165539205</c:v>
                </c:pt>
                <c:pt idx="63">
                  <c:v>91.405467153202196</c:v>
                </c:pt>
                <c:pt idx="64">
                  <c:v>93.838496411515678</c:v>
                </c:pt>
                <c:pt idx="65">
                  <c:v>94.275378641462567</c:v>
                </c:pt>
                <c:pt idx="66">
                  <c:v>94.739660233873934</c:v>
                </c:pt>
                <c:pt idx="67">
                  <c:v>95.047119744236539</c:v>
                </c:pt>
                <c:pt idx="68">
                  <c:v>93.778642145702008</c:v>
                </c:pt>
                <c:pt idx="69">
                  <c:v>93.030483752808237</c:v>
                </c:pt>
                <c:pt idx="70">
                  <c:v>93.562931963573007</c:v>
                </c:pt>
                <c:pt idx="71">
                  <c:v>93.881094911023951</c:v>
                </c:pt>
                <c:pt idx="72">
                  <c:v>94.134372217978694</c:v>
                </c:pt>
                <c:pt idx="73">
                  <c:v>94.114282558731986</c:v>
                </c:pt>
                <c:pt idx="74">
                  <c:v>93.687464621007933</c:v>
                </c:pt>
                <c:pt idx="75">
                  <c:v>92.269246426035593</c:v>
                </c:pt>
                <c:pt idx="76">
                  <c:v>91.897430702374393</c:v>
                </c:pt>
                <c:pt idx="77">
                  <c:v>92.365188418079271</c:v>
                </c:pt>
                <c:pt idx="78">
                  <c:v>92.826072896038028</c:v>
                </c:pt>
                <c:pt idx="79">
                  <c:v>93.359168449056313</c:v>
                </c:pt>
                <c:pt idx="80">
                  <c:v>93.841550036861719</c:v>
                </c:pt>
                <c:pt idx="81">
                  <c:v>94.961399002693994</c:v>
                </c:pt>
                <c:pt idx="82">
                  <c:v>95.059633507952796</c:v>
                </c:pt>
                <c:pt idx="83">
                  <c:v>95.168495803845872</c:v>
                </c:pt>
                <c:pt idx="84">
                  <c:v>95.275176835272987</c:v>
                </c:pt>
                <c:pt idx="85">
                  <c:v>95.400780486849101</c:v>
                </c:pt>
                <c:pt idx="86">
                  <c:v>94.945500859944829</c:v>
                </c:pt>
                <c:pt idx="87">
                  <c:v>92.720896972410259</c:v>
                </c:pt>
                <c:pt idx="88">
                  <c:v>93.024762148486943</c:v>
                </c:pt>
                <c:pt idx="89">
                  <c:v>93.35446041998236</c:v>
                </c:pt>
                <c:pt idx="90">
                  <c:v>93.508108811901465</c:v>
                </c:pt>
                <c:pt idx="91">
                  <c:v>93.527423949571315</c:v>
                </c:pt>
                <c:pt idx="92">
                  <c:v>93.665531527129758</c:v>
                </c:pt>
                <c:pt idx="93">
                  <c:v>93.862071631474109</c:v>
                </c:pt>
                <c:pt idx="94">
                  <c:v>94.116468192897969</c:v>
                </c:pt>
                <c:pt idx="95">
                  <c:v>94.072563667159613</c:v>
                </c:pt>
                <c:pt idx="96">
                  <c:v>93.286619827236052</c:v>
                </c:pt>
                <c:pt idx="97">
                  <c:v>93.102947102320911</c:v>
                </c:pt>
                <c:pt idx="98">
                  <c:v>93.459093255335929</c:v>
                </c:pt>
                <c:pt idx="99">
                  <c:v>93.768427481691944</c:v>
                </c:pt>
                <c:pt idx="100">
                  <c:v>93.995779103317631</c:v>
                </c:pt>
                <c:pt idx="101">
                  <c:v>94.179928015174653</c:v>
                </c:pt>
                <c:pt idx="102">
                  <c:v>94.336089455009386</c:v>
                </c:pt>
                <c:pt idx="103">
                  <c:v>94.466009850444351</c:v>
                </c:pt>
                <c:pt idx="104">
                  <c:v>94.58137312737739</c:v>
                </c:pt>
                <c:pt idx="105">
                  <c:v>94.706994934449611</c:v>
                </c:pt>
                <c:pt idx="106">
                  <c:v>94.838728241287697</c:v>
                </c:pt>
                <c:pt idx="107">
                  <c:v>94.935210880898879</c:v>
                </c:pt>
                <c:pt idx="108">
                  <c:v>94.94397232410455</c:v>
                </c:pt>
                <c:pt idx="109">
                  <c:v>95.024533147669999</c:v>
                </c:pt>
                <c:pt idx="110">
                  <c:v>95.168628994257091</c:v>
                </c:pt>
                <c:pt idx="111">
                  <c:v>95.374843845467055</c:v>
                </c:pt>
                <c:pt idx="112">
                  <c:v>95.587847535152079</c:v>
                </c:pt>
                <c:pt idx="113">
                  <c:v>95.764735634926907</c:v>
                </c:pt>
                <c:pt idx="114">
                  <c:v>95.965851691080644</c:v>
                </c:pt>
                <c:pt idx="115">
                  <c:v>96.206388204927705</c:v>
                </c:pt>
                <c:pt idx="116">
                  <c:v>96.469351783673318</c:v>
                </c:pt>
                <c:pt idx="117">
                  <c:v>96.534346093345448</c:v>
                </c:pt>
                <c:pt idx="118">
                  <c:v>96.454999797192571</c:v>
                </c:pt>
                <c:pt idx="119">
                  <c:v>96.311959513623194</c:v>
                </c:pt>
                <c:pt idx="120">
                  <c:v>96.253516472140234</c:v>
                </c:pt>
                <c:pt idx="121">
                  <c:v>96.280434597993548</c:v>
                </c:pt>
                <c:pt idx="122">
                  <c:v>96.186241227140343</c:v>
                </c:pt>
                <c:pt idx="123">
                  <c:v>94.872023074143456</c:v>
                </c:pt>
                <c:pt idx="124">
                  <c:v>92.757143588716204</c:v>
                </c:pt>
                <c:pt idx="125">
                  <c:v>91.382545236215947</c:v>
                </c:pt>
                <c:pt idx="126">
                  <c:v>91.684790073050621</c:v>
                </c:pt>
                <c:pt idx="127">
                  <c:v>91.495220730629299</c:v>
                </c:pt>
                <c:pt idx="128">
                  <c:v>91.131549171217017</c:v>
                </c:pt>
                <c:pt idx="129">
                  <c:v>90.79324118353388</c:v>
                </c:pt>
                <c:pt idx="130">
                  <c:v>90.961601334036942</c:v>
                </c:pt>
                <c:pt idx="131">
                  <c:v>90.455659666923893</c:v>
                </c:pt>
                <c:pt idx="132">
                  <c:v>90.752448040392522</c:v>
                </c:pt>
                <c:pt idx="133">
                  <c:v>91.094447804199589</c:v>
                </c:pt>
                <c:pt idx="134">
                  <c:v>90.946716895001032</c:v>
                </c:pt>
                <c:pt idx="135">
                  <c:v>90.615639392430751</c:v>
                </c:pt>
                <c:pt idx="136">
                  <c:v>90.543638887689283</c:v>
                </c:pt>
                <c:pt idx="137">
                  <c:v>90.732270651802267</c:v>
                </c:pt>
                <c:pt idx="138">
                  <c:v>91.839913849454746</c:v>
                </c:pt>
                <c:pt idx="139">
                  <c:v>92.038244252822537</c:v>
                </c:pt>
                <c:pt idx="140">
                  <c:v>91.89890358777167</c:v>
                </c:pt>
                <c:pt idx="141">
                  <c:v>91.776769651372561</c:v>
                </c:pt>
                <c:pt idx="142">
                  <c:v>91.874551133194586</c:v>
                </c:pt>
                <c:pt idx="143">
                  <c:v>91.943260995776868</c:v>
                </c:pt>
                <c:pt idx="144">
                  <c:v>91.45798987414895</c:v>
                </c:pt>
                <c:pt idx="145">
                  <c:v>90.593788767738886</c:v>
                </c:pt>
                <c:pt idx="146">
                  <c:v>90.166595107317534</c:v>
                </c:pt>
                <c:pt idx="147">
                  <c:v>90.643062020971698</c:v>
                </c:pt>
                <c:pt idx="148">
                  <c:v>90.439411661937598</c:v>
                </c:pt>
                <c:pt idx="149">
                  <c:v>89.867937639034963</c:v>
                </c:pt>
                <c:pt idx="150">
                  <c:v>90.00112103091503</c:v>
                </c:pt>
                <c:pt idx="151">
                  <c:v>90.392244942785553</c:v>
                </c:pt>
                <c:pt idx="152">
                  <c:v>89.912180594746815</c:v>
                </c:pt>
                <c:pt idx="153">
                  <c:v>89.747564267967334</c:v>
                </c:pt>
                <c:pt idx="154">
                  <c:v>89.789659020165175</c:v>
                </c:pt>
                <c:pt idx="155">
                  <c:v>89.862086789727726</c:v>
                </c:pt>
                <c:pt idx="156">
                  <c:v>89.705373573244373</c:v>
                </c:pt>
                <c:pt idx="157">
                  <c:v>90.052552733769375</c:v>
                </c:pt>
                <c:pt idx="158">
                  <c:v>90.265020308091223</c:v>
                </c:pt>
                <c:pt idx="159">
                  <c:v>89.697078359281576</c:v>
                </c:pt>
                <c:pt idx="160">
                  <c:v>89.58211451797348</c:v>
                </c:pt>
                <c:pt idx="161">
                  <c:v>89.59622393908991</c:v>
                </c:pt>
                <c:pt idx="162">
                  <c:v>89.020914284701234</c:v>
                </c:pt>
                <c:pt idx="163">
                  <c:v>89.205414962242173</c:v>
                </c:pt>
                <c:pt idx="164">
                  <c:v>89.637518124054793</c:v>
                </c:pt>
                <c:pt idx="165">
                  <c:v>89.758108072993721</c:v>
                </c:pt>
                <c:pt idx="166">
                  <c:v>89.855006903664815</c:v>
                </c:pt>
                <c:pt idx="167">
                  <c:v>90.035073187828871</c:v>
                </c:pt>
                <c:pt idx="168">
                  <c:v>90.281177620590555</c:v>
                </c:pt>
                <c:pt idx="169">
                  <c:v>90.103196443440069</c:v>
                </c:pt>
                <c:pt idx="170">
                  <c:v>89.216810733623063</c:v>
                </c:pt>
                <c:pt idx="171">
                  <c:v>89.400956798406071</c:v>
                </c:pt>
                <c:pt idx="172">
                  <c:v>89.683495223714587</c:v>
                </c:pt>
                <c:pt idx="173">
                  <c:v>89.62875889517754</c:v>
                </c:pt>
                <c:pt idx="174">
                  <c:v>89.604637137830338</c:v>
                </c:pt>
                <c:pt idx="175">
                  <c:v>89.565558963254929</c:v>
                </c:pt>
                <c:pt idx="176">
                  <c:v>89.571327660039231</c:v>
                </c:pt>
                <c:pt idx="177">
                  <c:v>89.330145175609928</c:v>
                </c:pt>
                <c:pt idx="178">
                  <c:v>89.177216765905598</c:v>
                </c:pt>
                <c:pt idx="179">
                  <c:v>89.409888222860204</c:v>
                </c:pt>
                <c:pt idx="180">
                  <c:v>89.479595378273501</c:v>
                </c:pt>
                <c:pt idx="181">
                  <c:v>89.613199741310439</c:v>
                </c:pt>
                <c:pt idx="182">
                  <c:v>89.74810555589039</c:v>
                </c:pt>
                <c:pt idx="183">
                  <c:v>89.884045256060247</c:v>
                </c:pt>
                <c:pt idx="184">
                  <c:v>89.778533543611346</c:v>
                </c:pt>
                <c:pt idx="185">
                  <c:v>89.183411508313426</c:v>
                </c:pt>
                <c:pt idx="186">
                  <c:v>89.123530107101729</c:v>
                </c:pt>
                <c:pt idx="187">
                  <c:v>88.697664823323763</c:v>
                </c:pt>
                <c:pt idx="188">
                  <c:v>88.875833551750844</c:v>
                </c:pt>
                <c:pt idx="189">
                  <c:v>88.982365408901842</c:v>
                </c:pt>
                <c:pt idx="190">
                  <c:v>88.8970242691463</c:v>
                </c:pt>
                <c:pt idx="191">
                  <c:v>88.988974976806574</c:v>
                </c:pt>
                <c:pt idx="192">
                  <c:v>89.216321976254079</c:v>
                </c:pt>
                <c:pt idx="193">
                  <c:v>89.424084610923984</c:v>
                </c:pt>
                <c:pt idx="194">
                  <c:v>89.416219347916481</c:v>
                </c:pt>
                <c:pt idx="195">
                  <c:v>89.198919782788167</c:v>
                </c:pt>
                <c:pt idx="196">
                  <c:v>89.392472245183384</c:v>
                </c:pt>
                <c:pt idx="197">
                  <c:v>89.554282261726399</c:v>
                </c:pt>
                <c:pt idx="198">
                  <c:v>88.966853464430784</c:v>
                </c:pt>
                <c:pt idx="199">
                  <c:v>88.889069243966247</c:v>
                </c:pt>
                <c:pt idx="200">
                  <c:v>88.69262513614683</c:v>
                </c:pt>
                <c:pt idx="201">
                  <c:v>89.013734157033568</c:v>
                </c:pt>
                <c:pt idx="202">
                  <c:v>88.830519587175431</c:v>
                </c:pt>
                <c:pt idx="203">
                  <c:v>88.875232577144402</c:v>
                </c:pt>
                <c:pt idx="204">
                  <c:v>89.150245388527864</c:v>
                </c:pt>
                <c:pt idx="205">
                  <c:v>89.192161322966243</c:v>
                </c:pt>
                <c:pt idx="206">
                  <c:v>89.187066529033558</c:v>
                </c:pt>
                <c:pt idx="207">
                  <c:v>89.182308375663766</c:v>
                </c:pt>
                <c:pt idx="208">
                  <c:v>89.191164809328995</c:v>
                </c:pt>
                <c:pt idx="209">
                  <c:v>89.200023002181823</c:v>
                </c:pt>
                <c:pt idx="210">
                  <c:v>89.2088829547465</c:v>
                </c:pt>
                <c:pt idx="211">
                  <c:v>89.217744667547421</c:v>
                </c:pt>
                <c:pt idx="212">
                  <c:v>89.226608141109224</c:v>
                </c:pt>
                <c:pt idx="213">
                  <c:v>89.235473375956786</c:v>
                </c:pt>
                <c:pt idx="214">
                  <c:v>89.244340372615028</c:v>
                </c:pt>
                <c:pt idx="215">
                  <c:v>89.253209131609282</c:v>
                </c:pt>
                <c:pt idx="216">
                  <c:v>89.262079653464951</c:v>
                </c:pt>
                <c:pt idx="217">
                  <c:v>89.270951938707753</c:v>
                </c:pt>
                <c:pt idx="218">
                  <c:v>89.279825987863518</c:v>
                </c:pt>
                <c:pt idx="219">
                  <c:v>89.392034570177529</c:v>
                </c:pt>
                <c:pt idx="220">
                  <c:v>89.465512157591277</c:v>
                </c:pt>
                <c:pt idx="221">
                  <c:v>89.628537494022552</c:v>
                </c:pt>
                <c:pt idx="222">
                  <c:v>89.379581995760361</c:v>
                </c:pt>
                <c:pt idx="223">
                  <c:v>89.490769811461732</c:v>
                </c:pt>
                <c:pt idx="224">
                  <c:v>89.760649135801472</c:v>
                </c:pt>
                <c:pt idx="225">
                  <c:v>89.88663596138079</c:v>
                </c:pt>
                <c:pt idx="226">
                  <c:v>89.973766446560859</c:v>
                </c:pt>
                <c:pt idx="227">
                  <c:v>90.091760107885875</c:v>
                </c:pt>
                <c:pt idx="228">
                  <c:v>89.900659736817175</c:v>
                </c:pt>
                <c:pt idx="229">
                  <c:v>90.022411692208749</c:v>
                </c:pt>
                <c:pt idx="230">
                  <c:v>89.531369470882481</c:v>
                </c:pt>
                <c:pt idx="231">
                  <c:v>89.692817085300703</c:v>
                </c:pt>
                <c:pt idx="232">
                  <c:v>90.086575132850967</c:v>
                </c:pt>
                <c:pt idx="233">
                  <c:v>89.2724211374329</c:v>
                </c:pt>
                <c:pt idx="234">
                  <c:v>89.023937395203646</c:v>
                </c:pt>
                <c:pt idx="235">
                  <c:v>89.098701779568358</c:v>
                </c:pt>
                <c:pt idx="236">
                  <c:v>89.259206053958934</c:v>
                </c:pt>
                <c:pt idx="237">
                  <c:v>89.271972394983678</c:v>
                </c:pt>
                <c:pt idx="238">
                  <c:v>89.483170700103997</c:v>
                </c:pt>
                <c:pt idx="239">
                  <c:v>89.71650284025722</c:v>
                </c:pt>
                <c:pt idx="240">
                  <c:v>89.862648222792075</c:v>
                </c:pt>
                <c:pt idx="241">
                  <c:v>89.807536449100979</c:v>
                </c:pt>
                <c:pt idx="242">
                  <c:v>89.87157249126075</c:v>
                </c:pt>
                <c:pt idx="243">
                  <c:v>89.700842560032171</c:v>
                </c:pt>
                <c:pt idx="244">
                  <c:v>89.559834741798284</c:v>
                </c:pt>
                <c:pt idx="245">
                  <c:v>89.298592783081972</c:v>
                </c:pt>
                <c:pt idx="246">
                  <c:v>89.36732615547335</c:v>
                </c:pt>
                <c:pt idx="247">
                  <c:v>89.673409146644829</c:v>
                </c:pt>
                <c:pt idx="248">
                  <c:v>89.22562503956982</c:v>
                </c:pt>
                <c:pt idx="249">
                  <c:v>89.283317735691213</c:v>
                </c:pt>
                <c:pt idx="250">
                  <c:v>89.684154399245102</c:v>
                </c:pt>
                <c:pt idx="251">
                  <c:v>89.898884137195026</c:v>
                </c:pt>
                <c:pt idx="252">
                  <c:v>89.136584912769521</c:v>
                </c:pt>
                <c:pt idx="253">
                  <c:v>89.209045516199609</c:v>
                </c:pt>
                <c:pt idx="254">
                  <c:v>89.506673662507154</c:v>
                </c:pt>
                <c:pt idx="255">
                  <c:v>89.596827045494024</c:v>
                </c:pt>
                <c:pt idx="256">
                  <c:v>89.570643907871016</c:v>
                </c:pt>
                <c:pt idx="257">
                  <c:v>89.544476068923956</c:v>
                </c:pt>
                <c:pt idx="258">
                  <c:v>89.346342848591817</c:v>
                </c:pt>
                <c:pt idx="259">
                  <c:v>89.203603311384725</c:v>
                </c:pt>
                <c:pt idx="260">
                  <c:v>89.66640290164041</c:v>
                </c:pt>
                <c:pt idx="261">
                  <c:v>89.894527826053718</c:v>
                </c:pt>
                <c:pt idx="262">
                  <c:v>89.382307189122955</c:v>
                </c:pt>
                <c:pt idx="263">
                  <c:v>89.781669720061672</c:v>
                </c:pt>
                <c:pt idx="264">
                  <c:v>89.941679776406204</c:v>
                </c:pt>
                <c:pt idx="265">
                  <c:v>90.167906253701176</c:v>
                </c:pt>
                <c:pt idx="266">
                  <c:v>90.402735523095757</c:v>
                </c:pt>
                <c:pt idx="267">
                  <c:v>90.606253504688908</c:v>
                </c:pt>
                <c:pt idx="268">
                  <c:v>90.689323471732621</c:v>
                </c:pt>
                <c:pt idx="269">
                  <c:v>90.09046692172474</c:v>
                </c:pt>
                <c:pt idx="270">
                  <c:v>89.620632019090195</c:v>
                </c:pt>
                <c:pt idx="271">
                  <c:v>89.834093973419087</c:v>
                </c:pt>
                <c:pt idx="272">
                  <c:v>90.236194240386723</c:v>
                </c:pt>
                <c:pt idx="273">
                  <c:v>90.115335448217138</c:v>
                </c:pt>
                <c:pt idx="274">
                  <c:v>90.064029171077678</c:v>
                </c:pt>
                <c:pt idx="275">
                  <c:v>90.207401063849431</c:v>
                </c:pt>
                <c:pt idx="276">
                  <c:v>90.239366896538428</c:v>
                </c:pt>
                <c:pt idx="277">
                  <c:v>90.271355392039226</c:v>
                </c:pt>
                <c:pt idx="278">
                  <c:v>90.398185181696633</c:v>
                </c:pt>
                <c:pt idx="279">
                  <c:v>89.948397415523132</c:v>
                </c:pt>
                <c:pt idx="280">
                  <c:v>90.009487288099706</c:v>
                </c:pt>
                <c:pt idx="281">
                  <c:v>90.463142949127686</c:v>
                </c:pt>
                <c:pt idx="282">
                  <c:v>90.892180462089442</c:v>
                </c:pt>
                <c:pt idx="283">
                  <c:v>90.814996231361235</c:v>
                </c:pt>
                <c:pt idx="284">
                  <c:v>91.024186425335856</c:v>
                </c:pt>
                <c:pt idx="285">
                  <c:v>91.217405713347716</c:v>
                </c:pt>
                <c:pt idx="286">
                  <c:v>91.413953619088517</c:v>
                </c:pt>
                <c:pt idx="287">
                  <c:v>91.553894857469601</c:v>
                </c:pt>
                <c:pt idx="288">
                  <c:v>91.699715039851469</c:v>
                </c:pt>
                <c:pt idx="289">
                  <c:v>91.840157363719726</c:v>
                </c:pt>
                <c:pt idx="290">
                  <c:v>91.981030535185354</c:v>
                </c:pt>
                <c:pt idx="291">
                  <c:v>93.794689688001711</c:v>
                </c:pt>
                <c:pt idx="292">
                  <c:v>90.771058969526663</c:v>
                </c:pt>
                <c:pt idx="293">
                  <c:v>90.497732046111935</c:v>
                </c:pt>
                <c:pt idx="294">
                  <c:v>90.294219855198037</c:v>
                </c:pt>
                <c:pt idx="295">
                  <c:v>90.231384156851291</c:v>
                </c:pt>
                <c:pt idx="296">
                  <c:v>89.175257568743064</c:v>
                </c:pt>
                <c:pt idx="297">
                  <c:v>89.714285612223691</c:v>
                </c:pt>
                <c:pt idx="298">
                  <c:v>90.15645961049087</c:v>
                </c:pt>
                <c:pt idx="299">
                  <c:v>90.68859657689579</c:v>
                </c:pt>
                <c:pt idx="300">
                  <c:v>91.17379490961838</c:v>
                </c:pt>
                <c:pt idx="301">
                  <c:v>91.620283903958082</c:v>
                </c:pt>
                <c:pt idx="302">
                  <c:v>92.012627070346468</c:v>
                </c:pt>
                <c:pt idx="303">
                  <c:v>92.339094118693325</c:v>
                </c:pt>
                <c:pt idx="304">
                  <c:v>92.457519513661964</c:v>
                </c:pt>
                <c:pt idx="305">
                  <c:v>91.704670102358477</c:v>
                </c:pt>
                <c:pt idx="306">
                  <c:v>91.793503097621084</c:v>
                </c:pt>
                <c:pt idx="307">
                  <c:v>91.951127313028266</c:v>
                </c:pt>
                <c:pt idx="308">
                  <c:v>92.105958870614117</c:v>
                </c:pt>
                <c:pt idx="309">
                  <c:v>92.132823482896384</c:v>
                </c:pt>
                <c:pt idx="310">
                  <c:v>91.439708023192793</c:v>
                </c:pt>
                <c:pt idx="311">
                  <c:v>91.714698114972549</c:v>
                </c:pt>
                <c:pt idx="312">
                  <c:v>90.663316145131148</c:v>
                </c:pt>
                <c:pt idx="313">
                  <c:v>90.186145362153667</c:v>
                </c:pt>
                <c:pt idx="314">
                  <c:v>90.687215738707778</c:v>
                </c:pt>
                <c:pt idx="315">
                  <c:v>90.922239007363601</c:v>
                </c:pt>
                <c:pt idx="316">
                  <c:v>90.781151874439161</c:v>
                </c:pt>
                <c:pt idx="317">
                  <c:v>90.954682954178779</c:v>
                </c:pt>
                <c:pt idx="318">
                  <c:v>89.821947714531007</c:v>
                </c:pt>
                <c:pt idx="319">
                  <c:v>90.037469625463061</c:v>
                </c:pt>
                <c:pt idx="320">
                  <c:v>90.399658119635689</c:v>
                </c:pt>
                <c:pt idx="321">
                  <c:v>90.237727350348791</c:v>
                </c:pt>
                <c:pt idx="322">
                  <c:v>90.540342836849234</c:v>
                </c:pt>
                <c:pt idx="323">
                  <c:v>90.924372910494895</c:v>
                </c:pt>
                <c:pt idx="324">
                  <c:v>91.26648999051055</c:v>
                </c:pt>
                <c:pt idx="325">
                  <c:v>91.538716625349153</c:v>
                </c:pt>
                <c:pt idx="326">
                  <c:v>91.912259312870034</c:v>
                </c:pt>
                <c:pt idx="327">
                  <c:v>92.2913008080682</c:v>
                </c:pt>
                <c:pt idx="328">
                  <c:v>92.607493126946764</c:v>
                </c:pt>
                <c:pt idx="329">
                  <c:v>92.852789332507015</c:v>
                </c:pt>
                <c:pt idx="330">
                  <c:v>92.943618234376586</c:v>
                </c:pt>
                <c:pt idx="331">
                  <c:v>93.09581864372295</c:v>
                </c:pt>
                <c:pt idx="332">
                  <c:v>93.187210788427834</c:v>
                </c:pt>
                <c:pt idx="333">
                  <c:v>93.371615272315154</c:v>
                </c:pt>
                <c:pt idx="334">
                  <c:v>93.458230950309897</c:v>
                </c:pt>
                <c:pt idx="335">
                  <c:v>93.59390759397985</c:v>
                </c:pt>
                <c:pt idx="336">
                  <c:v>93.569788196208961</c:v>
                </c:pt>
                <c:pt idx="337">
                  <c:v>92.708400804948241</c:v>
                </c:pt>
                <c:pt idx="338">
                  <c:v>90.835301285768836</c:v>
                </c:pt>
                <c:pt idx="339">
                  <c:v>90.700463221702989</c:v>
                </c:pt>
                <c:pt idx="340">
                  <c:v>91.429947564446735</c:v>
                </c:pt>
                <c:pt idx="341">
                  <c:v>92.095460698659693</c:v>
                </c:pt>
                <c:pt idx="342">
                  <c:v>92.536042158429836</c:v>
                </c:pt>
                <c:pt idx="343">
                  <c:v>93.044860546795817</c:v>
                </c:pt>
                <c:pt idx="344">
                  <c:v>94.276459906996379</c:v>
                </c:pt>
                <c:pt idx="345">
                  <c:v>94.279427212004222</c:v>
                </c:pt>
                <c:pt idx="346">
                  <c:v>94.254761802904852</c:v>
                </c:pt>
                <c:pt idx="347">
                  <c:v>94.328579166403543</c:v>
                </c:pt>
                <c:pt idx="348">
                  <c:v>94.388644132326633</c:v>
                </c:pt>
                <c:pt idx="349">
                  <c:v>94.44496250985199</c:v>
                </c:pt>
                <c:pt idx="350">
                  <c:v>94.517029759208086</c:v>
                </c:pt>
                <c:pt idx="351">
                  <c:v>94.583050902023473</c:v>
                </c:pt>
                <c:pt idx="352">
                  <c:v>94.625553653576375</c:v>
                </c:pt>
                <c:pt idx="353">
                  <c:v>94.61470515231423</c:v>
                </c:pt>
                <c:pt idx="354">
                  <c:v>94.662528705398657</c:v>
                </c:pt>
                <c:pt idx="355">
                  <c:v>94.706178551660784</c:v>
                </c:pt>
                <c:pt idx="356">
                  <c:v>94.731510978471547</c:v>
                </c:pt>
                <c:pt idx="357">
                  <c:v>94.506829185541534</c:v>
                </c:pt>
                <c:pt idx="358">
                  <c:v>92.329112420158481</c:v>
                </c:pt>
                <c:pt idx="359">
                  <c:v>92.620771622888412</c:v>
                </c:pt>
                <c:pt idx="360">
                  <c:v>92.125428906563641</c:v>
                </c:pt>
                <c:pt idx="361">
                  <c:v>92.089102386262908</c:v>
                </c:pt>
                <c:pt idx="362">
                  <c:v>92.294517694485833</c:v>
                </c:pt>
                <c:pt idx="363">
                  <c:v>91.79126836810687</c:v>
                </c:pt>
                <c:pt idx="364">
                  <c:v>90.786584129894095</c:v>
                </c:pt>
                <c:pt idx="365">
                  <c:v>89.959445509583375</c:v>
                </c:pt>
                <c:pt idx="366">
                  <c:v>89.928802881232144</c:v>
                </c:pt>
                <c:pt idx="367">
                  <c:v>90.074304754941267</c:v>
                </c:pt>
                <c:pt idx="368">
                  <c:v>90.433516529717821</c:v>
                </c:pt>
                <c:pt idx="369">
                  <c:v>90.200717685457079</c:v>
                </c:pt>
                <c:pt idx="370">
                  <c:v>90.511723015897715</c:v>
                </c:pt>
                <c:pt idx="371">
                  <c:v>90.97715384975433</c:v>
                </c:pt>
                <c:pt idx="372">
                  <c:v>91.014403680776581</c:v>
                </c:pt>
                <c:pt idx="373">
                  <c:v>91.091301500423398</c:v>
                </c:pt>
                <c:pt idx="374">
                  <c:v>91.151755987508778</c:v>
                </c:pt>
                <c:pt idx="375">
                  <c:v>91.2566062820448</c:v>
                </c:pt>
                <c:pt idx="376">
                  <c:v>91.383471003689593</c:v>
                </c:pt>
                <c:pt idx="377">
                  <c:v>91.493216167787295</c:v>
                </c:pt>
                <c:pt idx="378">
                  <c:v>91.390752552769143</c:v>
                </c:pt>
                <c:pt idx="379">
                  <c:v>91.02876778631834</c:v>
                </c:pt>
                <c:pt idx="380">
                  <c:v>91.030277218483164</c:v>
                </c:pt>
                <c:pt idx="381">
                  <c:v>90.830731727097074</c:v>
                </c:pt>
                <c:pt idx="382">
                  <c:v>90.154018079712685</c:v>
                </c:pt>
                <c:pt idx="383">
                  <c:v>90.549536989023409</c:v>
                </c:pt>
                <c:pt idx="384">
                  <c:v>90.744151480049695</c:v>
                </c:pt>
                <c:pt idx="385">
                  <c:v>90.740975621130374</c:v>
                </c:pt>
                <c:pt idx="386">
                  <c:v>90.575143370698996</c:v>
                </c:pt>
                <c:pt idx="387">
                  <c:v>90.685994526556186</c:v>
                </c:pt>
                <c:pt idx="388">
                  <c:v>90.808607069647366</c:v>
                </c:pt>
                <c:pt idx="389">
                  <c:v>90.945598136437809</c:v>
                </c:pt>
                <c:pt idx="390">
                  <c:v>91.073978464452054</c:v>
                </c:pt>
                <c:pt idx="391">
                  <c:v>90.739743611418518</c:v>
                </c:pt>
                <c:pt idx="392">
                  <c:v>90.818606727936782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3-4658-BD55-03C7F1D3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05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MIRA_EGR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36.827739288057799</c:v>
                </c:pt>
                <c:pt idx="229">
                  <c:v>36.502086615008203</c:v>
                </c:pt>
                <c:pt idx="230">
                  <c:v>37.820905597170601</c:v>
                </c:pt>
                <c:pt idx="231">
                  <c:v>37.385703514750197</c:v>
                </c:pt>
                <c:pt idx="232">
                  <c:v>36.330821405988701</c:v>
                </c:pt>
                <c:pt idx="233">
                  <c:v>38.522220074486697</c:v>
                </c:pt>
                <c:pt idx="234">
                  <c:v>39.199029022511397</c:v>
                </c:pt>
                <c:pt idx="235">
                  <c:v>38.994992077880099</c:v>
                </c:pt>
                <c:pt idx="236">
                  <c:v>38.558119855760197</c:v>
                </c:pt>
                <c:pt idx="237">
                  <c:v>38.523438943215801</c:v>
                </c:pt>
                <c:pt idx="238">
                  <c:v>37.951135763560401</c:v>
                </c:pt>
                <c:pt idx="239">
                  <c:v>37.3219873750744</c:v>
                </c:pt>
                <c:pt idx="240">
                  <c:v>36.929590288939401</c:v>
                </c:pt>
                <c:pt idx="241">
                  <c:v>37.077414175641501</c:v>
                </c:pt>
                <c:pt idx="242">
                  <c:v>36.905670172037802</c:v>
                </c:pt>
                <c:pt idx="243">
                  <c:v>37.364110724335703</c:v>
                </c:pt>
                <c:pt idx="244">
                  <c:v>37.744059991978702</c:v>
                </c:pt>
                <c:pt idx="245">
                  <c:v>38.451154163460501</c:v>
                </c:pt>
                <c:pt idx="246">
                  <c:v>38.264715277809898</c:v>
                </c:pt>
                <c:pt idx="247">
                  <c:v>37.437937154580602</c:v>
                </c:pt>
                <c:pt idx="248">
                  <c:v>38.649393085200501</c:v>
                </c:pt>
                <c:pt idx="249">
                  <c:v>38.492626629082899</c:v>
                </c:pt>
                <c:pt idx="250">
                  <c:v>37.409015079073001</c:v>
                </c:pt>
                <c:pt idx="251">
                  <c:v>36.832495049798197</c:v>
                </c:pt>
                <c:pt idx="252">
                  <c:v>38.891737159288901</c:v>
                </c:pt>
                <c:pt idx="253">
                  <c:v>38.694481583835099</c:v>
                </c:pt>
                <c:pt idx="254">
                  <c:v>37.887614657947402</c:v>
                </c:pt>
                <c:pt idx="255">
                  <c:v>37.644267541068402</c:v>
                </c:pt>
                <c:pt idx="256">
                  <c:v>37.714892073714701</c:v>
                </c:pt>
                <c:pt idx="257">
                  <c:v>37.785516606361</c:v>
                </c:pt>
                <c:pt idx="258">
                  <c:v>38.3216019609401</c:v>
                </c:pt>
                <c:pt idx="259">
                  <c:v>38.709285472713503</c:v>
                </c:pt>
                <c:pt idx="260">
                  <c:v>37.456798997182503</c:v>
                </c:pt>
                <c:pt idx="261">
                  <c:v>36.844163778936199</c:v>
                </c:pt>
                <c:pt idx="262">
                  <c:v>38.224117367542597</c:v>
                </c:pt>
                <c:pt idx="263">
                  <c:v>37.1468579436063</c:v>
                </c:pt>
                <c:pt idx="264">
                  <c:v>36.717923589951901</c:v>
                </c:pt>
                <c:pt idx="265">
                  <c:v>36.1140824782252</c:v>
                </c:pt>
                <c:pt idx="266">
                  <c:v>35.4904756034882</c:v>
                </c:pt>
                <c:pt idx="267">
                  <c:v>34.9526329184134</c:v>
                </c:pt>
                <c:pt idx="268">
                  <c:v>34.733795326231601</c:v>
                </c:pt>
                <c:pt idx="269">
                  <c:v>36.320441281008002</c:v>
                </c:pt>
                <c:pt idx="270">
                  <c:v>37.5800935134939</c:v>
                </c:pt>
                <c:pt idx="271">
                  <c:v>37.006157454053998</c:v>
                </c:pt>
                <c:pt idx="272">
                  <c:v>35.932403876890902</c:v>
                </c:pt>
                <c:pt idx="273">
                  <c:v>36.254133463046898</c:v>
                </c:pt>
                <c:pt idx="274">
                  <c:v>36.390973332691502</c:v>
                </c:pt>
                <c:pt idx="275">
                  <c:v>36.008973915065198</c:v>
                </c:pt>
                <c:pt idx="276">
                  <c:v>35.9239697832028</c:v>
                </c:pt>
                <c:pt idx="277">
                  <c:v>35.838965651340402</c:v>
                </c:pt>
                <c:pt idx="278">
                  <c:v>35.502528596995298</c:v>
                </c:pt>
                <c:pt idx="279">
                  <c:v>36.699949187168897</c:v>
                </c:pt>
                <c:pt idx="280">
                  <c:v>36.536614010711297</c:v>
                </c:pt>
                <c:pt idx="281">
                  <c:v>35.3305826550299</c:v>
                </c:pt>
                <c:pt idx="282">
                  <c:v>34.201074692677899</c:v>
                </c:pt>
                <c:pt idx="283">
                  <c:v>34.403486905825503</c:v>
                </c:pt>
                <c:pt idx="284">
                  <c:v>33.855690507900697</c:v>
                </c:pt>
                <c:pt idx="285">
                  <c:v>33.351948487343698</c:v>
                </c:pt>
                <c:pt idx="286">
                  <c:v>32.841713263601797</c:v>
                </c:pt>
                <c:pt idx="287">
                  <c:v>32.4797632307071</c:v>
                </c:pt>
                <c:pt idx="288">
                  <c:v>32.103782964479898</c:v>
                </c:pt>
                <c:pt idx="289">
                  <c:v>31.742797573479098</c:v>
                </c:pt>
                <c:pt idx="290">
                  <c:v>31.381812182478299</c:v>
                </c:pt>
                <c:pt idx="291">
                  <c:v>26.831183762971801</c:v>
                </c:pt>
                <c:pt idx="292">
                  <c:v>34.518864171282701</c:v>
                </c:pt>
                <c:pt idx="293">
                  <c:v>35.2391245748125</c:v>
                </c:pt>
                <c:pt idx="294">
                  <c:v>35.778244035441197</c:v>
                </c:pt>
                <c:pt idx="295">
                  <c:v>35.945191989545997</c:v>
                </c:pt>
                <c:pt idx="296">
                  <c:v>38.786420794270299</c:v>
                </c:pt>
                <c:pt idx="297">
                  <c:v>37.327950427753798</c:v>
                </c:pt>
                <c:pt idx="298">
                  <c:v>36.144562939614801</c:v>
                </c:pt>
                <c:pt idx="299">
                  <c:v>34.735708502413402</c:v>
                </c:pt>
                <c:pt idx="300">
                  <c:v>33.465459648726799</c:v>
                </c:pt>
                <c:pt idx="301">
                  <c:v>32.308438444707399</c:v>
                </c:pt>
                <c:pt idx="302">
                  <c:v>31.300998297678699</c:v>
                </c:pt>
                <c:pt idx="303">
                  <c:v>30.469237327995899</c:v>
                </c:pt>
                <c:pt idx="304">
                  <c:v>30.168969211969401</c:v>
                </c:pt>
                <c:pt idx="305">
                  <c:v>32.0910279215949</c:v>
                </c:pt>
                <c:pt idx="306">
                  <c:v>31.862592664967799</c:v>
                </c:pt>
                <c:pt idx="307">
                  <c:v>31.4583462654731</c:v>
                </c:pt>
                <c:pt idx="308">
                  <c:v>31.062609024766999</c:v>
                </c:pt>
                <c:pt idx="309">
                  <c:v>30.994080608836001</c:v>
                </c:pt>
                <c:pt idx="310">
                  <c:v>32.7750177828378</c:v>
                </c:pt>
                <c:pt idx="311">
                  <c:v>32.065218593262003</c:v>
                </c:pt>
                <c:pt idx="312">
                  <c:v>34.802265302004301</c:v>
                </c:pt>
                <c:pt idx="313">
                  <c:v>36.065530825288597</c:v>
                </c:pt>
                <c:pt idx="314">
                  <c:v>34.739342932042398</c:v>
                </c:pt>
                <c:pt idx="315">
                  <c:v>34.122340470902699</c:v>
                </c:pt>
                <c:pt idx="316">
                  <c:v>34.492350777914901</c:v>
                </c:pt>
                <c:pt idx="317">
                  <c:v>34.037416416620601</c:v>
                </c:pt>
                <c:pt idx="318">
                  <c:v>37.0387419568141</c:v>
                </c:pt>
                <c:pt idx="319">
                  <c:v>36.461872022930798</c:v>
                </c:pt>
                <c:pt idx="320">
                  <c:v>35.498626930236597</c:v>
                </c:pt>
                <c:pt idx="321">
                  <c:v>35.928328229430001</c:v>
                </c:pt>
                <c:pt idx="322">
                  <c:v>35.126552158502001</c:v>
                </c:pt>
                <c:pt idx="323">
                  <c:v>34.1167529843746</c:v>
                </c:pt>
                <c:pt idx="324">
                  <c:v>33.224320606064701</c:v>
                </c:pt>
                <c:pt idx="325">
                  <c:v>32.518967356221502</c:v>
                </c:pt>
                <c:pt idx="326">
                  <c:v>31.557899166655702</c:v>
                </c:pt>
                <c:pt idx="327">
                  <c:v>30.590635727977698</c:v>
                </c:pt>
                <c:pt idx="328">
                  <c:v>29.7898125302466</c:v>
                </c:pt>
                <c:pt idx="329">
                  <c:v>29.1723054063017</c:v>
                </c:pt>
                <c:pt idx="330">
                  <c:v>28.944480207266501</c:v>
                </c:pt>
                <c:pt idx="331">
                  <c:v>28.5637140906992</c:v>
                </c:pt>
                <c:pt idx="332">
                  <c:v>28.3356722144595</c:v>
                </c:pt>
                <c:pt idx="333">
                  <c:v>27.8769048488621</c:v>
                </c:pt>
                <c:pt idx="334">
                  <c:v>27.662044485460701</c:v>
                </c:pt>
                <c:pt idx="335">
                  <c:v>27.326281992673099</c:v>
                </c:pt>
                <c:pt idx="336">
                  <c:v>27.385899725779801</c:v>
                </c:pt>
                <c:pt idx="337">
                  <c:v>29.5353925470143</c:v>
                </c:pt>
                <c:pt idx="338">
                  <c:v>34.350204460009799</c:v>
                </c:pt>
                <c:pt idx="339">
                  <c:v>34.704479509313899</c:v>
                </c:pt>
                <c:pt idx="340">
                  <c:v>32.800289756108803</c:v>
                </c:pt>
                <c:pt idx="341">
                  <c:v>31.089399471392699</c:v>
                </c:pt>
                <c:pt idx="342">
                  <c:v>29.9702984372367</c:v>
                </c:pt>
                <c:pt idx="343">
                  <c:v>28.691059373047299</c:v>
                </c:pt>
                <c:pt idx="344">
                  <c:v>25.651812184132002</c:v>
                </c:pt>
                <c:pt idx="345">
                  <c:v>25.644585580873201</c:v>
                </c:pt>
                <c:pt idx="346">
                  <c:v>25.704669784903</c:v>
                </c:pt>
                <c:pt idx="347">
                  <c:v>25.524946577219801</c:v>
                </c:pt>
                <c:pt idx="348">
                  <c:v>25.378913774904198</c:v>
                </c:pt>
                <c:pt idx="349">
                  <c:v>25.242158586146701</c:v>
                </c:pt>
                <c:pt idx="350">
                  <c:v>25.067398879416999</c:v>
                </c:pt>
                <c:pt idx="351">
                  <c:v>24.907534436572998</c:v>
                </c:pt>
                <c:pt idx="352">
                  <c:v>24.8047357611104</c:v>
                </c:pt>
                <c:pt idx="353">
                  <c:v>24.830965556009001</c:v>
                </c:pt>
                <c:pt idx="354">
                  <c:v>24.7153816619062</c:v>
                </c:pt>
                <c:pt idx="355">
                  <c:v>24.609987020952701</c:v>
                </c:pt>
                <c:pt idx="356">
                  <c:v>24.548865205684098</c:v>
                </c:pt>
                <c:pt idx="357">
                  <c:v>25.092118600356699</c:v>
                </c:pt>
                <c:pt idx="358">
                  <c:v>30.494581167153999</c:v>
                </c:pt>
                <c:pt idx="359">
                  <c:v>29.756301592032699</c:v>
                </c:pt>
                <c:pt idx="360">
                  <c:v>31.0129393030074</c:v>
                </c:pt>
                <c:pt idx="361">
                  <c:v>31.105628316753201</c:v>
                </c:pt>
                <c:pt idx="362">
                  <c:v>30.582460661745898</c:v>
                </c:pt>
                <c:pt idx="363">
                  <c:v>31.868333880808699</c:v>
                </c:pt>
                <c:pt idx="364">
                  <c:v>34.478083042584601</c:v>
                </c:pt>
                <c:pt idx="365">
                  <c:v>36.670393613875802</c:v>
                </c:pt>
                <c:pt idx="366">
                  <c:v>36.752385835974501</c:v>
                </c:pt>
                <c:pt idx="367">
                  <c:v>36.363554659059503</c:v>
                </c:pt>
                <c:pt idx="368">
                  <c:v>35.408974394312402</c:v>
                </c:pt>
                <c:pt idx="369">
                  <c:v>36.0267540933433</c:v>
                </c:pt>
                <c:pt idx="370">
                  <c:v>35.202150482981899</c:v>
                </c:pt>
                <c:pt idx="371">
                  <c:v>33.978632949764602</c:v>
                </c:pt>
                <c:pt idx="372">
                  <c:v>33.881251988418803</c:v>
                </c:pt>
                <c:pt idx="373">
                  <c:v>33.680472559087697</c:v>
                </c:pt>
                <c:pt idx="374">
                  <c:v>33.522864355579301</c:v>
                </c:pt>
                <c:pt idx="375">
                  <c:v>33.250008972594699</c:v>
                </c:pt>
                <c:pt idx="376">
                  <c:v>32.920701844085499</c:v>
                </c:pt>
                <c:pt idx="377">
                  <c:v>32.6365692391377</c:v>
                </c:pt>
                <c:pt idx="378">
                  <c:v>32.901828619733003</c:v>
                </c:pt>
                <c:pt idx="379">
                  <c:v>33.843721689773297</c:v>
                </c:pt>
                <c:pt idx="380">
                  <c:v>33.8397785579551</c:v>
                </c:pt>
                <c:pt idx="381">
                  <c:v>34.362193350928102</c:v>
                </c:pt>
                <c:pt idx="382">
                  <c:v>36.151065321793602</c:v>
                </c:pt>
                <c:pt idx="383">
                  <c:v>35.102276247107497</c:v>
                </c:pt>
                <c:pt idx="384">
                  <c:v>34.589577186762</c:v>
                </c:pt>
                <c:pt idx="385">
                  <c:v>34.597926126721703</c:v>
                </c:pt>
                <c:pt idx="386">
                  <c:v>35.034692047449397</c:v>
                </c:pt>
                <c:pt idx="387">
                  <c:v>34.742557310828197</c:v>
                </c:pt>
                <c:pt idx="388">
                  <c:v>34.420257618638402</c:v>
                </c:pt>
                <c:pt idx="389">
                  <c:v>34.0611903858197</c:v>
                </c:pt>
                <c:pt idx="390">
                  <c:v>33.7256732440419</c:v>
                </c:pt>
                <c:pt idx="391">
                  <c:v>34.601165085075202</c:v>
                </c:pt>
                <c:pt idx="392">
                  <c:v>34.394010868605399</c:v>
                </c:pt>
              </c:numCache>
            </c:numRef>
          </c:xVal>
          <c:yVal>
            <c:numRef>
              <c:f>selhausen_SM_Kdose_daily!$F$8:$F$400</c:f>
              <c:numCache>
                <c:formatCode>General</c:formatCode>
                <c:ptCount val="393"/>
                <c:pt idx="0">
                  <c:v>37.426188699264657</c:v>
                </c:pt>
                <c:pt idx="1">
                  <c:v>35.097439475981822</c:v>
                </c:pt>
                <c:pt idx="2">
                  <c:v>34.162886873175438</c:v>
                </c:pt>
                <c:pt idx="3">
                  <c:v>32.364116755459527</c:v>
                </c:pt>
                <c:pt idx="4">
                  <c:v>32.529909195834534</c:v>
                </c:pt>
                <c:pt idx="5">
                  <c:v>32.370235775365522</c:v>
                </c:pt>
                <c:pt idx="6">
                  <c:v>32.457389582397582</c:v>
                </c:pt>
                <c:pt idx="7">
                  <c:v>31.71180078558956</c:v>
                </c:pt>
                <c:pt idx="8">
                  <c:v>29.809659523220944</c:v>
                </c:pt>
                <c:pt idx="9">
                  <c:v>26.431429383787691</c:v>
                </c:pt>
                <c:pt idx="10">
                  <c:v>25.358259921828562</c:v>
                </c:pt>
                <c:pt idx="11">
                  <c:v>27.903941904985491</c:v>
                </c:pt>
                <c:pt idx="12">
                  <c:v>32.63536807803078</c:v>
                </c:pt>
                <c:pt idx="13">
                  <c:v>34.96195932458464</c:v>
                </c:pt>
                <c:pt idx="14">
                  <c:v>36.097920112155776</c:v>
                </c:pt>
                <c:pt idx="15">
                  <c:v>34.833664989749963</c:v>
                </c:pt>
                <c:pt idx="16">
                  <c:v>31.636922124033951</c:v>
                </c:pt>
                <c:pt idx="17">
                  <c:v>31.172811898239988</c:v>
                </c:pt>
                <c:pt idx="18">
                  <c:v>32.834966545115471</c:v>
                </c:pt>
                <c:pt idx="19">
                  <c:v>36.399432373164714</c:v>
                </c:pt>
                <c:pt idx="20">
                  <c:v>36.383323253130008</c:v>
                </c:pt>
                <c:pt idx="21">
                  <c:v>35.112761784912479</c:v>
                </c:pt>
                <c:pt idx="22">
                  <c:v>33.999537505107284</c:v>
                </c:pt>
                <c:pt idx="23">
                  <c:v>33.268258933139336</c:v>
                </c:pt>
                <c:pt idx="24">
                  <c:v>32.244193783396291</c:v>
                </c:pt>
                <c:pt idx="25">
                  <c:v>31.837577530701573</c:v>
                </c:pt>
                <c:pt idx="26">
                  <c:v>32.050446939955897</c:v>
                </c:pt>
                <c:pt idx="27">
                  <c:v>31.984916777343635</c:v>
                </c:pt>
                <c:pt idx="28">
                  <c:v>32.600085772307189</c:v>
                </c:pt>
                <c:pt idx="29">
                  <c:v>32.246765159229533</c:v>
                </c:pt>
                <c:pt idx="30">
                  <c:v>33.128053694151589</c:v>
                </c:pt>
                <c:pt idx="31">
                  <c:v>35.704487034479499</c:v>
                </c:pt>
                <c:pt idx="32">
                  <c:v>38.337532389018449</c:v>
                </c:pt>
                <c:pt idx="33">
                  <c:v>41.029076390421125</c:v>
                </c:pt>
                <c:pt idx="34">
                  <c:v>39.20416322587436</c:v>
                </c:pt>
                <c:pt idx="35">
                  <c:v>39.369964873112764</c:v>
                </c:pt>
                <c:pt idx="36">
                  <c:v>38.548807630237448</c:v>
                </c:pt>
                <c:pt idx="37">
                  <c:v>40.587824101475711</c:v>
                </c:pt>
                <c:pt idx="38">
                  <c:v>39.780958033501378</c:v>
                </c:pt>
                <c:pt idx="39">
                  <c:v>39.780958033501378</c:v>
                </c:pt>
                <c:pt idx="40">
                  <c:v>38.105412338025246</c:v>
                </c:pt>
                <c:pt idx="41">
                  <c:v>37.89263636025715</c:v>
                </c:pt>
                <c:pt idx="42">
                  <c:v>37.680234119286993</c:v>
                </c:pt>
                <c:pt idx="43">
                  <c:v>37.468204631286959</c:v>
                </c:pt>
                <c:pt idx="44">
                  <c:v>37.256546915878879</c:v>
                </c:pt>
                <c:pt idx="45">
                  <c:v>37.110183046233516</c:v>
                </c:pt>
                <c:pt idx="46">
                  <c:v>37.143631263576651</c:v>
                </c:pt>
                <c:pt idx="47">
                  <c:v>37.087213071236881</c:v>
                </c:pt>
                <c:pt idx="48">
                  <c:v>37.210555551729449</c:v>
                </c:pt>
                <c:pt idx="49">
                  <c:v>39.647911193557164</c:v>
                </c:pt>
                <c:pt idx="50">
                  <c:v>39.558583905190382</c:v>
                </c:pt>
                <c:pt idx="51">
                  <c:v>39.007514030756383</c:v>
                </c:pt>
                <c:pt idx="52">
                  <c:v>38.327340848887623</c:v>
                </c:pt>
                <c:pt idx="53">
                  <c:v>38.938103801110515</c:v>
                </c:pt>
                <c:pt idx="54">
                  <c:v>39.454010774624749</c:v>
                </c:pt>
                <c:pt idx="55">
                  <c:v>40.444887268021986</c:v>
                </c:pt>
                <c:pt idx="56">
                  <c:v>40.086320720895344</c:v>
                </c:pt>
                <c:pt idx="57">
                  <c:v>39.487160126727765</c:v>
                </c:pt>
                <c:pt idx="58">
                  <c:v>37.771823028934847</c:v>
                </c:pt>
                <c:pt idx="59">
                  <c:v>34.555369507387482</c:v>
                </c:pt>
                <c:pt idx="60">
                  <c:v>35.221588795472627</c:v>
                </c:pt>
                <c:pt idx="61">
                  <c:v>37.214889704140454</c:v>
                </c:pt>
                <c:pt idx="62">
                  <c:v>39.00311825068534</c:v>
                </c:pt>
                <c:pt idx="63">
                  <c:v>35.923230969116482</c:v>
                </c:pt>
                <c:pt idx="64">
                  <c:v>29.893460929699266</c:v>
                </c:pt>
                <c:pt idx="65">
                  <c:v>26.93986060345404</c:v>
                </c:pt>
                <c:pt idx="66">
                  <c:v>26.03342063757626</c:v>
                </c:pt>
                <c:pt idx="67">
                  <c:v>28.528663142217166</c:v>
                </c:pt>
                <c:pt idx="68">
                  <c:v>33.704715601525763</c:v>
                </c:pt>
                <c:pt idx="69">
                  <c:v>37.18246230358568</c:v>
                </c:pt>
                <c:pt idx="70">
                  <c:v>35.95067531918594</c:v>
                </c:pt>
                <c:pt idx="71">
                  <c:v>32.100977184084961</c:v>
                </c:pt>
                <c:pt idx="72">
                  <c:v>32.06236483178396</c:v>
                </c:pt>
                <c:pt idx="73">
                  <c:v>32.631306965701107</c:v>
                </c:pt>
                <c:pt idx="74">
                  <c:v>33.061040023582002</c:v>
                </c:pt>
                <c:pt idx="75">
                  <c:v>33.777804766149352</c:v>
                </c:pt>
                <c:pt idx="76">
                  <c:v>32.850052521419862</c:v>
                </c:pt>
                <c:pt idx="77">
                  <c:v>31.395396495181437</c:v>
                </c:pt>
                <c:pt idx="78">
                  <c:v>30.428700306303412</c:v>
                </c:pt>
                <c:pt idx="79">
                  <c:v>27.661205127768294</c:v>
                </c:pt>
                <c:pt idx="80">
                  <c:v>23.865606740126125</c:v>
                </c:pt>
                <c:pt idx="81">
                  <c:v>18.324320923997643</c:v>
                </c:pt>
                <c:pt idx="82">
                  <c:v>14.601861955870143</c:v>
                </c:pt>
                <c:pt idx="83">
                  <c:v>13.610763409627225</c:v>
                </c:pt>
                <c:pt idx="84">
                  <c:v>14.229451774322301</c:v>
                </c:pt>
                <c:pt idx="85">
                  <c:v>15.002806766523493</c:v>
                </c:pt>
                <c:pt idx="86">
                  <c:v>25.352868387007486</c:v>
                </c:pt>
                <c:pt idx="87">
                  <c:v>33.747171676869506</c:v>
                </c:pt>
                <c:pt idx="88">
                  <c:v>31.091066093772064</c:v>
                </c:pt>
                <c:pt idx="89">
                  <c:v>26.148622446058084</c:v>
                </c:pt>
                <c:pt idx="90">
                  <c:v>24.312419971616034</c:v>
                </c:pt>
                <c:pt idx="91">
                  <c:v>24.792605036730418</c:v>
                </c:pt>
                <c:pt idx="92">
                  <c:v>27.559191614740541</c:v>
                </c:pt>
                <c:pt idx="93">
                  <c:v>27.234513043730878</c:v>
                </c:pt>
                <c:pt idx="94">
                  <c:v>25.752753192139473</c:v>
                </c:pt>
                <c:pt idx="95">
                  <c:v>27.616254824357899</c:v>
                </c:pt>
                <c:pt idx="96">
                  <c:v>30.254996543179292</c:v>
                </c:pt>
                <c:pt idx="97">
                  <c:v>31.798515701240955</c:v>
                </c:pt>
                <c:pt idx="98">
                  <c:v>27.766324337842917</c:v>
                </c:pt>
                <c:pt idx="99">
                  <c:v>23.00228496867981</c:v>
                </c:pt>
                <c:pt idx="100">
                  <c:v>18.731494786629284</c:v>
                </c:pt>
                <c:pt idx="101">
                  <c:v>16.755452408554184</c:v>
                </c:pt>
                <c:pt idx="102">
                  <c:v>17.887428597065089</c:v>
                </c:pt>
                <c:pt idx="103">
                  <c:v>19.992191428711596</c:v>
                </c:pt>
                <c:pt idx="104">
                  <c:v>21.264033166198185</c:v>
                </c:pt>
                <c:pt idx="105">
                  <c:v>19.26179490582107</c:v>
                </c:pt>
                <c:pt idx="106">
                  <c:v>19.16408713300244</c:v>
                </c:pt>
                <c:pt idx="107">
                  <c:v>20.606938015305122</c:v>
                </c:pt>
                <c:pt idx="108">
                  <c:v>24.088369665680339</c:v>
                </c:pt>
                <c:pt idx="109">
                  <c:v>25.38913978093041</c:v>
                </c:pt>
                <c:pt idx="110">
                  <c:v>23.854829532845358</c:v>
                </c:pt>
                <c:pt idx="111">
                  <c:v>20.79061577235705</c:v>
                </c:pt>
                <c:pt idx="112">
                  <c:v>18.612807113586761</c:v>
                </c:pt>
                <c:pt idx="113">
                  <c:v>17.306961369186563</c:v>
                </c:pt>
                <c:pt idx="114">
                  <c:v>17.156938585783077</c:v>
                </c:pt>
                <c:pt idx="115">
                  <c:v>16.399393496057314</c:v>
                </c:pt>
                <c:pt idx="116">
                  <c:v>16.36469827390664</c:v>
                </c:pt>
                <c:pt idx="117">
                  <c:v>19.488052023719824</c:v>
                </c:pt>
                <c:pt idx="118">
                  <c:v>23.032546374816246</c:v>
                </c:pt>
                <c:pt idx="119">
                  <c:v>25.55217676475559</c:v>
                </c:pt>
                <c:pt idx="120">
                  <c:v>23.555535934054696</c:v>
                </c:pt>
                <c:pt idx="121">
                  <c:v>19.248209392636078</c:v>
                </c:pt>
                <c:pt idx="122">
                  <c:v>19.758390238262059</c:v>
                </c:pt>
                <c:pt idx="123">
                  <c:v>19.379513316341988</c:v>
                </c:pt>
                <c:pt idx="124">
                  <c:v>31.242307245545476</c:v>
                </c:pt>
                <c:pt idx="125">
                  <c:v>37.015183075903643</c:v>
                </c:pt>
                <c:pt idx="126">
                  <c:v>37.015183075903643</c:v>
                </c:pt>
                <c:pt idx="127">
                  <c:v>31.403555714000547</c:v>
                </c:pt>
                <c:pt idx="128">
                  <c:v>31.403555714000547</c:v>
                </c:pt>
                <c:pt idx="129">
                  <c:v>31.403555714000547</c:v>
                </c:pt>
                <c:pt idx="130">
                  <c:v>32.573870009791065</c:v>
                </c:pt>
                <c:pt idx="131">
                  <c:v>33.755881072157266</c:v>
                </c:pt>
                <c:pt idx="132">
                  <c:v>34.949765137707061</c:v>
                </c:pt>
                <c:pt idx="133">
                  <c:v>34.949765137707061</c:v>
                </c:pt>
                <c:pt idx="134">
                  <c:v>35.910443158485464</c:v>
                </c:pt>
                <c:pt idx="135">
                  <c:v>36.87887841063722</c:v>
                </c:pt>
                <c:pt idx="136">
                  <c:v>33.904303207995497</c:v>
                </c:pt>
                <c:pt idx="137">
                  <c:v>33.033947571944147</c:v>
                </c:pt>
                <c:pt idx="138">
                  <c:v>32.603969425820011</c:v>
                </c:pt>
                <c:pt idx="139">
                  <c:v>34.092149264300829</c:v>
                </c:pt>
                <c:pt idx="140">
                  <c:v>34.791608945846086</c:v>
                </c:pt>
                <c:pt idx="141">
                  <c:v>36.348358010523043</c:v>
                </c:pt>
                <c:pt idx="142">
                  <c:v>35.572613445868726</c:v>
                </c:pt>
                <c:pt idx="143">
                  <c:v>34.752521659439651</c:v>
                </c:pt>
                <c:pt idx="144">
                  <c:v>33.166778802320309</c:v>
                </c:pt>
                <c:pt idx="145">
                  <c:v>39.426093755180375</c:v>
                </c:pt>
                <c:pt idx="146">
                  <c:v>37.113568798133159</c:v>
                </c:pt>
                <c:pt idx="147">
                  <c:v>37.113568798133159</c:v>
                </c:pt>
                <c:pt idx="148">
                  <c:v>34.844575484241552</c:v>
                </c:pt>
                <c:pt idx="149">
                  <c:v>39.272471193215267</c:v>
                </c:pt>
                <c:pt idx="150">
                  <c:v>38.476443653017775</c:v>
                </c:pt>
                <c:pt idx="151">
                  <c:v>36.832127591431444</c:v>
                </c:pt>
                <c:pt idx="152">
                  <c:v>35.689938371844491</c:v>
                </c:pt>
                <c:pt idx="153">
                  <c:v>36.039929866384789</c:v>
                </c:pt>
                <c:pt idx="154">
                  <c:v>37.756418864233751</c:v>
                </c:pt>
                <c:pt idx="155">
                  <c:v>38.823220976679288</c:v>
                </c:pt>
                <c:pt idx="156">
                  <c:v>38.675101091240634</c:v>
                </c:pt>
                <c:pt idx="157">
                  <c:v>38.634066313755369</c:v>
                </c:pt>
                <c:pt idx="158">
                  <c:v>38.458377661628987</c:v>
                </c:pt>
                <c:pt idx="159">
                  <c:v>39.399150285671368</c:v>
                </c:pt>
                <c:pt idx="160">
                  <c:v>39.749844058321031</c:v>
                </c:pt>
                <c:pt idx="161">
                  <c:v>39.749844058321031</c:v>
                </c:pt>
                <c:pt idx="162">
                  <c:v>38.734240501888408</c:v>
                </c:pt>
                <c:pt idx="163">
                  <c:v>37.363418950245354</c:v>
                </c:pt>
                <c:pt idx="164">
                  <c:v>35.979400265873956</c:v>
                </c:pt>
                <c:pt idx="165">
                  <c:v>34.773043403253205</c:v>
                </c:pt>
                <c:pt idx="166">
                  <c:v>34.491008897802196</c:v>
                </c:pt>
                <c:pt idx="167">
                  <c:v>34.739723152782823</c:v>
                </c:pt>
                <c:pt idx="168">
                  <c:v>33.758462210448506</c:v>
                </c:pt>
                <c:pt idx="169">
                  <c:v>32.796382937559962</c:v>
                </c:pt>
                <c:pt idx="170">
                  <c:v>32.657502103934739</c:v>
                </c:pt>
                <c:pt idx="171">
                  <c:v>33.883529425754467</c:v>
                </c:pt>
                <c:pt idx="172">
                  <c:v>34.879419132867454</c:v>
                </c:pt>
                <c:pt idx="173">
                  <c:v>36.269687738526166</c:v>
                </c:pt>
                <c:pt idx="174">
                  <c:v>37.932203477644457</c:v>
                </c:pt>
                <c:pt idx="175">
                  <c:v>38.719547171064498</c:v>
                </c:pt>
                <c:pt idx="176">
                  <c:v>38.761357054873628</c:v>
                </c:pt>
                <c:pt idx="177">
                  <c:v>38.919975680790422</c:v>
                </c:pt>
                <c:pt idx="178">
                  <c:v>37.27580629921782</c:v>
                </c:pt>
                <c:pt idx="179">
                  <c:v>37.455971186229462</c:v>
                </c:pt>
                <c:pt idx="180">
                  <c:v>36.451908680805765</c:v>
                </c:pt>
                <c:pt idx="181">
                  <c:v>36.525033380539263</c:v>
                </c:pt>
                <c:pt idx="182">
                  <c:v>32.880168095497481</c:v>
                </c:pt>
                <c:pt idx="183">
                  <c:v>32.745053433963299</c:v>
                </c:pt>
                <c:pt idx="184">
                  <c:v>32.986389563509661</c:v>
                </c:pt>
                <c:pt idx="185">
                  <c:v>35.680354909221549</c:v>
                </c:pt>
                <c:pt idx="186">
                  <c:v>35.326243892072874</c:v>
                </c:pt>
                <c:pt idx="187">
                  <c:v>37.317321003149807</c:v>
                </c:pt>
                <c:pt idx="188">
                  <c:v>37.317321003149807</c:v>
                </c:pt>
                <c:pt idx="189">
                  <c:v>38.553719450740907</c:v>
                </c:pt>
                <c:pt idx="190">
                  <c:v>40.300093308319504</c:v>
                </c:pt>
                <c:pt idx="191">
                  <c:v>39.108521633679629</c:v>
                </c:pt>
                <c:pt idx="192">
                  <c:v>37.485466858034989</c:v>
                </c:pt>
                <c:pt idx="193">
                  <c:v>35.861943313926893</c:v>
                </c:pt>
                <c:pt idx="194">
                  <c:v>36.022996433809432</c:v>
                </c:pt>
                <c:pt idx="195">
                  <c:v>35.73677181780009</c:v>
                </c:pt>
                <c:pt idx="196">
                  <c:v>36.483085584796598</c:v>
                </c:pt>
                <c:pt idx="197">
                  <c:v>36.183422336618953</c:v>
                </c:pt>
                <c:pt idx="198">
                  <c:v>40.583509709733875</c:v>
                </c:pt>
                <c:pt idx="199">
                  <c:v>41.623751971807685</c:v>
                </c:pt>
                <c:pt idx="200">
                  <c:v>40.840896838509636</c:v>
                </c:pt>
                <c:pt idx="201">
                  <c:v>39.481725579130561</c:v>
                </c:pt>
                <c:pt idx="202">
                  <c:v>38.234770388428934</c:v>
                </c:pt>
                <c:pt idx="203">
                  <c:v>37.452599792573864</c:v>
                </c:pt>
                <c:pt idx="204">
                  <c:v>36.20676239276218</c:v>
                </c:pt>
                <c:pt idx="205">
                  <c:v>34.856629967865878</c:v>
                </c:pt>
                <c:pt idx="206">
                  <c:v>32.472708131076203</c:v>
                </c:pt>
                <c:pt idx="207">
                  <c:v>32.835005619250474</c:v>
                </c:pt>
                <c:pt idx="208">
                  <c:v>34.31968964091751</c:v>
                </c:pt>
                <c:pt idx="209">
                  <c:v>35.801588714820781</c:v>
                </c:pt>
                <c:pt idx="210">
                  <c:v>35.459292689188068</c:v>
                </c:pt>
                <c:pt idx="211">
                  <c:v>34.136813356316907</c:v>
                </c:pt>
                <c:pt idx="212">
                  <c:v>34.269107522684031</c:v>
                </c:pt>
                <c:pt idx="213">
                  <c:v>34.401548786200962</c:v>
                </c:pt>
                <c:pt idx="214">
                  <c:v>34.534137392339396</c:v>
                </c:pt>
                <c:pt idx="215">
                  <c:v>34.666873587116875</c:v>
                </c:pt>
                <c:pt idx="216">
                  <c:v>34.799757617099033</c:v>
                </c:pt>
                <c:pt idx="217">
                  <c:v>34.9327897294012</c:v>
                </c:pt>
                <c:pt idx="218">
                  <c:v>35.065970171689386</c:v>
                </c:pt>
                <c:pt idx="219">
                  <c:v>35.199299192182984</c:v>
                </c:pt>
                <c:pt idx="220">
                  <c:v>35.98149543014997</c:v>
                </c:pt>
                <c:pt idx="221">
                  <c:v>36.675445682086327</c:v>
                </c:pt>
                <c:pt idx="222">
                  <c:v>36.255501131746065</c:v>
                </c:pt>
                <c:pt idx="223">
                  <c:v>34.430009466065137</c:v>
                </c:pt>
                <c:pt idx="224">
                  <c:v>31.537703963222224</c:v>
                </c:pt>
                <c:pt idx="225">
                  <c:v>31.23708116195764</c:v>
                </c:pt>
                <c:pt idx="226">
                  <c:v>32.464430645045717</c:v>
                </c:pt>
                <c:pt idx="227">
                  <c:v>35.17826042219459</c:v>
                </c:pt>
                <c:pt idx="228">
                  <c:v>38.498047104025659</c:v>
                </c:pt>
                <c:pt idx="229">
                  <c:v>37.847757792595957</c:v>
                </c:pt>
                <c:pt idx="230">
                  <c:v>37.897820764718524</c:v>
                </c:pt>
                <c:pt idx="231">
                  <c:v>36.402415265735918</c:v>
                </c:pt>
                <c:pt idx="232">
                  <c:v>36.402415265735918</c:v>
                </c:pt>
                <c:pt idx="233">
                  <c:v>34.679459363357843</c:v>
                </c:pt>
                <c:pt idx="234">
                  <c:v>35.611779923161876</c:v>
                </c:pt>
                <c:pt idx="235">
                  <c:v>36.409126575610109</c:v>
                </c:pt>
                <c:pt idx="236">
                  <c:v>37.028768704027755</c:v>
                </c:pt>
                <c:pt idx="237">
                  <c:v>38.086036609935931</c:v>
                </c:pt>
                <c:pt idx="238">
                  <c:v>37.916097148341258</c:v>
                </c:pt>
                <c:pt idx="239">
                  <c:v>37.310830406463211</c:v>
                </c:pt>
                <c:pt idx="240">
                  <c:v>36.299142100192569</c:v>
                </c:pt>
                <c:pt idx="241">
                  <c:v>35.375393926406637</c:v>
                </c:pt>
                <c:pt idx="242">
                  <c:v>36.255326370316865</c:v>
                </c:pt>
                <c:pt idx="243">
                  <c:v>36.373390702255449</c:v>
                </c:pt>
                <c:pt idx="244">
                  <c:v>38.004770155973766</c:v>
                </c:pt>
                <c:pt idx="245">
                  <c:v>37.549488100449516</c:v>
                </c:pt>
                <c:pt idx="246">
                  <c:v>37.110339235439703</c:v>
                </c:pt>
                <c:pt idx="247">
                  <c:v>37.00786203521313</c:v>
                </c:pt>
                <c:pt idx="248">
                  <c:v>36.558746266908003</c:v>
                </c:pt>
                <c:pt idx="249">
                  <c:v>36.543175032810701</c:v>
                </c:pt>
                <c:pt idx="250">
                  <c:v>35.397251903333881</c:v>
                </c:pt>
                <c:pt idx="251">
                  <c:v>34.886749206186998</c:v>
                </c:pt>
                <c:pt idx="252">
                  <c:v>34.734859031868581</c:v>
                </c:pt>
                <c:pt idx="253">
                  <c:v>34.106715675976631</c:v>
                </c:pt>
                <c:pt idx="254">
                  <c:v>34.53598635678803</c:v>
                </c:pt>
                <c:pt idx="255">
                  <c:v>35.028075328307025</c:v>
                </c:pt>
                <c:pt idx="256">
                  <c:v>35.329905670518912</c:v>
                </c:pt>
                <c:pt idx="257">
                  <c:v>33.724394324086617</c:v>
                </c:pt>
                <c:pt idx="258">
                  <c:v>36.909696282246109</c:v>
                </c:pt>
                <c:pt idx="259">
                  <c:v>36.963782026133401</c:v>
                </c:pt>
                <c:pt idx="260">
                  <c:v>36.811177575338114</c:v>
                </c:pt>
                <c:pt idx="261">
                  <c:v>36.666042997248802</c:v>
                </c:pt>
                <c:pt idx="262">
                  <c:v>36.841138181601856</c:v>
                </c:pt>
                <c:pt idx="263">
                  <c:v>37.80495047354453</c:v>
                </c:pt>
                <c:pt idx="264">
                  <c:v>36.662358510137537</c:v>
                </c:pt>
                <c:pt idx="265">
                  <c:v>35.103167081282152</c:v>
                </c:pt>
                <c:pt idx="266">
                  <c:v>33.742427173520291</c:v>
                </c:pt>
                <c:pt idx="267">
                  <c:v>33.789345363505255</c:v>
                </c:pt>
                <c:pt idx="268">
                  <c:v>34.21306068597891</c:v>
                </c:pt>
                <c:pt idx="269">
                  <c:v>34.929380386497783</c:v>
                </c:pt>
                <c:pt idx="270">
                  <c:v>36.214530231196321</c:v>
                </c:pt>
                <c:pt idx="271">
                  <c:v>34.778271155197658</c:v>
                </c:pt>
                <c:pt idx="272">
                  <c:v>34.510083692741482</c:v>
                </c:pt>
                <c:pt idx="273">
                  <c:v>34.452717804292782</c:v>
                </c:pt>
                <c:pt idx="274">
                  <c:v>35.372200325419911</c:v>
                </c:pt>
                <c:pt idx="275">
                  <c:v>35.728759822654069</c:v>
                </c:pt>
                <c:pt idx="276">
                  <c:v>35.100667842211756</c:v>
                </c:pt>
                <c:pt idx="277">
                  <c:v>35.298983332297787</c:v>
                </c:pt>
                <c:pt idx="278">
                  <c:v>37.044691777653433</c:v>
                </c:pt>
                <c:pt idx="279">
                  <c:v>37.263947138866818</c:v>
                </c:pt>
                <c:pt idx="280">
                  <c:v>37.602050017746627</c:v>
                </c:pt>
                <c:pt idx="281">
                  <c:v>36.346799993440619</c:v>
                </c:pt>
                <c:pt idx="282">
                  <c:v>35.285976317120834</c:v>
                </c:pt>
                <c:pt idx="283">
                  <c:v>35.071602456861797</c:v>
                </c:pt>
                <c:pt idx="284">
                  <c:v>35.062047868618436</c:v>
                </c:pt>
                <c:pt idx="285">
                  <c:v>35.649549070922788</c:v>
                </c:pt>
                <c:pt idx="286">
                  <c:v>36.433474994675919</c:v>
                </c:pt>
                <c:pt idx="287">
                  <c:v>37.306891159534302</c:v>
                </c:pt>
                <c:pt idx="288">
                  <c:v>37.228643783887236</c:v>
                </c:pt>
                <c:pt idx="289">
                  <c:v>36.830690414462644</c:v>
                </c:pt>
                <c:pt idx="290">
                  <c:v>35.527651107160793</c:v>
                </c:pt>
                <c:pt idx="291">
                  <c:v>32.780383507351914</c:v>
                </c:pt>
                <c:pt idx="292">
                  <c:v>37.089182034486576</c:v>
                </c:pt>
                <c:pt idx="293">
                  <c:v>45.255303206903534</c:v>
                </c:pt>
                <c:pt idx="294">
                  <c:v>44.834133296019061</c:v>
                </c:pt>
                <c:pt idx="295">
                  <c:v>46.775013747233466</c:v>
                </c:pt>
                <c:pt idx="296">
                  <c:v>45.938466896010326</c:v>
                </c:pt>
                <c:pt idx="297">
                  <c:v>44.634044049944457</c:v>
                </c:pt>
                <c:pt idx="298">
                  <c:v>41.585434490336901</c:v>
                </c:pt>
                <c:pt idx="299">
                  <c:v>38.409062557965719</c:v>
                </c:pt>
                <c:pt idx="300">
                  <c:v>34.360341129617403</c:v>
                </c:pt>
                <c:pt idx="301">
                  <c:v>31.347740998735464</c:v>
                </c:pt>
                <c:pt idx="302">
                  <c:v>29.039692540816237</c:v>
                </c:pt>
                <c:pt idx="303">
                  <c:v>27.642723740368176</c:v>
                </c:pt>
                <c:pt idx="304">
                  <c:v>32.192154808709205</c:v>
                </c:pt>
                <c:pt idx="305">
                  <c:v>36.672057797905858</c:v>
                </c:pt>
                <c:pt idx="306">
                  <c:v>41.533756281042415</c:v>
                </c:pt>
                <c:pt idx="307">
                  <c:v>39.003770926995166</c:v>
                </c:pt>
                <c:pt idx="308">
                  <c:v>36.598041081748072</c:v>
                </c:pt>
                <c:pt idx="309">
                  <c:v>35.753158026465947</c:v>
                </c:pt>
                <c:pt idx="310">
                  <c:v>37.734221198417117</c:v>
                </c:pt>
                <c:pt idx="311">
                  <c:v>41.921745309004386</c:v>
                </c:pt>
                <c:pt idx="312">
                  <c:v>42.336792118038979</c:v>
                </c:pt>
                <c:pt idx="313">
                  <c:v>43.103665732874965</c:v>
                </c:pt>
                <c:pt idx="314">
                  <c:v>42.821819181844702</c:v>
                </c:pt>
                <c:pt idx="315">
                  <c:v>42.907804523803222</c:v>
                </c:pt>
                <c:pt idx="316">
                  <c:v>43.499111744662031</c:v>
                </c:pt>
                <c:pt idx="317">
                  <c:v>42.089667786243226</c:v>
                </c:pt>
                <c:pt idx="318">
                  <c:v>40.121379518565355</c:v>
                </c:pt>
                <c:pt idx="319">
                  <c:v>40.208653601137598</c:v>
                </c:pt>
                <c:pt idx="320">
                  <c:v>40.643465057438874</c:v>
                </c:pt>
                <c:pt idx="321">
                  <c:v>40.001633671137917</c:v>
                </c:pt>
                <c:pt idx="322">
                  <c:v>38.931046443575717</c:v>
                </c:pt>
                <c:pt idx="323">
                  <c:v>36.510728348886502</c:v>
                </c:pt>
                <c:pt idx="324">
                  <c:v>34.165283240075013</c:v>
                </c:pt>
                <c:pt idx="325">
                  <c:v>32.553347138106155</c:v>
                </c:pt>
                <c:pt idx="326">
                  <c:v>32.109990408434328</c:v>
                </c:pt>
                <c:pt idx="327">
                  <c:v>32.417050943344591</c:v>
                </c:pt>
                <c:pt idx="328">
                  <c:v>31.098749002198105</c:v>
                </c:pt>
                <c:pt idx="329">
                  <c:v>30.699046994471729</c:v>
                </c:pt>
                <c:pt idx="330">
                  <c:v>29.861239770247483</c:v>
                </c:pt>
                <c:pt idx="331">
                  <c:v>30.017981808351625</c:v>
                </c:pt>
                <c:pt idx="332">
                  <c:v>28.283662228687088</c:v>
                </c:pt>
                <c:pt idx="333">
                  <c:v>28.343029361764028</c:v>
                </c:pt>
                <c:pt idx="334">
                  <c:v>28.458302878694084</c:v>
                </c:pt>
                <c:pt idx="335">
                  <c:v>29.252616133056584</c:v>
                </c:pt>
                <c:pt idx="336">
                  <c:v>28.696371267587839</c:v>
                </c:pt>
                <c:pt idx="337">
                  <c:v>28.191933027381239</c:v>
                </c:pt>
                <c:pt idx="338">
                  <c:v>40.688448090124595</c:v>
                </c:pt>
                <c:pt idx="339">
                  <c:v>39.552808419627297</c:v>
                </c:pt>
                <c:pt idx="340">
                  <c:v>38.899936391790241</c:v>
                </c:pt>
                <c:pt idx="341">
                  <c:v>36.443857947999447</c:v>
                </c:pt>
                <c:pt idx="342">
                  <c:v>33.659601043471518</c:v>
                </c:pt>
                <c:pt idx="343">
                  <c:v>31.51788806580479</c:v>
                </c:pt>
                <c:pt idx="344">
                  <c:v>27.449488076518247</c:v>
                </c:pt>
                <c:pt idx="345">
                  <c:v>24.707124966517025</c:v>
                </c:pt>
                <c:pt idx="346">
                  <c:v>30.829469328404418</c:v>
                </c:pt>
                <c:pt idx="347">
                  <c:v>29.472105846445007</c:v>
                </c:pt>
                <c:pt idx="348">
                  <c:v>28.056974502031384</c:v>
                </c:pt>
                <c:pt idx="349">
                  <c:v>25.019114224873679</c:v>
                </c:pt>
                <c:pt idx="350">
                  <c:v>21.085836004410211</c:v>
                </c:pt>
                <c:pt idx="351">
                  <c:v>16.462541569772725</c:v>
                </c:pt>
                <c:pt idx="352">
                  <c:v>18.361050492726331</c:v>
                </c:pt>
                <c:pt idx="353">
                  <c:v>19.070810792792827</c:v>
                </c:pt>
                <c:pt idx="354">
                  <c:v>22.105711619499097</c:v>
                </c:pt>
                <c:pt idx="355">
                  <c:v>19.537108576414056</c:v>
                </c:pt>
                <c:pt idx="356">
                  <c:v>22.555120895353088</c:v>
                </c:pt>
                <c:pt idx="357">
                  <c:v>25.516272026809805</c:v>
                </c:pt>
                <c:pt idx="358">
                  <c:v>29.670547145947424</c:v>
                </c:pt>
                <c:pt idx="359">
                  <c:v>29.280030887985053</c:v>
                </c:pt>
                <c:pt idx="360">
                  <c:v>31.50486838349973</c:v>
                </c:pt>
                <c:pt idx="361">
                  <c:v>33.42876960285502</c:v>
                </c:pt>
                <c:pt idx="362">
                  <c:v>33.42876960285502</c:v>
                </c:pt>
                <c:pt idx="363">
                  <c:v>34.100804651083209</c:v>
                </c:pt>
                <c:pt idx="364">
                  <c:v>35.126204535098523</c:v>
                </c:pt>
                <c:pt idx="365">
                  <c:v>35.126204535098523</c:v>
                </c:pt>
                <c:pt idx="366">
                  <c:v>32.100757322853994</c:v>
                </c:pt>
                <c:pt idx="367">
                  <c:v>33.189857167720831</c:v>
                </c:pt>
                <c:pt idx="368">
                  <c:v>34.29283439362576</c:v>
                </c:pt>
                <c:pt idx="369">
                  <c:v>35.137649564224269</c:v>
                </c:pt>
                <c:pt idx="370">
                  <c:v>35.869185933706014</c:v>
                </c:pt>
                <c:pt idx="371">
                  <c:v>36.276787545399422</c:v>
                </c:pt>
                <c:pt idx="372">
                  <c:v>35.801899748453494</c:v>
                </c:pt>
                <c:pt idx="373">
                  <c:v>36.208153427399694</c:v>
                </c:pt>
                <c:pt idx="374">
                  <c:v>33.332791587305913</c:v>
                </c:pt>
                <c:pt idx="375">
                  <c:v>32.444071360889268</c:v>
                </c:pt>
                <c:pt idx="376">
                  <c:v>28.237339978811082</c:v>
                </c:pt>
                <c:pt idx="377">
                  <c:v>28.740989412612617</c:v>
                </c:pt>
                <c:pt idx="378">
                  <c:v>29.919506292195635</c:v>
                </c:pt>
                <c:pt idx="379">
                  <c:v>32.740824535315269</c:v>
                </c:pt>
                <c:pt idx="380">
                  <c:v>32.781735972657266</c:v>
                </c:pt>
                <c:pt idx="381">
                  <c:v>32.869109027117965</c:v>
                </c:pt>
                <c:pt idx="382">
                  <c:v>34.154773036026242</c:v>
                </c:pt>
                <c:pt idx="383">
                  <c:v>34.278434566394708</c:v>
                </c:pt>
                <c:pt idx="384">
                  <c:v>31.790247860887057</c:v>
                </c:pt>
                <c:pt idx="385">
                  <c:v>29.103347383410096</c:v>
                </c:pt>
                <c:pt idx="386">
                  <c:v>28.614939622473422</c:v>
                </c:pt>
                <c:pt idx="387">
                  <c:v>29.61129166018684</c:v>
                </c:pt>
                <c:pt idx="388">
                  <c:v>28.607576224919168</c:v>
                </c:pt>
                <c:pt idx="389">
                  <c:v>27.909168090487711</c:v>
                </c:pt>
                <c:pt idx="390">
                  <c:v>29.241572585076831</c:v>
                </c:pt>
                <c:pt idx="391">
                  <c:v>32.212354050040773</c:v>
                </c:pt>
                <c:pt idx="392">
                  <c:v>34.028363350400333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B8-487A-9BEF-77A22A9B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0-3.5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0.68</c:v>
                </c:pt>
                <c:pt idx="1">
                  <c:v>0.75</c:v>
                </c:pt>
                <c:pt idx="2">
                  <c:v>0.77</c:v>
                </c:pt>
                <c:pt idx="3">
                  <c:v>0.76</c:v>
                </c:pt>
                <c:pt idx="4">
                  <c:v>0.73</c:v>
                </c:pt>
                <c:pt idx="5">
                  <c:v>0.7</c:v>
                </c:pt>
                <c:pt idx="6">
                  <c:v>0.62</c:v>
                </c:pt>
                <c:pt idx="7">
                  <c:v>0.55000000000000004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5-4F01-AE1C-D8BE06D0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0-7.5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0-7.5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Sheet1!$E$3:$E$10</c:f>
              <c:numCache>
                <c:formatCode>General</c:formatCode>
                <c:ptCount val="8"/>
                <c:pt idx="0">
                  <c:v>0.66</c:v>
                </c:pt>
                <c:pt idx="1">
                  <c:v>0.75</c:v>
                </c:pt>
                <c:pt idx="2">
                  <c:v>0.78</c:v>
                </c:pt>
                <c:pt idx="3">
                  <c:v>0.77</c:v>
                </c:pt>
                <c:pt idx="4">
                  <c:v>0.75</c:v>
                </c:pt>
                <c:pt idx="5">
                  <c:v>0.72</c:v>
                </c:pt>
                <c:pt idx="6">
                  <c:v>0.64</c:v>
                </c:pt>
                <c:pt idx="7">
                  <c:v>0.57999999999999996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72-4B64-8873-67BA2FBC0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0-15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Sheet1!$H$3:$H$10</c:f>
              <c:numCache>
                <c:formatCode>General</c:formatCode>
                <c:ptCount val="8"/>
                <c:pt idx="0">
                  <c:v>0.66</c:v>
                </c:pt>
                <c:pt idx="1">
                  <c:v>0.78</c:v>
                </c:pt>
                <c:pt idx="2">
                  <c:v>0.84</c:v>
                </c:pt>
                <c:pt idx="3">
                  <c:v>0.85</c:v>
                </c:pt>
                <c:pt idx="4">
                  <c:v>0.84</c:v>
                </c:pt>
                <c:pt idx="5">
                  <c:v>0.82</c:v>
                </c:pt>
                <c:pt idx="6">
                  <c:v>0.76</c:v>
                </c:pt>
                <c:pt idx="7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1-4B44-A6B1-5424842E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0-25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SM_dw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Sheet1!$K$3:$K$10</c:f>
              <c:numCache>
                <c:formatCode>General</c:formatCode>
                <c:ptCount val="8"/>
                <c:pt idx="0">
                  <c:v>0.54</c:v>
                </c:pt>
                <c:pt idx="1">
                  <c:v>0.68</c:v>
                </c:pt>
                <c:pt idx="2">
                  <c:v>0.76</c:v>
                </c:pt>
                <c:pt idx="3">
                  <c:v>0.8</c:v>
                </c:pt>
                <c:pt idx="4">
                  <c:v>0.80979999999999996</c:v>
                </c:pt>
                <c:pt idx="5">
                  <c:v>0.80649999999999999</c:v>
                </c:pt>
                <c:pt idx="6">
                  <c:v>0.77</c:v>
                </c:pt>
                <c:pt idx="7">
                  <c:v>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18-4D2A-A605-370DFF3C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</a:t>
            </a:r>
            <a:r>
              <a:rPr lang="en-US" baseline="0"/>
              <a:t> weighted mean SM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SM_sw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Sheet1!$N$3:$N$10</c:f>
              <c:numCache>
                <c:formatCode>General</c:formatCode>
                <c:ptCount val="8"/>
                <c:pt idx="0">
                  <c:v>0.65</c:v>
                </c:pt>
                <c:pt idx="1">
                  <c:v>0.75</c:v>
                </c:pt>
                <c:pt idx="2">
                  <c:v>0.8</c:v>
                </c:pt>
                <c:pt idx="3">
                  <c:v>0.81</c:v>
                </c:pt>
                <c:pt idx="4">
                  <c:v>0.79</c:v>
                </c:pt>
                <c:pt idx="5">
                  <c:v>0.77</c:v>
                </c:pt>
                <c:pt idx="6">
                  <c:v>0.71</c:v>
                </c:pt>
                <c:pt idx="7">
                  <c:v>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B-40DC-AADB-69534406C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439737</xdr:colOff>
      <xdr:row>6</xdr:row>
      <xdr:rowOff>152401</xdr:rowOff>
    </xdr:from>
    <xdr:to>
      <xdr:col>15</xdr:col>
      <xdr:colOff>744537</xdr:colOff>
      <xdr:row>24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2DA1F-CA1B-F82B-6B76-DAFA14E71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6</xdr:row>
      <xdr:rowOff>152400</xdr:rowOff>
    </xdr:from>
    <xdr:to>
      <xdr:col>24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4A216-ED2B-40DC-84D2-73A264473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25</xdr:row>
      <xdr:rowOff>114300</xdr:rowOff>
    </xdr:from>
    <xdr:to>
      <xdr:col>15</xdr:col>
      <xdr:colOff>714375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D03849-BB7A-4D6F-93C9-F0A3F6019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406400</xdr:colOff>
      <xdr:row>25</xdr:row>
      <xdr:rowOff>123825</xdr:rowOff>
    </xdr:from>
    <xdr:to>
      <xdr:col>24</xdr:col>
      <xdr:colOff>330200</xdr:colOff>
      <xdr:row>40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5D1608-C554-41CD-B883-44A4AD31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14</xdr:row>
      <xdr:rowOff>84137</xdr:rowOff>
    </xdr:from>
    <xdr:to>
      <xdr:col>7</xdr:col>
      <xdr:colOff>514350</xdr:colOff>
      <xdr:row>29</xdr:row>
      <xdr:rowOff>106362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768D4-BC07-163E-7F06-D5B503263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31</xdr:row>
      <xdr:rowOff>66675</xdr:rowOff>
    </xdr:from>
    <xdr:to>
      <xdr:col>7</xdr:col>
      <xdr:colOff>457200</xdr:colOff>
      <xdr:row>46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0BBFA7-1617-4A73-8F3E-C557D34BB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48</xdr:row>
      <xdr:rowOff>85725</xdr:rowOff>
    </xdr:from>
    <xdr:to>
      <xdr:col>7</xdr:col>
      <xdr:colOff>419100</xdr:colOff>
      <xdr:row>63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A8959C-58EB-4134-9E1A-CECB8D6EC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17</xdr:col>
      <xdr:colOff>304800</xdr:colOff>
      <xdr:row>29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5D75C9-251D-46A4-AC3F-E15E4178F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17</xdr:col>
      <xdr:colOff>304800</xdr:colOff>
      <xdr:row>47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9C1F6F-4B60-497C-9C99-1966D3FB0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4"/>
  <sheetViews>
    <sheetView tabSelected="1" workbookViewId="0">
      <selection activeCell="P6" sqref="P6"/>
    </sheetView>
  </sheetViews>
  <sheetFormatPr defaultRowHeight="14.5" x14ac:dyDescent="0.35"/>
  <cols>
    <col min="1" max="1" width="13.1796875" customWidth="1"/>
    <col min="11" max="11" width="12" bestFit="1" customWidth="1"/>
    <col min="15" max="16" width="12" bestFit="1" customWidth="1"/>
  </cols>
  <sheetData>
    <row r="1" spans="1:16" x14ac:dyDescent="0.35">
      <c r="A1" t="s">
        <v>1</v>
      </c>
      <c r="B1" t="s">
        <v>2</v>
      </c>
    </row>
    <row r="2" spans="1:16" x14ac:dyDescent="0.35">
      <c r="A2" t="s">
        <v>3</v>
      </c>
      <c r="B2">
        <v>106.13366262492717</v>
      </c>
    </row>
    <row r="3" spans="1:16" x14ac:dyDescent="0.35">
      <c r="A3" t="s">
        <v>4</v>
      </c>
      <c r="B3">
        <v>1.38</v>
      </c>
    </row>
    <row r="4" spans="1:16" x14ac:dyDescent="0.35">
      <c r="A4" t="s">
        <v>5</v>
      </c>
      <c r="B4">
        <v>0.67661249475257845</v>
      </c>
      <c r="J4" t="s">
        <v>9</v>
      </c>
      <c r="O4" t="s">
        <v>11</v>
      </c>
    </row>
    <row r="5" spans="1:16" x14ac:dyDescent="0.35">
      <c r="A5" t="s">
        <v>250</v>
      </c>
      <c r="B5">
        <v>0</v>
      </c>
      <c r="J5" t="s">
        <v>6</v>
      </c>
      <c r="K5">
        <f>RSQ(B8:B460,C8:C460)</f>
        <v>0.61124477471903516</v>
      </c>
      <c r="O5" t="s">
        <v>10</v>
      </c>
    </row>
    <row r="6" spans="1:16" x14ac:dyDescent="0.35">
      <c r="J6" t="s">
        <v>7</v>
      </c>
      <c r="K6" cm="1">
        <f t="array" ref="K6">SQRT(SUMSQ(B8:B460-C8:C460) / COUNTA(B8:B460))</f>
        <v>1.4619865714200826</v>
      </c>
      <c r="N6" t="s">
        <v>7</v>
      </c>
      <c r="O6" cm="1">
        <f t="array" ref="O6">SQRT(SUMSQ(D8:D460-E8:E460) / COUNTA(D8:D460))</f>
        <v>3.1005840915183875</v>
      </c>
      <c r="P6" cm="1">
        <f t="array" ref="P6">SQRT(SUMSQ(D8:D460-F8:F460) / COUNTA(D8:D460))</f>
        <v>3.7528480505761457</v>
      </c>
    </row>
    <row r="7" spans="1:16" x14ac:dyDescent="0.35">
      <c r="A7" t="s">
        <v>0</v>
      </c>
      <c r="B7" t="s">
        <v>251</v>
      </c>
      <c r="C7" t="s">
        <v>252</v>
      </c>
      <c r="D7" t="s">
        <v>12</v>
      </c>
      <c r="E7" t="s">
        <v>8</v>
      </c>
      <c r="F7" t="s">
        <v>13</v>
      </c>
      <c r="G7" t="s">
        <v>21</v>
      </c>
      <c r="H7" t="s">
        <v>253</v>
      </c>
    </row>
    <row r="8" spans="1:16" x14ac:dyDescent="0.35">
      <c r="A8" t="s">
        <v>22</v>
      </c>
      <c r="B8">
        <v>89.677773672228</v>
      </c>
      <c r="C8">
        <f>$B$2/(1+$B$4*((D8/100)/$B$3))</f>
        <v>90.486859916799872</v>
      </c>
      <c r="D8">
        <v>35.267864366824199</v>
      </c>
      <c r="E8">
        <f xml:space="preserve"> (117.22 - B8)/0.7629</f>
        <v>36.102013799674921</v>
      </c>
      <c r="F8">
        <f xml:space="preserve"> ((($B$3 *($B$2-B8))/($B$4*B8)))*100</f>
        <v>37.426188699264657</v>
      </c>
      <c r="H8">
        <v>89.677773672228</v>
      </c>
    </row>
    <row r="9" spans="1:16" x14ac:dyDescent="0.35">
      <c r="A9" t="s">
        <v>23</v>
      </c>
      <c r="B9">
        <v>90.551369069587096</v>
      </c>
      <c r="C9">
        <f t="shared" ref="C9:C72" si="0">$B$2/(1+$B$4*((D9/100)/$B$3))</f>
        <v>90.512774958861428</v>
      </c>
      <c r="D9">
        <v>35.1993709636075</v>
      </c>
      <c r="E9">
        <f t="shared" ref="E9:E72" si="1" xml:space="preserve"> (117.22 - B9)/0.7629</f>
        <v>34.956915625131607</v>
      </c>
      <c r="F9">
        <f t="shared" ref="F9:F72" si="2" xml:space="preserve"> ((($B$3 *($B$2-B9))/($B$4*B9)))*100</f>
        <v>35.097439475981822</v>
      </c>
      <c r="H9">
        <v>90.551369069587096</v>
      </c>
    </row>
    <row r="10" spans="1:16" x14ac:dyDescent="0.35">
      <c r="A10" t="s">
        <v>24</v>
      </c>
      <c r="B10">
        <v>90.906757031458199</v>
      </c>
      <c r="C10">
        <f t="shared" si="0"/>
        <v>90.731314888738723</v>
      </c>
      <c r="D10">
        <v>34.623326589406403</v>
      </c>
      <c r="E10">
        <f t="shared" si="1"/>
        <v>34.491077426322974</v>
      </c>
      <c r="F10">
        <f t="shared" si="2"/>
        <v>34.162886873175438</v>
      </c>
      <c r="H10">
        <v>90.906757031458199</v>
      </c>
    </row>
    <row r="11" spans="1:16" x14ac:dyDescent="0.35">
      <c r="A11" t="s">
        <v>25</v>
      </c>
      <c r="B11">
        <v>91.598697775433195</v>
      </c>
      <c r="C11">
        <f t="shared" si="0"/>
        <v>90.950912686838336</v>
      </c>
      <c r="D11">
        <v>34.047282215205399</v>
      </c>
      <c r="E11">
        <f t="shared" si="1"/>
        <v>33.584089952243808</v>
      </c>
      <c r="F11">
        <f t="shared" si="2"/>
        <v>32.364116755459527</v>
      </c>
      <c r="H11">
        <v>91.598697775433195</v>
      </c>
    </row>
    <row r="12" spans="1:16" x14ac:dyDescent="0.35">
      <c r="A12" t="s">
        <v>26</v>
      </c>
      <c r="B12">
        <v>91.534481291355803</v>
      </c>
      <c r="C12">
        <f t="shared" si="0"/>
        <v>91.171576052899383</v>
      </c>
      <c r="D12">
        <v>33.471237841004303</v>
      </c>
      <c r="E12">
        <f t="shared" si="1"/>
        <v>33.668264135069073</v>
      </c>
      <c r="F12">
        <f t="shared" si="2"/>
        <v>32.529909195834534</v>
      </c>
      <c r="H12">
        <v>91.534481291355803</v>
      </c>
    </row>
    <row r="13" spans="1:16" x14ac:dyDescent="0.35">
      <c r="A13" t="s">
        <v>27</v>
      </c>
      <c r="B13">
        <v>91.596326090495893</v>
      </c>
      <c r="C13">
        <f t="shared" si="0"/>
        <v>91.393312761566321</v>
      </c>
      <c r="D13">
        <v>32.895193466803299</v>
      </c>
      <c r="E13">
        <f t="shared" si="1"/>
        <v>33.587198727885834</v>
      </c>
      <c r="F13">
        <f t="shared" si="2"/>
        <v>32.370235775365522</v>
      </c>
      <c r="H13">
        <v>91.596326090495893</v>
      </c>
    </row>
    <row r="14" spans="1:16" x14ac:dyDescent="0.35">
      <c r="A14" t="s">
        <v>28</v>
      </c>
      <c r="B14">
        <v>91.562559274159696</v>
      </c>
      <c r="C14">
        <f t="shared" si="0"/>
        <v>91.456508446229847</v>
      </c>
      <c r="D14">
        <v>32.731530427774302</v>
      </c>
      <c r="E14">
        <f t="shared" si="1"/>
        <v>33.63145985822559</v>
      </c>
      <c r="F14">
        <f t="shared" si="2"/>
        <v>32.457389582397582</v>
      </c>
      <c r="H14">
        <v>91.562559274159696</v>
      </c>
    </row>
    <row r="15" spans="1:16" x14ac:dyDescent="0.35">
      <c r="A15" t="s">
        <v>29</v>
      </c>
      <c r="B15">
        <v>91.852236804325003</v>
      </c>
      <c r="C15">
        <f t="shared" si="0"/>
        <v>91.508655463538929</v>
      </c>
      <c r="D15">
        <v>32.596651251184497</v>
      </c>
      <c r="E15">
        <f t="shared" si="1"/>
        <v>33.251754090542661</v>
      </c>
      <c r="F15">
        <f t="shared" si="2"/>
        <v>31.71180078558956</v>
      </c>
      <c r="H15">
        <v>91.852236804325003</v>
      </c>
    </row>
    <row r="16" spans="1:16" x14ac:dyDescent="0.35">
      <c r="A16" t="s">
        <v>30</v>
      </c>
      <c r="B16">
        <v>92.599630677359102</v>
      </c>
      <c r="C16">
        <f t="shared" si="0"/>
        <v>91.564004225707976</v>
      </c>
      <c r="D16">
        <v>32.4536587751696</v>
      </c>
      <c r="E16">
        <f t="shared" si="1"/>
        <v>32.272079332338308</v>
      </c>
      <c r="F16">
        <f t="shared" si="2"/>
        <v>29.809659523220944</v>
      </c>
      <c r="H16">
        <v>92.599630677359102</v>
      </c>
    </row>
    <row r="17" spans="1:8" x14ac:dyDescent="0.35">
      <c r="A17" t="s">
        <v>31</v>
      </c>
      <c r="B17">
        <v>93.9574357211782</v>
      </c>
      <c r="C17">
        <f t="shared" si="0"/>
        <v>91.671436039289574</v>
      </c>
      <c r="D17">
        <v>32.176603565747101</v>
      </c>
      <c r="E17">
        <f t="shared" si="1"/>
        <v>30.492285068582774</v>
      </c>
      <c r="F17">
        <f t="shared" si="2"/>
        <v>26.431429383787691</v>
      </c>
      <c r="H17">
        <v>93.9574357211782</v>
      </c>
    </row>
    <row r="18" spans="1:8" x14ac:dyDescent="0.35">
      <c r="A18" t="s">
        <v>32</v>
      </c>
      <c r="B18">
        <v>94.397145473936405</v>
      </c>
      <c r="C18">
        <f t="shared" si="0"/>
        <v>91.76483068857344</v>
      </c>
      <c r="D18">
        <v>31.936275817145599</v>
      </c>
      <c r="E18">
        <f t="shared" si="1"/>
        <v>29.915918896400044</v>
      </c>
      <c r="F18">
        <f t="shared" si="2"/>
        <v>25.358259921828562</v>
      </c>
      <c r="H18">
        <v>94.397145473936405</v>
      </c>
    </row>
    <row r="19" spans="1:8" x14ac:dyDescent="0.35">
      <c r="A19" t="s">
        <v>33</v>
      </c>
      <c r="B19">
        <v>93.360727318346605</v>
      </c>
      <c r="C19">
        <f t="shared" si="0"/>
        <v>91.808348161499396</v>
      </c>
      <c r="D19">
        <v>31.824461490872402</v>
      </c>
      <c r="E19">
        <f t="shared" si="1"/>
        <v>31.274443153301078</v>
      </c>
      <c r="F19">
        <f t="shared" si="2"/>
        <v>27.903941904985491</v>
      </c>
      <c r="H19">
        <v>93.360727318346605</v>
      </c>
    </row>
    <row r="20" spans="1:8" x14ac:dyDescent="0.35">
      <c r="A20" t="s">
        <v>34</v>
      </c>
      <c r="B20">
        <v>91.493680671329301</v>
      </c>
      <c r="C20">
        <f t="shared" si="0"/>
        <v>91.872558130022654</v>
      </c>
      <c r="D20">
        <v>31.659673067343999</v>
      </c>
      <c r="E20">
        <f t="shared" si="1"/>
        <v>33.72174508935732</v>
      </c>
      <c r="F20">
        <f t="shared" si="2"/>
        <v>32.63536807803078</v>
      </c>
      <c r="H20">
        <v>91.493680671329301</v>
      </c>
    </row>
    <row r="21" spans="1:8" x14ac:dyDescent="0.35">
      <c r="A21" t="s">
        <v>35</v>
      </c>
      <c r="B21">
        <v>90.602716615175694</v>
      </c>
      <c r="C21">
        <f t="shared" si="0"/>
        <v>91.94523080271648</v>
      </c>
      <c r="D21">
        <v>31.473443625845999</v>
      </c>
      <c r="E21">
        <f t="shared" si="1"/>
        <v>34.889609889663525</v>
      </c>
      <c r="F21">
        <f t="shared" si="2"/>
        <v>34.96195932458464</v>
      </c>
      <c r="H21">
        <v>90.602716615175694</v>
      </c>
    </row>
    <row r="22" spans="1:8" x14ac:dyDescent="0.35">
      <c r="A22" t="s">
        <v>36</v>
      </c>
      <c r="B22">
        <v>90.173977053680005</v>
      </c>
      <c r="C22">
        <f t="shared" si="0"/>
        <v>91.797960539333232</v>
      </c>
      <c r="D22">
        <v>31.851141941655001</v>
      </c>
      <c r="E22">
        <f t="shared" si="1"/>
        <v>35.451596469157153</v>
      </c>
      <c r="F22">
        <f t="shared" si="2"/>
        <v>36.097920112155776</v>
      </c>
      <c r="H22">
        <v>90.173977053680005</v>
      </c>
    </row>
    <row r="23" spans="1:8" x14ac:dyDescent="0.35">
      <c r="A23" t="s">
        <v>37</v>
      </c>
      <c r="B23">
        <v>90.651394417558507</v>
      </c>
      <c r="C23">
        <f t="shared" si="0"/>
        <v>91.810305496088731</v>
      </c>
      <c r="D23">
        <v>31.8194347825062</v>
      </c>
      <c r="E23">
        <f t="shared" si="1"/>
        <v>34.825803620974561</v>
      </c>
      <c r="F23">
        <f t="shared" si="2"/>
        <v>34.833664989749963</v>
      </c>
      <c r="H23">
        <v>90.651394417558507</v>
      </c>
    </row>
    <row r="24" spans="1:8" x14ac:dyDescent="0.35">
      <c r="A24" t="s">
        <v>38</v>
      </c>
      <c r="B24">
        <v>91.881430113799993</v>
      </c>
      <c r="C24">
        <f t="shared" si="0"/>
        <v>91.896025006102732</v>
      </c>
      <c r="D24">
        <v>31.599505151353402</v>
      </c>
      <c r="E24">
        <f t="shared" si="1"/>
        <v>33.213487857124136</v>
      </c>
      <c r="F24">
        <f t="shared" si="2"/>
        <v>31.636922124033951</v>
      </c>
      <c r="H24">
        <v>91.881430113799993</v>
      </c>
    </row>
    <row r="25" spans="1:8" x14ac:dyDescent="0.35">
      <c r="A25" t="s">
        <v>39</v>
      </c>
      <c r="B25">
        <v>92.062789814456096</v>
      </c>
      <c r="C25">
        <f t="shared" si="0"/>
        <v>91.949180253651164</v>
      </c>
      <c r="D25">
        <v>31.463331280833</v>
      </c>
      <c r="E25">
        <f t="shared" si="1"/>
        <v>32.975763777092546</v>
      </c>
      <c r="F25">
        <f t="shared" si="2"/>
        <v>31.172811898239988</v>
      </c>
      <c r="H25">
        <v>92.062789814456096</v>
      </c>
    </row>
    <row r="26" spans="1:8" x14ac:dyDescent="0.35">
      <c r="A26" t="s">
        <v>40</v>
      </c>
      <c r="B26">
        <v>91.416558199218699</v>
      </c>
      <c r="C26">
        <f t="shared" si="0"/>
        <v>91.294467628844373</v>
      </c>
      <c r="D26">
        <v>33.151635158716701</v>
      </c>
      <c r="E26">
        <f t="shared" si="1"/>
        <v>33.822836283629961</v>
      </c>
      <c r="F26">
        <f t="shared" si="2"/>
        <v>32.834966545115471</v>
      </c>
      <c r="H26">
        <v>91.416558199218699</v>
      </c>
    </row>
    <row r="27" spans="1:8" x14ac:dyDescent="0.35">
      <c r="A27" t="s">
        <v>41</v>
      </c>
      <c r="B27">
        <v>90.060859484378497</v>
      </c>
      <c r="C27">
        <f t="shared" si="0"/>
        <v>91.353413631939432</v>
      </c>
      <c r="D27">
        <v>32.998640120501001</v>
      </c>
      <c r="E27">
        <f t="shared" si="1"/>
        <v>35.599869597092017</v>
      </c>
      <c r="F27">
        <f t="shared" si="2"/>
        <v>36.399432373164714</v>
      </c>
      <c r="H27">
        <v>90.060859484378497</v>
      </c>
    </row>
    <row r="28" spans="1:8" x14ac:dyDescent="0.35">
      <c r="A28" t="s">
        <v>42</v>
      </c>
      <c r="B28">
        <v>90.066895924202498</v>
      </c>
      <c r="C28">
        <f t="shared" si="0"/>
        <v>91.432203302515191</v>
      </c>
      <c r="D28">
        <v>32.794448674991102</v>
      </c>
      <c r="E28">
        <f t="shared" si="1"/>
        <v>35.591957105515142</v>
      </c>
      <c r="F28">
        <f t="shared" si="2"/>
        <v>36.383323253130008</v>
      </c>
      <c r="H28">
        <v>90.066895924202498</v>
      </c>
    </row>
    <row r="29" spans="1:8" x14ac:dyDescent="0.35">
      <c r="A29" t="s">
        <v>43</v>
      </c>
      <c r="B29">
        <v>90.545565513363997</v>
      </c>
      <c r="C29">
        <f t="shared" si="0"/>
        <v>91.675254666999635</v>
      </c>
      <c r="D29">
        <v>32.166767682053397</v>
      </c>
      <c r="E29">
        <f t="shared" si="1"/>
        <v>34.964522855729456</v>
      </c>
      <c r="F29">
        <f t="shared" si="2"/>
        <v>35.112761784912479</v>
      </c>
      <c r="H29">
        <v>90.545565513363997</v>
      </c>
    </row>
    <row r="30" spans="1:8" x14ac:dyDescent="0.35">
      <c r="A30" t="s">
        <v>44</v>
      </c>
      <c r="B30">
        <v>90.969161485897004</v>
      </c>
      <c r="C30">
        <f t="shared" si="0"/>
        <v>91.925417295125129</v>
      </c>
      <c r="D30">
        <v>31.524188101936598</v>
      </c>
      <c r="E30">
        <f t="shared" si="1"/>
        <v>34.409278429811238</v>
      </c>
      <c r="F30">
        <f t="shared" si="2"/>
        <v>33.999537505107284</v>
      </c>
      <c r="H30">
        <v>90.969161485897004</v>
      </c>
    </row>
    <row r="31" spans="1:8" x14ac:dyDescent="0.35">
      <c r="A31" t="s">
        <v>45</v>
      </c>
      <c r="B31">
        <v>91.249585832524204</v>
      </c>
      <c r="C31">
        <f t="shared" si="0"/>
        <v>92.076100076549423</v>
      </c>
      <c r="D31">
        <v>31.138822162791101</v>
      </c>
      <c r="E31">
        <f t="shared" si="1"/>
        <v>34.041701622068153</v>
      </c>
      <c r="F31">
        <f t="shared" si="2"/>
        <v>33.268258933139336</v>
      </c>
      <c r="H31">
        <v>91.249585832524204</v>
      </c>
    </row>
    <row r="32" spans="1:8" x14ac:dyDescent="0.35">
      <c r="A32" t="s">
        <v>46</v>
      </c>
      <c r="B32">
        <v>91.645203798133593</v>
      </c>
      <c r="C32">
        <f t="shared" si="0"/>
        <v>92.246321771916982</v>
      </c>
      <c r="D32">
        <v>30.705000572561101</v>
      </c>
      <c r="E32">
        <f t="shared" si="1"/>
        <v>33.523130425830914</v>
      </c>
      <c r="F32">
        <f t="shared" si="2"/>
        <v>32.244193783396291</v>
      </c>
      <c r="H32">
        <v>91.645203798133593</v>
      </c>
    </row>
    <row r="33" spans="1:8" x14ac:dyDescent="0.35">
      <c r="A33" t="s">
        <v>47</v>
      </c>
      <c r="B33">
        <v>91.803241339848697</v>
      </c>
      <c r="C33">
        <f t="shared" si="0"/>
        <v>92.331525093273797</v>
      </c>
      <c r="D33">
        <v>30.488454813834799</v>
      </c>
      <c r="E33">
        <f t="shared" si="1"/>
        <v>33.315976746823047</v>
      </c>
      <c r="F33">
        <f t="shared" si="2"/>
        <v>31.837577530701573</v>
      </c>
      <c r="H33">
        <v>91.803241339848697</v>
      </c>
    </row>
    <row r="34" spans="1:8" x14ac:dyDescent="0.35">
      <c r="A34" t="s">
        <v>48</v>
      </c>
      <c r="B34">
        <v>91.720438512182696</v>
      </c>
      <c r="C34">
        <f t="shared" si="0"/>
        <v>92.364219019268432</v>
      </c>
      <c r="D34">
        <v>30.405468680709301</v>
      </c>
      <c r="E34">
        <f t="shared" si="1"/>
        <v>33.424513681763408</v>
      </c>
      <c r="F34">
        <f t="shared" si="2"/>
        <v>32.050446939955897</v>
      </c>
      <c r="H34">
        <v>91.720438512182696</v>
      </c>
    </row>
    <row r="35" spans="1:8" x14ac:dyDescent="0.35">
      <c r="A35" t="s">
        <v>49</v>
      </c>
      <c r="B35">
        <v>91.745912789318794</v>
      </c>
      <c r="C35">
        <f t="shared" si="0"/>
        <v>92.360167147582956</v>
      </c>
      <c r="D35">
        <v>30.4157502506878</v>
      </c>
      <c r="E35">
        <f t="shared" si="1"/>
        <v>33.39112231050099</v>
      </c>
      <c r="F35">
        <f t="shared" si="2"/>
        <v>31.984916777343635</v>
      </c>
      <c r="H35">
        <v>91.745912789318794</v>
      </c>
    </row>
    <row r="36" spans="1:8" x14ac:dyDescent="0.35">
      <c r="A36" t="s">
        <v>50</v>
      </c>
      <c r="B36">
        <v>91.507326870385398</v>
      </c>
      <c r="C36">
        <f t="shared" si="0"/>
        <v>92.381322484782459</v>
      </c>
      <c r="D36">
        <v>30.3620788052596</v>
      </c>
      <c r="E36">
        <f t="shared" si="1"/>
        <v>33.703857818343948</v>
      </c>
      <c r="F36">
        <f t="shared" si="2"/>
        <v>32.600085772307189</v>
      </c>
      <c r="H36">
        <v>91.507326870385398</v>
      </c>
    </row>
    <row r="37" spans="1:8" x14ac:dyDescent="0.35">
      <c r="A37" t="s">
        <v>51</v>
      </c>
      <c r="B37">
        <v>91.644206125434707</v>
      </c>
      <c r="C37">
        <f t="shared" si="0"/>
        <v>92.391703743277773</v>
      </c>
      <c r="D37">
        <v>30.335750368182499</v>
      </c>
      <c r="E37">
        <f t="shared" si="1"/>
        <v>33.524438163016505</v>
      </c>
      <c r="F37">
        <f t="shared" si="2"/>
        <v>32.246765159229533</v>
      </c>
      <c r="H37">
        <v>91.644206125434707</v>
      </c>
    </row>
    <row r="38" spans="1:8" x14ac:dyDescent="0.35">
      <c r="A38" t="s">
        <v>52</v>
      </c>
      <c r="B38">
        <v>91.303548147706195</v>
      </c>
      <c r="C38">
        <f t="shared" si="0"/>
        <v>91.6177168880225</v>
      </c>
      <c r="D38">
        <v>32.315058318218497</v>
      </c>
      <c r="E38">
        <f t="shared" si="1"/>
        <v>33.970968478560494</v>
      </c>
      <c r="F38">
        <f t="shared" si="2"/>
        <v>33.128053694151589</v>
      </c>
      <c r="H38">
        <v>91.303548147706195</v>
      </c>
    </row>
    <row r="39" spans="1:8" x14ac:dyDescent="0.35">
      <c r="A39" t="s">
        <v>53</v>
      </c>
      <c r="B39">
        <v>90.322008320383702</v>
      </c>
      <c r="C39">
        <f t="shared" si="0"/>
        <v>90.084091549591506</v>
      </c>
      <c r="D39">
        <v>36.337446053406097</v>
      </c>
      <c r="E39">
        <f t="shared" si="1"/>
        <v>35.257558893192154</v>
      </c>
      <c r="F39">
        <f t="shared" si="2"/>
        <v>35.704487034479499</v>
      </c>
      <c r="H39">
        <v>90.322008320383702</v>
      </c>
    </row>
    <row r="40" spans="1:8" x14ac:dyDescent="0.35">
      <c r="A40" t="s">
        <v>54</v>
      </c>
      <c r="B40">
        <v>89.340468493061195</v>
      </c>
      <c r="C40">
        <f t="shared" si="0"/>
        <v>89.818006676789295</v>
      </c>
      <c r="D40">
        <v>37.0493163861155</v>
      </c>
      <c r="E40">
        <f t="shared" si="1"/>
        <v>36.544149307823837</v>
      </c>
      <c r="F40">
        <f t="shared" si="2"/>
        <v>38.337532389018449</v>
      </c>
      <c r="H40">
        <v>89.340468493061195</v>
      </c>
    </row>
    <row r="41" spans="1:8" x14ac:dyDescent="0.35">
      <c r="A41" t="s">
        <v>55</v>
      </c>
      <c r="B41">
        <v>88.358928665738603</v>
      </c>
      <c r="C41">
        <f t="shared" si="0"/>
        <v>89.776950238929587</v>
      </c>
      <c r="D41">
        <v>37.159532534574801</v>
      </c>
      <c r="E41">
        <f t="shared" si="1"/>
        <v>37.830739722455625</v>
      </c>
      <c r="F41">
        <f t="shared" si="2"/>
        <v>41.029076390421125</v>
      </c>
      <c r="H41">
        <v>88.358928665738603</v>
      </c>
    </row>
    <row r="42" spans="1:8" x14ac:dyDescent="0.35">
      <c r="A42" t="s">
        <v>56</v>
      </c>
      <c r="B42">
        <v>89.022057709365896</v>
      </c>
      <c r="C42">
        <f t="shared" si="0"/>
        <v>90.188724504194752</v>
      </c>
      <c r="D42">
        <v>36.058666854678798</v>
      </c>
      <c r="E42">
        <f t="shared" si="1"/>
        <v>36.961518273212874</v>
      </c>
      <c r="F42">
        <f t="shared" si="2"/>
        <v>39.20416322587436</v>
      </c>
      <c r="H42">
        <v>89.022057709365896</v>
      </c>
    </row>
    <row r="43" spans="1:8" x14ac:dyDescent="0.35">
      <c r="A43" t="s">
        <v>57</v>
      </c>
      <c r="B43">
        <v>88.961398625484705</v>
      </c>
      <c r="C43">
        <f t="shared" si="0"/>
        <v>90.464392740790558</v>
      </c>
      <c r="D43">
        <v>35.3272768251298</v>
      </c>
      <c r="E43">
        <f t="shared" si="1"/>
        <v>37.041029459320086</v>
      </c>
      <c r="F43">
        <f t="shared" si="2"/>
        <v>39.369964873112764</v>
      </c>
      <c r="H43">
        <v>88.961398625484705</v>
      </c>
    </row>
    <row r="44" spans="1:8" x14ac:dyDescent="0.35">
      <c r="A44" t="s">
        <v>58</v>
      </c>
      <c r="B44">
        <v>89.262633605357706</v>
      </c>
      <c r="C44">
        <f t="shared" si="0"/>
        <v>90.637257714782493</v>
      </c>
      <c r="D44">
        <v>34.870909228816899</v>
      </c>
      <c r="E44">
        <f t="shared" si="1"/>
        <v>36.646174327752384</v>
      </c>
      <c r="F44">
        <f t="shared" si="2"/>
        <v>38.548807630237448</v>
      </c>
      <c r="G44">
        <v>0.01</v>
      </c>
      <c r="H44">
        <v>89.262633605357706</v>
      </c>
    </row>
    <row r="45" spans="1:8" x14ac:dyDescent="0.35">
      <c r="A45" t="s">
        <v>59</v>
      </c>
      <c r="B45">
        <v>88.5183617897179</v>
      </c>
      <c r="C45">
        <f t="shared" si="0"/>
        <v>90.170406089297387</v>
      </c>
      <c r="D45">
        <v>36.107426871348601</v>
      </c>
      <c r="E45">
        <f t="shared" si="1"/>
        <v>37.621756731265037</v>
      </c>
      <c r="F45">
        <f t="shared" si="2"/>
        <v>40.587824101475711</v>
      </c>
      <c r="G45">
        <v>1.4999999999999999E-2</v>
      </c>
      <c r="H45">
        <v>88.5183617897179</v>
      </c>
    </row>
    <row r="46" spans="1:8" x14ac:dyDescent="0.35">
      <c r="A46" t="s">
        <v>60</v>
      </c>
      <c r="B46">
        <v>88.811391238735197</v>
      </c>
      <c r="C46">
        <f t="shared" si="0"/>
        <v>89.875835279849511</v>
      </c>
      <c r="D46">
        <v>36.894246105104102</v>
      </c>
      <c r="E46">
        <f t="shared" si="1"/>
        <v>37.237657309299777</v>
      </c>
      <c r="F46">
        <f t="shared" si="2"/>
        <v>39.780958033501378</v>
      </c>
      <c r="G46">
        <v>1.7000000000000001E-2</v>
      </c>
      <c r="H46">
        <v>88.811391238735197</v>
      </c>
    </row>
    <row r="47" spans="1:8" x14ac:dyDescent="0.35">
      <c r="A47" t="s">
        <v>61</v>
      </c>
      <c r="B47">
        <v>88.811391238735197</v>
      </c>
      <c r="C47">
        <f t="shared" si="0"/>
        <v>90.366340105805776</v>
      </c>
      <c r="D47">
        <v>35.586914151347898</v>
      </c>
      <c r="E47">
        <f t="shared" si="1"/>
        <v>37.237657309299777</v>
      </c>
      <c r="F47">
        <f t="shared" si="2"/>
        <v>39.780958033501378</v>
      </c>
      <c r="G47">
        <v>2.9538356000000002E-2</v>
      </c>
      <c r="H47">
        <v>88.811391238735197</v>
      </c>
    </row>
    <row r="48" spans="1:8" x14ac:dyDescent="0.35">
      <c r="A48" t="s">
        <v>62</v>
      </c>
      <c r="B48">
        <v>89.426139355757002</v>
      </c>
      <c r="C48">
        <f t="shared" si="0"/>
        <v>90.686952235447862</v>
      </c>
      <c r="D48">
        <v>34.740036497319103</v>
      </c>
      <c r="E48">
        <f t="shared" si="1"/>
        <v>36.431852987603875</v>
      </c>
      <c r="F48">
        <f t="shared" si="2"/>
        <v>38.105412338025246</v>
      </c>
      <c r="G48">
        <v>0.31783092499999999</v>
      </c>
      <c r="H48">
        <v>89.426139355757002</v>
      </c>
    </row>
    <row r="49" spans="1:8" x14ac:dyDescent="0.35">
      <c r="A49" t="s">
        <v>63</v>
      </c>
      <c r="B49">
        <v>89.504815171102194</v>
      </c>
      <c r="C49">
        <f t="shared" si="0"/>
        <v>90.91524443192958</v>
      </c>
      <c r="D49">
        <v>34.1406571505727</v>
      </c>
      <c r="E49">
        <f t="shared" si="1"/>
        <v>36.328725689995814</v>
      </c>
      <c r="F49">
        <f t="shared" si="2"/>
        <v>37.89263636025715</v>
      </c>
      <c r="G49">
        <v>0.31783092499999999</v>
      </c>
      <c r="H49">
        <v>89.504815171102194</v>
      </c>
    </row>
    <row r="50" spans="1:8" x14ac:dyDescent="0.35">
      <c r="A50" t="s">
        <v>64</v>
      </c>
      <c r="B50">
        <v>89.583490986447401</v>
      </c>
      <c r="C50">
        <f t="shared" si="0"/>
        <v>91.062673780677457</v>
      </c>
      <c r="D50">
        <v>33.755179624401798</v>
      </c>
      <c r="E50">
        <f t="shared" si="1"/>
        <v>36.225598392387724</v>
      </c>
      <c r="F50">
        <f t="shared" si="2"/>
        <v>37.680234119286993</v>
      </c>
      <c r="G50">
        <v>0.31783092499999999</v>
      </c>
      <c r="H50">
        <v>89.583490986447401</v>
      </c>
    </row>
    <row r="51" spans="1:8" x14ac:dyDescent="0.35">
      <c r="A51" t="s">
        <v>65</v>
      </c>
      <c r="B51">
        <v>89.662166801792594</v>
      </c>
      <c r="C51">
        <f t="shared" si="0"/>
        <v>91.183350638451032</v>
      </c>
      <c r="D51">
        <v>33.440578497936897</v>
      </c>
      <c r="E51">
        <f t="shared" si="1"/>
        <v>36.122471094779662</v>
      </c>
      <c r="F51">
        <f t="shared" si="2"/>
        <v>37.468204631286959</v>
      </c>
      <c r="G51">
        <v>0.31783092499999999</v>
      </c>
      <c r="H51">
        <v>89.662166801792594</v>
      </c>
    </row>
    <row r="52" spans="1:8" x14ac:dyDescent="0.35">
      <c r="A52" t="s">
        <v>66</v>
      </c>
      <c r="B52">
        <v>89.740842617137901</v>
      </c>
      <c r="C52">
        <f t="shared" si="0"/>
        <v>91.211693717393075</v>
      </c>
      <c r="D52">
        <v>33.366809618916299</v>
      </c>
      <c r="E52">
        <f t="shared" si="1"/>
        <v>36.019343797171445</v>
      </c>
      <c r="F52">
        <f t="shared" si="2"/>
        <v>37.256546915878879</v>
      </c>
      <c r="G52">
        <v>0.31783092499999999</v>
      </c>
      <c r="H52">
        <v>89.740842617137901</v>
      </c>
    </row>
    <row r="53" spans="1:8" x14ac:dyDescent="0.35">
      <c r="A53" t="s">
        <v>67</v>
      </c>
      <c r="B53">
        <v>89.795328694899894</v>
      </c>
      <c r="C53">
        <f t="shared" si="0"/>
        <v>91.24577249351843</v>
      </c>
      <c r="D53">
        <v>33.2781730489151</v>
      </c>
      <c r="E53">
        <f t="shared" si="1"/>
        <v>35.947924112072492</v>
      </c>
      <c r="F53">
        <f t="shared" si="2"/>
        <v>37.110183046233516</v>
      </c>
      <c r="G53">
        <v>1.7000000000000001E-2</v>
      </c>
      <c r="H53">
        <v>89.795328694899894</v>
      </c>
    </row>
    <row r="54" spans="1:8" x14ac:dyDescent="0.35">
      <c r="A54" t="s">
        <v>68</v>
      </c>
      <c r="B54">
        <v>89.7828712783528</v>
      </c>
      <c r="C54">
        <f t="shared" si="0"/>
        <v>91.356852521343214</v>
      </c>
      <c r="D54">
        <v>32.989720538044701</v>
      </c>
      <c r="E54">
        <f t="shared" si="1"/>
        <v>35.964253141495867</v>
      </c>
      <c r="F54">
        <f t="shared" si="2"/>
        <v>37.143631263576651</v>
      </c>
      <c r="G54">
        <v>2.9538356000000002E-2</v>
      </c>
      <c r="H54">
        <v>89.7828712783528</v>
      </c>
    </row>
    <row r="55" spans="1:8" x14ac:dyDescent="0.35">
      <c r="A55" t="s">
        <v>69</v>
      </c>
      <c r="B55">
        <v>89.8038856089603</v>
      </c>
      <c r="C55">
        <f t="shared" si="0"/>
        <v>91.499541493744957</v>
      </c>
      <c r="D55">
        <v>32.6202136074062</v>
      </c>
      <c r="E55">
        <f t="shared" si="1"/>
        <v>35.93670781365801</v>
      </c>
      <c r="F55">
        <f t="shared" si="2"/>
        <v>37.087213071236881</v>
      </c>
      <c r="G55">
        <v>0.21238654100000001</v>
      </c>
      <c r="H55">
        <v>89.8038856089603</v>
      </c>
    </row>
    <row r="56" spans="1:8" x14ac:dyDescent="0.35">
      <c r="A56" t="s">
        <v>70</v>
      </c>
      <c r="B56">
        <v>89.757956445258699</v>
      </c>
      <c r="C56">
        <f t="shared" si="0"/>
        <v>91.49492163829656</v>
      </c>
      <c r="D56">
        <v>32.632159117632497</v>
      </c>
      <c r="E56">
        <f t="shared" si="1"/>
        <v>35.99691120034251</v>
      </c>
      <c r="F56">
        <f t="shared" si="2"/>
        <v>37.210555551729449</v>
      </c>
      <c r="G56">
        <v>0.21238654100000001</v>
      </c>
      <c r="H56">
        <v>89.757956445258699</v>
      </c>
    </row>
    <row r="57" spans="1:8" x14ac:dyDescent="0.35">
      <c r="A57" t="s">
        <v>71</v>
      </c>
      <c r="B57">
        <v>88.859896272863907</v>
      </c>
      <c r="C57">
        <f t="shared" si="0"/>
        <v>90.514470359697782</v>
      </c>
      <c r="D57">
        <v>35.194891389522901</v>
      </c>
      <c r="E57">
        <f t="shared" si="1"/>
        <v>37.174077503127663</v>
      </c>
      <c r="F57">
        <f t="shared" si="2"/>
        <v>39.647911193557164</v>
      </c>
      <c r="G57">
        <v>0.21238654100000001</v>
      </c>
      <c r="H57">
        <v>88.859896272863907</v>
      </c>
    </row>
    <row r="58" spans="1:8" x14ac:dyDescent="0.35">
      <c r="A58" t="s">
        <v>72</v>
      </c>
      <c r="B58">
        <v>88.892492160347899</v>
      </c>
      <c r="C58">
        <f t="shared" si="0"/>
        <v>90.378685781499129</v>
      </c>
      <c r="D58">
        <v>35.5541925632211</v>
      </c>
      <c r="E58">
        <f t="shared" si="1"/>
        <v>37.131351212022672</v>
      </c>
      <c r="F58">
        <f t="shared" si="2"/>
        <v>39.558583905190382</v>
      </c>
      <c r="G58">
        <v>0.21238654100000001</v>
      </c>
      <c r="H58">
        <v>88.892492160347899</v>
      </c>
    </row>
    <row r="59" spans="1:8" x14ac:dyDescent="0.35">
      <c r="A59" t="s">
        <v>73</v>
      </c>
      <c r="B59">
        <v>89.094109797226295</v>
      </c>
      <c r="C59">
        <f t="shared" si="0"/>
        <v>90.796660739722881</v>
      </c>
      <c r="D59">
        <v>34.451621502619801</v>
      </c>
      <c r="E59">
        <f t="shared" si="1"/>
        <v>36.867073276672834</v>
      </c>
      <c r="F59">
        <f t="shared" si="2"/>
        <v>39.007514030756383</v>
      </c>
      <c r="G59">
        <v>0.21238654100000001</v>
      </c>
      <c r="H59">
        <v>89.094109797226295</v>
      </c>
    </row>
    <row r="60" spans="1:8" x14ac:dyDescent="0.35">
      <c r="A60" t="s">
        <v>74</v>
      </c>
      <c r="B60">
        <v>89.344226540977701</v>
      </c>
      <c r="C60">
        <f t="shared" si="0"/>
        <v>91.00008856885492</v>
      </c>
      <c r="D60">
        <v>33.918666064892903</v>
      </c>
      <c r="E60">
        <f t="shared" si="1"/>
        <v>36.53922330452523</v>
      </c>
      <c r="F60">
        <f t="shared" si="2"/>
        <v>38.327340848887623</v>
      </c>
      <c r="G60">
        <v>0.21238654100000001</v>
      </c>
      <c r="H60">
        <v>89.344226540977701</v>
      </c>
    </row>
    <row r="61" spans="1:8" x14ac:dyDescent="0.35">
      <c r="A61" t="s">
        <v>75</v>
      </c>
      <c r="B61">
        <v>89.119569500007103</v>
      </c>
      <c r="C61">
        <f t="shared" si="0"/>
        <v>90.616191448572053</v>
      </c>
      <c r="D61">
        <v>34.9264315009531</v>
      </c>
      <c r="E61">
        <f t="shared" si="1"/>
        <v>36.833701009297279</v>
      </c>
      <c r="F61">
        <f t="shared" si="2"/>
        <v>38.938103801110515</v>
      </c>
      <c r="G61">
        <v>0.21238654100000001</v>
      </c>
      <c r="H61">
        <v>89.119569500007103</v>
      </c>
    </row>
    <row r="62" spans="1:8" x14ac:dyDescent="0.35">
      <c r="A62" t="s">
        <v>76</v>
      </c>
      <c r="B62">
        <v>88.930681714519096</v>
      </c>
      <c r="C62">
        <f t="shared" si="0"/>
        <v>90.221283553875253</v>
      </c>
      <c r="D62">
        <v>35.9720499422329</v>
      </c>
      <c r="E62">
        <f t="shared" si="1"/>
        <v>37.081292810959368</v>
      </c>
      <c r="F62">
        <f t="shared" si="2"/>
        <v>39.454010774624749</v>
      </c>
      <c r="G62">
        <v>0.21238654100000001</v>
      </c>
      <c r="H62">
        <v>88.930681714519096</v>
      </c>
    </row>
    <row r="63" spans="1:8" x14ac:dyDescent="0.35">
      <c r="A63" t="s">
        <v>77</v>
      </c>
      <c r="B63">
        <v>88.5701311248595</v>
      </c>
      <c r="C63">
        <f t="shared" si="0"/>
        <v>89.667980976178896</v>
      </c>
      <c r="D63">
        <v>37.452550331109897</v>
      </c>
      <c r="E63">
        <f t="shared" si="1"/>
        <v>37.553898119203694</v>
      </c>
      <c r="F63">
        <f t="shared" si="2"/>
        <v>40.444887268021986</v>
      </c>
      <c r="G63">
        <v>0.19163704300000001</v>
      </c>
      <c r="H63">
        <v>88.5701311248595</v>
      </c>
    </row>
    <row r="64" spans="1:8" x14ac:dyDescent="0.35">
      <c r="A64" t="s">
        <v>78</v>
      </c>
      <c r="B64">
        <v>88.700264816024401</v>
      </c>
      <c r="C64">
        <f t="shared" si="0"/>
        <v>89.891081987904073</v>
      </c>
      <c r="D64">
        <v>36.853394534188098</v>
      </c>
      <c r="E64">
        <f t="shared" si="1"/>
        <v>37.383320466608467</v>
      </c>
      <c r="F64">
        <f t="shared" si="2"/>
        <v>40.086320720895344</v>
      </c>
      <c r="G64">
        <v>0.19163704300000001</v>
      </c>
      <c r="H64">
        <v>88.700264816024401</v>
      </c>
    </row>
    <row r="65" spans="1:8" x14ac:dyDescent="0.35">
      <c r="A65" t="s">
        <v>79</v>
      </c>
      <c r="B65">
        <v>88.918572194713903</v>
      </c>
      <c r="C65">
        <f t="shared" si="0"/>
        <v>90.429687471442008</v>
      </c>
      <c r="D65">
        <v>35.419109861034798</v>
      </c>
      <c r="E65">
        <f t="shared" si="1"/>
        <v>37.097165821583559</v>
      </c>
      <c r="F65">
        <f t="shared" si="2"/>
        <v>39.487160126727765</v>
      </c>
      <c r="G65">
        <v>0.182846866</v>
      </c>
      <c r="H65">
        <v>88.918572194713903</v>
      </c>
    </row>
    <row r="66" spans="1:8" x14ac:dyDescent="0.35">
      <c r="A66" t="s">
        <v>80</v>
      </c>
      <c r="B66">
        <v>89.5495486254799</v>
      </c>
      <c r="C66">
        <f t="shared" si="0"/>
        <v>90.881042241603751</v>
      </c>
      <c r="D66">
        <v>34.230262953228298</v>
      </c>
      <c r="E66">
        <f t="shared" si="1"/>
        <v>36.270089624485642</v>
      </c>
      <c r="F66">
        <f t="shared" si="2"/>
        <v>37.771823028934847</v>
      </c>
      <c r="G66">
        <v>0.182846866</v>
      </c>
      <c r="H66">
        <v>89.5495486254799</v>
      </c>
    </row>
    <row r="67" spans="1:8" x14ac:dyDescent="0.35">
      <c r="A67" t="s">
        <v>81</v>
      </c>
      <c r="B67">
        <v>90.757166084065602</v>
      </c>
      <c r="C67">
        <f t="shared" si="0"/>
        <v>91.216736274059798</v>
      </c>
      <c r="D67">
        <v>33.353690098410297</v>
      </c>
      <c r="E67">
        <f t="shared" si="1"/>
        <v>34.687159412681083</v>
      </c>
      <c r="F67">
        <f t="shared" si="2"/>
        <v>34.555369507387482</v>
      </c>
      <c r="G67">
        <v>0.182846866</v>
      </c>
      <c r="H67">
        <v>90.757166084065602</v>
      </c>
    </row>
    <row r="68" spans="1:8" x14ac:dyDescent="0.35">
      <c r="A68" t="s">
        <v>82</v>
      </c>
      <c r="B68">
        <v>90.5043670331399</v>
      </c>
      <c r="C68">
        <f t="shared" si="0"/>
        <v>91.388763936110124</v>
      </c>
      <c r="D68">
        <v>32.906982665148497</v>
      </c>
      <c r="E68">
        <f t="shared" si="1"/>
        <v>35.018525320304228</v>
      </c>
      <c r="F68">
        <f t="shared" si="2"/>
        <v>35.221588795472627</v>
      </c>
      <c r="G68">
        <v>0.182846866</v>
      </c>
      <c r="H68">
        <v>90.5043670331399</v>
      </c>
    </row>
    <row r="69" spans="1:8" x14ac:dyDescent="0.35">
      <c r="A69" t="s">
        <v>83</v>
      </c>
      <c r="B69">
        <v>89.756343386965895</v>
      </c>
      <c r="C69">
        <f t="shared" si="0"/>
        <v>90.968373756481711</v>
      </c>
      <c r="D69">
        <v>34.001598062262502</v>
      </c>
      <c r="E69">
        <f t="shared" si="1"/>
        <v>35.999025577446723</v>
      </c>
      <c r="F69">
        <f t="shared" si="2"/>
        <v>37.214889704140454</v>
      </c>
      <c r="G69">
        <v>0.182846866</v>
      </c>
      <c r="H69">
        <v>89.756343386965895</v>
      </c>
    </row>
    <row r="70" spans="1:8" x14ac:dyDescent="0.35">
      <c r="A70" t="s">
        <v>84</v>
      </c>
      <c r="B70">
        <v>89.095721739831106</v>
      </c>
      <c r="C70">
        <f t="shared" si="0"/>
        <v>91.124415165539205</v>
      </c>
      <c r="D70">
        <v>33.594117494012103</v>
      </c>
      <c r="E70">
        <f t="shared" si="1"/>
        <v>36.864960361998811</v>
      </c>
      <c r="F70">
        <f t="shared" si="2"/>
        <v>39.00311825068534</v>
      </c>
      <c r="G70">
        <v>0.182846866</v>
      </c>
      <c r="H70">
        <v>89.095721739831106</v>
      </c>
    </row>
    <row r="71" spans="1:8" x14ac:dyDescent="0.35">
      <c r="A71" t="s">
        <v>85</v>
      </c>
      <c r="B71">
        <v>90.239644827134896</v>
      </c>
      <c r="C71">
        <f t="shared" si="0"/>
        <v>91.405467153202196</v>
      </c>
      <c r="D71">
        <v>32.863698666536798</v>
      </c>
      <c r="E71">
        <f t="shared" si="1"/>
        <v>35.365519953945608</v>
      </c>
      <c r="F71">
        <f t="shared" si="2"/>
        <v>35.923230969116482</v>
      </c>
      <c r="G71">
        <v>0.19163704300000001</v>
      </c>
      <c r="H71">
        <v>90.239644827134896</v>
      </c>
    </row>
    <row r="72" spans="1:8" x14ac:dyDescent="0.35">
      <c r="A72" t="s">
        <v>86</v>
      </c>
      <c r="B72">
        <v>92.566447197078702</v>
      </c>
      <c r="C72">
        <f t="shared" si="0"/>
        <v>93.838496411515678</v>
      </c>
      <c r="D72">
        <v>26.7234445732221</v>
      </c>
      <c r="E72">
        <f t="shared" si="1"/>
        <v>32.315575832902475</v>
      </c>
      <c r="F72">
        <f t="shared" si="2"/>
        <v>29.893460929699266</v>
      </c>
      <c r="G72">
        <v>0.36635052200000001</v>
      </c>
      <c r="H72">
        <v>92.566447197078702</v>
      </c>
    </row>
    <row r="73" spans="1:8" x14ac:dyDescent="0.35">
      <c r="A73" t="s">
        <v>87</v>
      </c>
      <c r="B73">
        <v>93.750543132629204</v>
      </c>
      <c r="C73">
        <f t="shared" ref="C73:C136" si="3">$B$2/(1+$B$4*((D73/100)/$B$3))</f>
        <v>94.275378641462567</v>
      </c>
      <c r="D73">
        <v>25.654445621735999</v>
      </c>
      <c r="E73">
        <f t="shared" ref="E73:E136" si="4" xml:space="preserve"> (117.22 - B73)/0.7629</f>
        <v>30.763477346140771</v>
      </c>
      <c r="F73">
        <f t="shared" ref="F73:F136" si="5" xml:space="preserve"> ((($B$3 *($B$2-B73))/($B$4*B73)))*100</f>
        <v>26.93986060345404</v>
      </c>
      <c r="G73">
        <v>0.40061996999999999</v>
      </c>
      <c r="H73">
        <v>93.750543132629204</v>
      </c>
    </row>
    <row r="74" spans="1:8" x14ac:dyDescent="0.35">
      <c r="A74" t="s">
        <v>88</v>
      </c>
      <c r="B74">
        <v>94.120033129113196</v>
      </c>
      <c r="C74">
        <f t="shared" si="3"/>
        <v>94.739660233873934</v>
      </c>
      <c r="D74">
        <v>24.529209716069399</v>
      </c>
      <c r="E74">
        <f t="shared" si="4"/>
        <v>30.279154372639667</v>
      </c>
      <c r="F74">
        <f t="shared" si="5"/>
        <v>26.03342063757626</v>
      </c>
      <c r="G74">
        <v>0.42089291299999998</v>
      </c>
      <c r="H74">
        <v>94.120033129113196</v>
      </c>
    </row>
    <row r="75" spans="1:8" x14ac:dyDescent="0.35">
      <c r="A75" t="s">
        <v>89</v>
      </c>
      <c r="B75">
        <v>93.1098543209459</v>
      </c>
      <c r="C75">
        <f t="shared" si="3"/>
        <v>95.047119744236539</v>
      </c>
      <c r="D75">
        <v>23.790099215638801</v>
      </c>
      <c r="E75">
        <f t="shared" si="4"/>
        <v>31.60328441349338</v>
      </c>
      <c r="F75">
        <f t="shared" si="5"/>
        <v>28.528663142217166</v>
      </c>
      <c r="G75">
        <v>0.54389936800000005</v>
      </c>
      <c r="H75">
        <v>93.1098543209459</v>
      </c>
    </row>
    <row r="76" spans="1:8" x14ac:dyDescent="0.35">
      <c r="A76" t="s">
        <v>90</v>
      </c>
      <c r="B76">
        <v>91.082009602965101</v>
      </c>
      <c r="C76">
        <f t="shared" si="3"/>
        <v>93.778642145702008</v>
      </c>
      <c r="D76">
        <v>26.870676620888801</v>
      </c>
      <c r="E76">
        <f t="shared" si="4"/>
        <v>34.261358496572157</v>
      </c>
      <c r="F76">
        <f t="shared" si="5"/>
        <v>33.704715601525763</v>
      </c>
      <c r="G76">
        <v>0.59238267899999997</v>
      </c>
      <c r="H76">
        <v>91.082009602965101</v>
      </c>
    </row>
    <row r="77" spans="1:8" x14ac:dyDescent="0.35">
      <c r="A77" t="s">
        <v>91</v>
      </c>
      <c r="B77">
        <v>89.768413424269696</v>
      </c>
      <c r="C77">
        <f t="shared" si="3"/>
        <v>93.030483752808237</v>
      </c>
      <c r="D77">
        <v>28.727012494819299</v>
      </c>
      <c r="E77">
        <f t="shared" si="4"/>
        <v>35.983204320003018</v>
      </c>
      <c r="F77">
        <f t="shared" si="5"/>
        <v>37.18246230358568</v>
      </c>
      <c r="G77">
        <v>0.713653172</v>
      </c>
      <c r="H77">
        <v>89.768413424269696</v>
      </c>
    </row>
    <row r="78" spans="1:8" x14ac:dyDescent="0.35">
      <c r="A78" t="s">
        <v>92</v>
      </c>
      <c r="B78">
        <v>90.2293218302528</v>
      </c>
      <c r="C78">
        <f t="shared" si="3"/>
        <v>93.562931963573007</v>
      </c>
      <c r="D78">
        <v>27.4028524032916</v>
      </c>
      <c r="E78">
        <f t="shared" si="4"/>
        <v>35.379051212147331</v>
      </c>
      <c r="F78">
        <f t="shared" si="5"/>
        <v>35.95067531918594</v>
      </c>
      <c r="G78">
        <v>0.713653172</v>
      </c>
      <c r="H78">
        <v>90.2293218302528</v>
      </c>
    </row>
    <row r="79" spans="1:8" x14ac:dyDescent="0.35">
      <c r="A79" t="s">
        <v>93</v>
      </c>
      <c r="B79">
        <v>91.700804979837898</v>
      </c>
      <c r="C79">
        <f t="shared" si="3"/>
        <v>93.881094911023951</v>
      </c>
      <c r="D79">
        <v>26.6187733402259</v>
      </c>
      <c r="E79">
        <f t="shared" si="4"/>
        <v>33.450249076107092</v>
      </c>
      <c r="F79">
        <f t="shared" si="5"/>
        <v>32.100977184084961</v>
      </c>
      <c r="G79">
        <v>0.713653172</v>
      </c>
      <c r="H79">
        <v>91.700804979837898</v>
      </c>
    </row>
    <row r="80" spans="1:8" x14ac:dyDescent="0.35">
      <c r="A80" t="s">
        <v>94</v>
      </c>
      <c r="B80">
        <v>91.715807056327094</v>
      </c>
      <c r="C80">
        <f t="shared" si="3"/>
        <v>94.134372217978694</v>
      </c>
      <c r="D80">
        <v>25.998387141483601</v>
      </c>
      <c r="E80">
        <f t="shared" si="4"/>
        <v>33.430584537518556</v>
      </c>
      <c r="F80">
        <f t="shared" si="5"/>
        <v>32.06236483178396</v>
      </c>
      <c r="G80">
        <v>0.713653172</v>
      </c>
      <c r="H80">
        <v>91.715807056327094</v>
      </c>
    </row>
    <row r="81" spans="1:8" x14ac:dyDescent="0.35">
      <c r="A81" t="s">
        <v>95</v>
      </c>
      <c r="B81">
        <v>91.495251187564506</v>
      </c>
      <c r="C81">
        <f t="shared" si="3"/>
        <v>94.114282558731986</v>
      </c>
      <c r="D81">
        <v>26.047473524138798</v>
      </c>
      <c r="E81">
        <f t="shared" si="4"/>
        <v>33.719686475862488</v>
      </c>
      <c r="F81">
        <f t="shared" si="5"/>
        <v>32.631306965701107</v>
      </c>
      <c r="G81">
        <v>0.721821724</v>
      </c>
      <c r="H81">
        <v>91.495251187564506</v>
      </c>
    </row>
    <row r="82" spans="1:8" x14ac:dyDescent="0.35">
      <c r="A82" t="s">
        <v>96</v>
      </c>
      <c r="B82">
        <v>91.329362977450998</v>
      </c>
      <c r="C82">
        <f t="shared" si="3"/>
        <v>93.687464621007933</v>
      </c>
      <c r="D82">
        <v>27.095320503236</v>
      </c>
      <c r="E82">
        <f t="shared" si="4"/>
        <v>33.937130715098967</v>
      </c>
      <c r="F82">
        <f t="shared" si="5"/>
        <v>33.061040023582002</v>
      </c>
      <c r="G82">
        <v>0.78896204299999995</v>
      </c>
      <c r="H82">
        <v>91.329362977450998</v>
      </c>
    </row>
    <row r="83" spans="1:8" x14ac:dyDescent="0.35">
      <c r="A83" t="s">
        <v>97</v>
      </c>
      <c r="B83">
        <v>91.054007384346605</v>
      </c>
      <c r="C83">
        <f t="shared" si="3"/>
        <v>92.269246426035593</v>
      </c>
      <c r="D83">
        <v>30.6466978299582</v>
      </c>
      <c r="E83">
        <f t="shared" si="4"/>
        <v>34.298063462646994</v>
      </c>
      <c r="F83">
        <f t="shared" si="5"/>
        <v>33.777804766149352</v>
      </c>
      <c r="G83">
        <v>0.82887281300000004</v>
      </c>
      <c r="H83">
        <v>91.054007384346605</v>
      </c>
    </row>
    <row r="84" spans="1:8" x14ac:dyDescent="0.35">
      <c r="A84" t="s">
        <v>98</v>
      </c>
      <c r="B84">
        <v>91.410734442009698</v>
      </c>
      <c r="C84">
        <f t="shared" si="3"/>
        <v>91.897430702374393</v>
      </c>
      <c r="D84">
        <v>31.595901990735999</v>
      </c>
      <c r="E84">
        <f t="shared" si="4"/>
        <v>33.830469993433347</v>
      </c>
      <c r="F84">
        <f t="shared" si="5"/>
        <v>32.850052521419862</v>
      </c>
      <c r="G84">
        <v>0.85036909299999996</v>
      </c>
      <c r="H84">
        <v>91.410734442009698</v>
      </c>
    </row>
    <row r="85" spans="1:8" x14ac:dyDescent="0.35">
      <c r="A85" t="s">
        <v>99</v>
      </c>
      <c r="B85">
        <v>91.975721483910704</v>
      </c>
      <c r="C85">
        <f t="shared" si="3"/>
        <v>92.365188418079271</v>
      </c>
      <c r="D85">
        <v>30.4030089779721</v>
      </c>
      <c r="E85">
        <f t="shared" si="4"/>
        <v>33.089891881097515</v>
      </c>
      <c r="F85">
        <f t="shared" si="5"/>
        <v>31.395396495181437</v>
      </c>
      <c r="G85">
        <v>0.85108119299999996</v>
      </c>
      <c r="H85">
        <v>91.975721483910704</v>
      </c>
    </row>
    <row r="86" spans="1:8" x14ac:dyDescent="0.35">
      <c r="A86" t="s">
        <v>100</v>
      </c>
      <c r="B86">
        <v>92.355064156218702</v>
      </c>
      <c r="C86">
        <f t="shared" si="3"/>
        <v>92.826072896038028</v>
      </c>
      <c r="D86">
        <v>29.239402826499902</v>
      </c>
      <c r="E86">
        <f t="shared" si="4"/>
        <v>32.592654140491931</v>
      </c>
      <c r="F86">
        <f t="shared" si="5"/>
        <v>30.428700306303412</v>
      </c>
      <c r="G86">
        <v>0.85108119299999996</v>
      </c>
      <c r="H86">
        <v>92.355064156218702</v>
      </c>
    </row>
    <row r="87" spans="1:8" x14ac:dyDescent="0.35">
      <c r="A87" t="s">
        <v>101</v>
      </c>
      <c r="B87">
        <v>93.458569631857998</v>
      </c>
      <c r="C87">
        <f t="shared" si="3"/>
        <v>93.359168449056313</v>
      </c>
      <c r="D87">
        <v>27.907813418013799</v>
      </c>
      <c r="E87">
        <f t="shared" si="4"/>
        <v>31.14619264404509</v>
      </c>
      <c r="F87">
        <f t="shared" si="5"/>
        <v>27.661205127768294</v>
      </c>
      <c r="G87">
        <v>0.88763799899999996</v>
      </c>
      <c r="H87">
        <v>93.458569631857998</v>
      </c>
    </row>
    <row r="88" spans="1:8" x14ac:dyDescent="0.35">
      <c r="A88" t="s">
        <v>102</v>
      </c>
      <c r="B88">
        <v>95.015618191101098</v>
      </c>
      <c r="C88">
        <f t="shared" si="3"/>
        <v>93.841550036861719</v>
      </c>
      <c r="D88">
        <v>26.7159381721839</v>
      </c>
      <c r="E88">
        <f t="shared" si="4"/>
        <v>29.105232414338577</v>
      </c>
      <c r="F88">
        <f t="shared" si="5"/>
        <v>23.865606740126125</v>
      </c>
      <c r="G88">
        <v>0.89392003399999997</v>
      </c>
      <c r="H88">
        <v>95.015618191101098</v>
      </c>
    </row>
    <row r="89" spans="1:8" x14ac:dyDescent="0.35">
      <c r="A89" t="s">
        <v>103</v>
      </c>
      <c r="B89">
        <v>97.384275108232004</v>
      </c>
      <c r="C89">
        <f t="shared" si="3"/>
        <v>94.961399002693994</v>
      </c>
      <c r="D89">
        <v>23.995684525626</v>
      </c>
      <c r="E89">
        <f t="shared" si="4"/>
        <v>26.000425864160434</v>
      </c>
      <c r="F89">
        <f t="shared" si="5"/>
        <v>18.324320923997643</v>
      </c>
      <c r="G89">
        <v>0.99798098199999996</v>
      </c>
      <c r="H89">
        <v>97.384275108232004</v>
      </c>
    </row>
    <row r="90" spans="1:8" x14ac:dyDescent="0.35">
      <c r="A90" t="s">
        <v>104</v>
      </c>
      <c r="B90">
        <v>99.042906602458004</v>
      </c>
      <c r="C90">
        <f t="shared" si="3"/>
        <v>95.059633507952796</v>
      </c>
      <c r="D90">
        <v>23.7601182871337</v>
      </c>
      <c r="E90">
        <f t="shared" si="4"/>
        <v>23.826311964270538</v>
      </c>
      <c r="F90">
        <f t="shared" si="5"/>
        <v>14.601861955870143</v>
      </c>
      <c r="G90">
        <v>0.98072086800000002</v>
      </c>
      <c r="H90">
        <v>99.042906602458004</v>
      </c>
    </row>
    <row r="91" spans="1:8" x14ac:dyDescent="0.35">
      <c r="A91" t="s">
        <v>105</v>
      </c>
      <c r="B91">
        <v>99.494081823690195</v>
      </c>
      <c r="C91">
        <f t="shared" si="3"/>
        <v>95.168495803845872</v>
      </c>
      <c r="D91">
        <v>23.499634694358502</v>
      </c>
      <c r="E91">
        <f t="shared" si="4"/>
        <v>23.234916996080486</v>
      </c>
      <c r="F91">
        <f t="shared" si="5"/>
        <v>13.610763409627225</v>
      </c>
      <c r="G91">
        <v>0.99798098199999996</v>
      </c>
      <c r="H91">
        <v>99.494081823690195</v>
      </c>
    </row>
    <row r="92" spans="1:8" x14ac:dyDescent="0.35">
      <c r="A92" t="s">
        <v>106</v>
      </c>
      <c r="B92">
        <v>99.211957202066699</v>
      </c>
      <c r="C92">
        <f t="shared" si="3"/>
        <v>95.275176835272987</v>
      </c>
      <c r="D92">
        <v>23.244947879529199</v>
      </c>
      <c r="E92">
        <f t="shared" si="4"/>
        <v>23.604722503517234</v>
      </c>
      <c r="F92">
        <f t="shared" si="5"/>
        <v>14.229451774322301</v>
      </c>
      <c r="G92">
        <v>1.1201937239999999</v>
      </c>
      <c r="H92">
        <v>99.211957202066699</v>
      </c>
    </row>
    <row r="93" spans="1:8" x14ac:dyDescent="0.35">
      <c r="A93" t="s">
        <v>107</v>
      </c>
      <c r="B93">
        <v>98.861545917840601</v>
      </c>
      <c r="C93">
        <f t="shared" si="3"/>
        <v>95.400780486849101</v>
      </c>
      <c r="D93">
        <v>22.945815931696501</v>
      </c>
      <c r="E93">
        <f t="shared" si="4"/>
        <v>24.064037334066583</v>
      </c>
      <c r="F93">
        <f t="shared" si="5"/>
        <v>15.002806766523493</v>
      </c>
      <c r="G93">
        <v>1.126534736</v>
      </c>
      <c r="H93">
        <v>98.861545917840601</v>
      </c>
    </row>
    <row r="94" spans="1:8" x14ac:dyDescent="0.35">
      <c r="A94" t="s">
        <v>108</v>
      </c>
      <c r="B94">
        <v>94.399364938032903</v>
      </c>
      <c r="C94">
        <f t="shared" si="3"/>
        <v>94.945500859944829</v>
      </c>
      <c r="D94">
        <v>24.033854082923799</v>
      </c>
      <c r="E94">
        <f t="shared" si="4"/>
        <v>29.91300964997653</v>
      </c>
      <c r="F94">
        <f t="shared" si="5"/>
        <v>25.352868387007486</v>
      </c>
      <c r="G94">
        <v>1.2201217689999999</v>
      </c>
      <c r="H94">
        <v>94.399364938032903</v>
      </c>
    </row>
    <row r="95" spans="1:8" x14ac:dyDescent="0.35">
      <c r="A95" t="s">
        <v>109</v>
      </c>
      <c r="B95">
        <v>91.065741562152894</v>
      </c>
      <c r="C95">
        <f t="shared" si="3"/>
        <v>92.720896972410259</v>
      </c>
      <c r="D95">
        <v>29.503924314726401</v>
      </c>
      <c r="E95">
        <f t="shared" si="4"/>
        <v>34.282682445729591</v>
      </c>
      <c r="F95">
        <f t="shared" si="5"/>
        <v>33.747171676869506</v>
      </c>
      <c r="G95">
        <v>1.2373316050000001</v>
      </c>
      <c r="H95">
        <v>91.065741562152894</v>
      </c>
    </row>
    <row r="96" spans="1:8" x14ac:dyDescent="0.35">
      <c r="A96" t="s">
        <v>110</v>
      </c>
      <c r="B96">
        <v>92.094807690881098</v>
      </c>
      <c r="C96">
        <f t="shared" si="3"/>
        <v>93.024762148486943</v>
      </c>
      <c r="D96">
        <v>28.741324029191901</v>
      </c>
      <c r="E96">
        <f t="shared" si="4"/>
        <v>32.933795135822386</v>
      </c>
      <c r="F96">
        <f t="shared" si="5"/>
        <v>31.091066093772064</v>
      </c>
      <c r="G96">
        <v>1.2996968659999999</v>
      </c>
      <c r="H96">
        <v>92.094807690881098</v>
      </c>
    </row>
    <row r="97" spans="1:8" x14ac:dyDescent="0.35">
      <c r="A97" t="s">
        <v>111</v>
      </c>
      <c r="B97">
        <v>94.0729122122532</v>
      </c>
      <c r="C97">
        <f t="shared" si="3"/>
        <v>93.35446041998236</v>
      </c>
      <c r="D97">
        <v>27.9195067778133</v>
      </c>
      <c r="E97">
        <f t="shared" si="4"/>
        <v>30.340919894805083</v>
      </c>
      <c r="F97">
        <f t="shared" si="5"/>
        <v>26.148622446058084</v>
      </c>
      <c r="G97">
        <v>1.387124998</v>
      </c>
      <c r="H97">
        <v>94.0729122122532</v>
      </c>
    </row>
    <row r="98" spans="1:8" x14ac:dyDescent="0.35">
      <c r="A98" t="s">
        <v>112</v>
      </c>
      <c r="B98">
        <v>94.8296353492359</v>
      </c>
      <c r="C98">
        <f t="shared" si="3"/>
        <v>93.508108811901465</v>
      </c>
      <c r="D98">
        <v>27.538497196261599</v>
      </c>
      <c r="E98">
        <f t="shared" si="4"/>
        <v>29.349016451388252</v>
      </c>
      <c r="F98">
        <f t="shared" si="5"/>
        <v>24.312419971616034</v>
      </c>
      <c r="G98">
        <v>1.395524497</v>
      </c>
      <c r="H98">
        <v>94.8296353492359</v>
      </c>
    </row>
    <row r="99" spans="1:8" x14ac:dyDescent="0.35">
      <c r="A99" t="s">
        <v>113</v>
      </c>
      <c r="B99">
        <v>94.630571696917201</v>
      </c>
      <c r="C99">
        <f t="shared" si="3"/>
        <v>93.527423949571315</v>
      </c>
      <c r="D99">
        <v>27.4906890629847</v>
      </c>
      <c r="E99">
        <f t="shared" si="4"/>
        <v>29.609946654978106</v>
      </c>
      <c r="F99">
        <f t="shared" si="5"/>
        <v>24.792605036730418</v>
      </c>
      <c r="G99">
        <v>1.461552666</v>
      </c>
      <c r="H99">
        <v>94.630571696917201</v>
      </c>
    </row>
    <row r="100" spans="1:8" x14ac:dyDescent="0.35">
      <c r="A100" t="s">
        <v>114</v>
      </c>
      <c r="B100">
        <v>93.499750458538898</v>
      </c>
      <c r="C100">
        <f t="shared" si="3"/>
        <v>93.665531527129758</v>
      </c>
      <c r="D100">
        <v>27.149424685076301</v>
      </c>
      <c r="E100">
        <f t="shared" si="4"/>
        <v>31.092213319519072</v>
      </c>
      <c r="F100">
        <f t="shared" si="5"/>
        <v>27.559191614740541</v>
      </c>
      <c r="G100">
        <v>1.4715292369999999</v>
      </c>
      <c r="H100">
        <v>93.499750458538898</v>
      </c>
    </row>
    <row r="101" spans="1:8" x14ac:dyDescent="0.35">
      <c r="A101" t="s">
        <v>115</v>
      </c>
      <c r="B101">
        <v>93.631058640012</v>
      </c>
      <c r="C101">
        <f t="shared" si="3"/>
        <v>93.862071631474109</v>
      </c>
      <c r="D101">
        <v>26.665504798477802</v>
      </c>
      <c r="E101">
        <f t="shared" si="4"/>
        <v>30.920096159376062</v>
      </c>
      <c r="F101">
        <f t="shared" si="5"/>
        <v>27.234513043730878</v>
      </c>
      <c r="G101">
        <v>1.4814329129999999</v>
      </c>
      <c r="H101">
        <v>93.631058640012</v>
      </c>
    </row>
    <row r="102" spans="1:8" x14ac:dyDescent="0.35">
      <c r="A102" t="s">
        <v>116</v>
      </c>
      <c r="B102">
        <v>94.235032184145695</v>
      </c>
      <c r="C102">
        <f t="shared" si="3"/>
        <v>94.116468192897969</v>
      </c>
      <c r="D102">
        <v>26.0421322048668</v>
      </c>
      <c r="E102">
        <f t="shared" si="4"/>
        <v>30.12841501619387</v>
      </c>
      <c r="F102">
        <f t="shared" si="5"/>
        <v>25.752753192139473</v>
      </c>
      <c r="G102">
        <v>0</v>
      </c>
      <c r="H102">
        <v>94.235032184145695</v>
      </c>
    </row>
    <row r="103" spans="1:8" x14ac:dyDescent="0.35">
      <c r="A103" t="s">
        <v>117</v>
      </c>
      <c r="B103">
        <v>93.476710704175801</v>
      </c>
      <c r="C103">
        <f t="shared" si="3"/>
        <v>94.072563667159613</v>
      </c>
      <c r="D103">
        <v>26.1494750034615</v>
      </c>
      <c r="E103">
        <f t="shared" si="4"/>
        <v>31.122413548072089</v>
      </c>
      <c r="F103">
        <f t="shared" si="5"/>
        <v>27.616254824357899</v>
      </c>
      <c r="G103">
        <v>0</v>
      </c>
      <c r="H103">
        <v>93.476710704175801</v>
      </c>
    </row>
    <row r="104" spans="1:8" x14ac:dyDescent="0.35">
      <c r="A104" t="s">
        <v>118</v>
      </c>
      <c r="B104">
        <v>92.423559398581503</v>
      </c>
      <c r="C104">
        <f t="shared" si="3"/>
        <v>93.286619827236052</v>
      </c>
      <c r="D104">
        <v>28.088133900033</v>
      </c>
      <c r="E104">
        <f t="shared" si="4"/>
        <v>32.502871413577786</v>
      </c>
      <c r="F104">
        <f t="shared" si="5"/>
        <v>30.254996543179292</v>
      </c>
      <c r="G104">
        <v>0</v>
      </c>
      <c r="H104">
        <v>92.423559398581503</v>
      </c>
    </row>
    <row r="105" spans="1:8" x14ac:dyDescent="0.35">
      <c r="A105" t="s">
        <v>119</v>
      </c>
      <c r="B105">
        <v>91.818452009586906</v>
      </c>
      <c r="C105">
        <f t="shared" si="3"/>
        <v>93.102947102320911</v>
      </c>
      <c r="D105">
        <v>28.5459110472178</v>
      </c>
      <c r="E105">
        <f t="shared" si="4"/>
        <v>33.296038786751986</v>
      </c>
      <c r="F105">
        <f t="shared" si="5"/>
        <v>31.798515701240955</v>
      </c>
      <c r="G105">
        <v>0</v>
      </c>
      <c r="H105">
        <v>91.818452009586906</v>
      </c>
    </row>
    <row r="106" spans="1:8" x14ac:dyDescent="0.35">
      <c r="A106" t="s">
        <v>120</v>
      </c>
      <c r="B106">
        <v>93.416173028360205</v>
      </c>
      <c r="C106">
        <f t="shared" si="3"/>
        <v>93.459093255335929</v>
      </c>
      <c r="D106">
        <v>27.6599074387107</v>
      </c>
      <c r="E106">
        <f t="shared" si="4"/>
        <v>31.201765593970105</v>
      </c>
      <c r="F106">
        <f t="shared" si="5"/>
        <v>27.766324337842917</v>
      </c>
      <c r="G106">
        <v>0</v>
      </c>
      <c r="H106">
        <v>93.416173028360205</v>
      </c>
    </row>
    <row r="107" spans="1:8" x14ac:dyDescent="0.35">
      <c r="A107" t="s">
        <v>121</v>
      </c>
      <c r="B107">
        <v>95.377044136511103</v>
      </c>
      <c r="C107">
        <f t="shared" si="3"/>
        <v>93.768427481691944</v>
      </c>
      <c r="D107">
        <v>26.895821858144199</v>
      </c>
      <c r="E107">
        <f t="shared" si="4"/>
        <v>28.631479700470436</v>
      </c>
      <c r="F107">
        <f t="shared" si="5"/>
        <v>23.00228496867981</v>
      </c>
      <c r="G107">
        <v>0</v>
      </c>
      <c r="H107">
        <v>95.377044136511103</v>
      </c>
    </row>
    <row r="108" spans="1:8" x14ac:dyDescent="0.35">
      <c r="A108" t="s">
        <v>122</v>
      </c>
      <c r="B108">
        <v>97.206213402678003</v>
      </c>
      <c r="C108">
        <f t="shared" si="3"/>
        <v>93.995779103317631</v>
      </c>
      <c r="D108">
        <v>26.3374477187295</v>
      </c>
      <c r="E108">
        <f t="shared" si="4"/>
        <v>26.233826972502289</v>
      </c>
      <c r="F108">
        <f t="shared" si="5"/>
        <v>18.731494786629284</v>
      </c>
      <c r="G108">
        <v>0</v>
      </c>
      <c r="H108">
        <v>97.206213402678003</v>
      </c>
    </row>
    <row r="109" spans="1:8" x14ac:dyDescent="0.35">
      <c r="A109" t="s">
        <v>123</v>
      </c>
      <c r="B109">
        <v>98.076501453805506</v>
      </c>
      <c r="C109">
        <f t="shared" si="3"/>
        <v>94.179928015174653</v>
      </c>
      <c r="D109">
        <v>25.8871552580908</v>
      </c>
      <c r="E109">
        <f t="shared" si="4"/>
        <v>25.093064026995009</v>
      </c>
      <c r="F109">
        <f t="shared" si="5"/>
        <v>16.755452408554184</v>
      </c>
      <c r="G109">
        <v>0</v>
      </c>
      <c r="H109">
        <v>98.076501453805506</v>
      </c>
    </row>
    <row r="110" spans="1:8" x14ac:dyDescent="0.35">
      <c r="A110" t="s">
        <v>124</v>
      </c>
      <c r="B110">
        <v>97.576059962204297</v>
      </c>
      <c r="C110">
        <f t="shared" si="3"/>
        <v>94.336089455009386</v>
      </c>
      <c r="D110">
        <v>25.506677034009101</v>
      </c>
      <c r="E110">
        <f t="shared" si="4"/>
        <v>25.749036620521302</v>
      </c>
      <c r="F110">
        <f t="shared" si="5"/>
        <v>17.887428597065089</v>
      </c>
      <c r="G110">
        <v>0</v>
      </c>
      <c r="H110">
        <v>97.576059962204297</v>
      </c>
    </row>
    <row r="111" spans="1:8" x14ac:dyDescent="0.35">
      <c r="A111" t="s">
        <v>125</v>
      </c>
      <c r="B111">
        <v>96.659002544510301</v>
      </c>
      <c r="C111">
        <f t="shared" si="3"/>
        <v>94.466009850444351</v>
      </c>
      <c r="D111">
        <v>25.191092204862301</v>
      </c>
      <c r="E111">
        <f t="shared" si="4"/>
        <v>26.951104280364003</v>
      </c>
      <c r="F111">
        <f t="shared" si="5"/>
        <v>19.992191428711596</v>
      </c>
      <c r="G111">
        <v>0</v>
      </c>
      <c r="H111">
        <v>96.659002544510301</v>
      </c>
    </row>
    <row r="112" spans="1:8" x14ac:dyDescent="0.35">
      <c r="A112" t="s">
        <v>126</v>
      </c>
      <c r="B112">
        <v>96.113161711141004</v>
      </c>
      <c r="C112">
        <f t="shared" si="3"/>
        <v>94.58137312737739</v>
      </c>
      <c r="D112">
        <v>24.911594257879599</v>
      </c>
      <c r="E112">
        <f t="shared" si="4"/>
        <v>27.666585776456934</v>
      </c>
      <c r="F112">
        <f t="shared" si="5"/>
        <v>21.264033166198185</v>
      </c>
      <c r="G112">
        <v>0</v>
      </c>
      <c r="H112">
        <v>96.113161711141004</v>
      </c>
    </row>
    <row r="113" spans="1:8" x14ac:dyDescent="0.35">
      <c r="A113" t="s">
        <v>127</v>
      </c>
      <c r="B113">
        <v>96.975281159957305</v>
      </c>
      <c r="C113">
        <f t="shared" si="3"/>
        <v>94.706994934449611</v>
      </c>
      <c r="D113">
        <v>24.608016751176201</v>
      </c>
      <c r="E113">
        <f t="shared" si="4"/>
        <v>26.536530135067103</v>
      </c>
      <c r="F113">
        <f t="shared" si="5"/>
        <v>19.26179490582107</v>
      </c>
      <c r="G113">
        <v>0</v>
      </c>
      <c r="H113">
        <v>96.975281159957305</v>
      </c>
    </row>
    <row r="114" spans="1:8" x14ac:dyDescent="0.35">
      <c r="A114" t="s">
        <v>128</v>
      </c>
      <c r="B114">
        <v>97.017747919760296</v>
      </c>
      <c r="C114">
        <f t="shared" si="3"/>
        <v>94.838728241287697</v>
      </c>
      <c r="D114">
        <v>24.290534069230699</v>
      </c>
      <c r="E114">
        <f t="shared" si="4"/>
        <v>26.480865225114304</v>
      </c>
      <c r="F114">
        <f t="shared" si="5"/>
        <v>19.16408713300244</v>
      </c>
      <c r="G114">
        <v>0</v>
      </c>
      <c r="H114">
        <v>97.017747919760296</v>
      </c>
    </row>
    <row r="115" spans="1:8" x14ac:dyDescent="0.35">
      <c r="A115" t="s">
        <v>129</v>
      </c>
      <c r="B115">
        <v>96.394397570364106</v>
      </c>
      <c r="C115">
        <f t="shared" si="3"/>
        <v>94.935210880898879</v>
      </c>
      <c r="D115">
        <v>24.058565918509199</v>
      </c>
      <c r="E115">
        <f t="shared" si="4"/>
        <v>27.297945247917017</v>
      </c>
      <c r="F115">
        <f t="shared" si="5"/>
        <v>20.606938015305122</v>
      </c>
      <c r="G115">
        <v>0</v>
      </c>
      <c r="H115">
        <v>96.394397570364106</v>
      </c>
    </row>
    <row r="116" spans="1:8" x14ac:dyDescent="0.35">
      <c r="A116" t="s">
        <v>130</v>
      </c>
      <c r="B116">
        <v>94.922803602643299</v>
      </c>
      <c r="C116">
        <f t="shared" si="3"/>
        <v>94.94397232410455</v>
      </c>
      <c r="D116">
        <v>24.037524589978499</v>
      </c>
      <c r="E116">
        <f t="shared" si="4"/>
        <v>29.226892643015727</v>
      </c>
      <c r="F116">
        <f t="shared" si="5"/>
        <v>24.088369665680339</v>
      </c>
      <c r="G116">
        <v>0</v>
      </c>
      <c r="H116">
        <v>94.922803602643299</v>
      </c>
    </row>
    <row r="117" spans="1:8" x14ac:dyDescent="0.35">
      <c r="A117" t="s">
        <v>131</v>
      </c>
      <c r="B117">
        <v>94.384435568187797</v>
      </c>
      <c r="C117">
        <f t="shared" si="3"/>
        <v>95.024533147669999</v>
      </c>
      <c r="D117">
        <v>23.8442329907048</v>
      </c>
      <c r="E117">
        <f t="shared" si="4"/>
        <v>29.932578885584221</v>
      </c>
      <c r="F117">
        <f t="shared" si="5"/>
        <v>25.38913978093041</v>
      </c>
      <c r="G117">
        <v>0</v>
      </c>
      <c r="H117">
        <v>94.384435568187797</v>
      </c>
    </row>
    <row r="118" spans="1:8" x14ac:dyDescent="0.35">
      <c r="A118" t="s">
        <v>132</v>
      </c>
      <c r="B118">
        <v>95.020113137866005</v>
      </c>
      <c r="C118">
        <f t="shared" si="3"/>
        <v>95.168628994257091</v>
      </c>
      <c r="D118">
        <v>23.499316363920698</v>
      </c>
      <c r="E118">
        <f t="shared" si="4"/>
        <v>29.099340493031843</v>
      </c>
      <c r="F118">
        <f t="shared" si="5"/>
        <v>23.854829532845358</v>
      </c>
      <c r="G118">
        <v>0</v>
      </c>
      <c r="H118">
        <v>95.020113137866005</v>
      </c>
    </row>
    <row r="119" spans="1:8" x14ac:dyDescent="0.35">
      <c r="A119" t="s">
        <v>133</v>
      </c>
      <c r="B119">
        <v>96.315618137055694</v>
      </c>
      <c r="C119">
        <f t="shared" si="3"/>
        <v>95.374843845467055</v>
      </c>
      <c r="D119">
        <v>23.0075209086279</v>
      </c>
      <c r="E119">
        <f t="shared" si="4"/>
        <v>27.401208366685417</v>
      </c>
      <c r="F119">
        <f t="shared" si="5"/>
        <v>20.79061577235705</v>
      </c>
      <c r="G119">
        <v>0</v>
      </c>
      <c r="H119">
        <v>96.315618137055694</v>
      </c>
    </row>
    <row r="120" spans="1:8" x14ac:dyDescent="0.35">
      <c r="A120" t="s">
        <v>134</v>
      </c>
      <c r="B120">
        <v>97.258049580656404</v>
      </c>
      <c r="C120">
        <f t="shared" si="3"/>
        <v>95.587847535152079</v>
      </c>
      <c r="D120">
        <v>22.5017628295058</v>
      </c>
      <c r="E120">
        <f t="shared" si="4"/>
        <v>26.165880743667053</v>
      </c>
      <c r="F120">
        <f t="shared" si="5"/>
        <v>18.612807113586761</v>
      </c>
      <c r="G120">
        <v>0</v>
      </c>
      <c r="H120">
        <v>97.258049580656404</v>
      </c>
    </row>
    <row r="121" spans="1:8" x14ac:dyDescent="0.35">
      <c r="A121" t="s">
        <v>135</v>
      </c>
      <c r="B121">
        <v>97.832042227328202</v>
      </c>
      <c r="C121">
        <f t="shared" si="3"/>
        <v>95.764735634926907</v>
      </c>
      <c r="D121">
        <v>22.083467953183</v>
      </c>
      <c r="E121">
        <f t="shared" si="4"/>
        <v>25.413498194615016</v>
      </c>
      <c r="F121">
        <f t="shared" si="5"/>
        <v>17.306961369186563</v>
      </c>
      <c r="G121">
        <v>0</v>
      </c>
      <c r="H121">
        <v>97.832042227328202</v>
      </c>
    </row>
    <row r="122" spans="1:8" x14ac:dyDescent="0.35">
      <c r="A122" t="s">
        <v>136</v>
      </c>
      <c r="B122">
        <v>97.898419865526606</v>
      </c>
      <c r="C122">
        <f t="shared" si="3"/>
        <v>95.965851691080644</v>
      </c>
      <c r="D122">
        <v>21.609753503034899</v>
      </c>
      <c r="E122">
        <f t="shared" si="4"/>
        <v>25.326491197369762</v>
      </c>
      <c r="F122">
        <f t="shared" si="5"/>
        <v>17.156938585783077</v>
      </c>
      <c r="G122">
        <v>0</v>
      </c>
      <c r="H122">
        <v>97.898419865526606</v>
      </c>
    </row>
    <row r="123" spans="1:8" x14ac:dyDescent="0.35">
      <c r="A123" t="s">
        <v>137</v>
      </c>
      <c r="B123">
        <v>98.234976448962001</v>
      </c>
      <c r="C123">
        <f t="shared" si="3"/>
        <v>96.206388204927705</v>
      </c>
      <c r="D123">
        <v>21.0457879157969</v>
      </c>
      <c r="E123">
        <f t="shared" si="4"/>
        <v>24.885336939360332</v>
      </c>
      <c r="F123">
        <f t="shared" si="5"/>
        <v>16.399393496057314</v>
      </c>
      <c r="G123">
        <v>0</v>
      </c>
      <c r="H123">
        <v>98.234976448962001</v>
      </c>
    </row>
    <row r="124" spans="1:8" x14ac:dyDescent="0.35">
      <c r="A124" t="s">
        <v>138</v>
      </c>
      <c r="B124">
        <v>98.250446014751802</v>
      </c>
      <c r="C124">
        <f t="shared" si="3"/>
        <v>96.469351783673318</v>
      </c>
      <c r="D124">
        <v>20.4324574252689</v>
      </c>
      <c r="E124">
        <f t="shared" si="4"/>
        <v>24.865059621507665</v>
      </c>
      <c r="F124">
        <f t="shared" si="5"/>
        <v>16.36469827390664</v>
      </c>
      <c r="G124">
        <v>0</v>
      </c>
      <c r="H124">
        <v>98.250446014751802</v>
      </c>
    </row>
    <row r="125" spans="1:8" x14ac:dyDescent="0.35">
      <c r="A125" t="s">
        <v>139</v>
      </c>
      <c r="B125">
        <v>96.877085535032194</v>
      </c>
      <c r="C125">
        <f t="shared" si="3"/>
        <v>96.534346093345448</v>
      </c>
      <c r="D125">
        <v>20.281381125061799</v>
      </c>
      <c r="E125">
        <f t="shared" si="4"/>
        <v>26.66524376060795</v>
      </c>
      <c r="F125">
        <f t="shared" si="5"/>
        <v>19.488052023719824</v>
      </c>
      <c r="G125">
        <v>0</v>
      </c>
      <c r="H125">
        <v>96.877085535032194</v>
      </c>
    </row>
    <row r="126" spans="1:8" x14ac:dyDescent="0.35">
      <c r="A126" t="s">
        <v>140</v>
      </c>
      <c r="B126">
        <v>95.364328834056806</v>
      </c>
      <c r="C126">
        <f t="shared" si="3"/>
        <v>96.454999797192571</v>
      </c>
      <c r="D126">
        <v>20.465845404642501</v>
      </c>
      <c r="E126">
        <f t="shared" si="4"/>
        <v>28.6481467635905</v>
      </c>
      <c r="F126">
        <f t="shared" si="5"/>
        <v>23.032546374816246</v>
      </c>
      <c r="G126">
        <v>0</v>
      </c>
      <c r="H126">
        <v>95.364328834056806</v>
      </c>
    </row>
    <row r="127" spans="1:8" x14ac:dyDescent="0.35">
      <c r="A127" t="s">
        <v>141</v>
      </c>
      <c r="B127">
        <v>94.317387533320499</v>
      </c>
      <c r="C127">
        <f t="shared" si="3"/>
        <v>96.311959513623194</v>
      </c>
      <c r="D127">
        <v>20.799153317267098</v>
      </c>
      <c r="E127">
        <f t="shared" si="4"/>
        <v>30.020464630593132</v>
      </c>
      <c r="F127">
        <f t="shared" si="5"/>
        <v>25.55217676475559</v>
      </c>
      <c r="G127">
        <v>0</v>
      </c>
      <c r="H127">
        <v>94.317387533320499</v>
      </c>
    </row>
    <row r="128" spans="1:8" x14ac:dyDescent="0.35">
      <c r="A128" t="s">
        <v>142</v>
      </c>
      <c r="B128">
        <v>95.145112336871705</v>
      </c>
      <c r="C128">
        <f t="shared" si="3"/>
        <v>96.253516472140234</v>
      </c>
      <c r="D128">
        <v>20.9356204951224</v>
      </c>
      <c r="E128">
        <f t="shared" si="4"/>
        <v>28.935493070033154</v>
      </c>
      <c r="F128">
        <f t="shared" si="5"/>
        <v>23.555535934054696</v>
      </c>
      <c r="G128">
        <v>0</v>
      </c>
      <c r="H128">
        <v>95.145112336871705</v>
      </c>
    </row>
    <row r="129" spans="1:8" x14ac:dyDescent="0.35">
      <c r="A129" t="s">
        <v>143</v>
      </c>
      <c r="B129">
        <v>96.981183610423997</v>
      </c>
      <c r="C129">
        <f t="shared" si="3"/>
        <v>96.280434597993548</v>
      </c>
      <c r="D129">
        <v>20.872744858217601</v>
      </c>
      <c r="E129">
        <f t="shared" si="4"/>
        <v>26.528793275102899</v>
      </c>
      <c r="F129">
        <f t="shared" si="5"/>
        <v>19.248209392636078</v>
      </c>
      <c r="G129">
        <v>0</v>
      </c>
      <c r="H129">
        <v>96.981183610423997</v>
      </c>
    </row>
    <row r="130" spans="1:8" x14ac:dyDescent="0.35">
      <c r="A130" t="s">
        <v>144</v>
      </c>
      <c r="B130">
        <v>96.760019144796402</v>
      </c>
      <c r="C130">
        <f t="shared" si="3"/>
        <v>96.186241227140343</v>
      </c>
      <c r="D130">
        <v>21.0929165949312</v>
      </c>
      <c r="E130">
        <f t="shared" si="4"/>
        <v>26.818692954782534</v>
      </c>
      <c r="F130">
        <f t="shared" si="5"/>
        <v>19.758390238262059</v>
      </c>
      <c r="G130">
        <v>0</v>
      </c>
      <c r="H130">
        <v>96.760019144796402</v>
      </c>
    </row>
    <row r="131" spans="1:8" x14ac:dyDescent="0.35">
      <c r="A131" t="s">
        <v>145</v>
      </c>
      <c r="B131">
        <v>96.924166522213397</v>
      </c>
      <c r="C131">
        <f t="shared" si="3"/>
        <v>94.872023074143456</v>
      </c>
      <c r="D131">
        <v>24.210431733414801</v>
      </c>
      <c r="E131">
        <f t="shared" si="4"/>
        <v>26.60353057777769</v>
      </c>
      <c r="F131">
        <f t="shared" si="5"/>
        <v>19.379513316341988</v>
      </c>
      <c r="G131">
        <v>0</v>
      </c>
      <c r="H131">
        <v>96.924166522213397</v>
      </c>
    </row>
    <row r="132" spans="1:8" x14ac:dyDescent="0.35">
      <c r="A132" t="s">
        <v>146</v>
      </c>
      <c r="B132">
        <v>92.035587652251195</v>
      </c>
      <c r="C132">
        <f t="shared" si="3"/>
        <v>92.757143588716204</v>
      </c>
      <c r="D132">
        <v>29.412694938656099</v>
      </c>
      <c r="E132">
        <f t="shared" si="4"/>
        <v>33.011420038994366</v>
      </c>
      <c r="F132">
        <f t="shared" si="5"/>
        <v>31.242307245545476</v>
      </c>
      <c r="G132">
        <v>0</v>
      </c>
      <c r="H132">
        <v>92.035587652251195</v>
      </c>
    </row>
    <row r="133" spans="1:8" x14ac:dyDescent="0.35">
      <c r="A133" t="s">
        <v>147</v>
      </c>
      <c r="B133">
        <v>89.830729237174594</v>
      </c>
      <c r="C133">
        <f t="shared" si="3"/>
        <v>91.382545236215947</v>
      </c>
      <c r="D133">
        <v>32.923101578848701</v>
      </c>
      <c r="E133">
        <f t="shared" si="4"/>
        <v>35.901521513731034</v>
      </c>
      <c r="F133">
        <f t="shared" si="5"/>
        <v>37.015183075903643</v>
      </c>
      <c r="G133">
        <v>0</v>
      </c>
      <c r="H133">
        <v>89.830729237174594</v>
      </c>
    </row>
    <row r="134" spans="1:8" x14ac:dyDescent="0.35">
      <c r="A134" t="s">
        <v>148</v>
      </c>
      <c r="B134">
        <v>89.830729237174594</v>
      </c>
      <c r="C134">
        <f t="shared" si="3"/>
        <v>91.684790073050621</v>
      </c>
      <c r="D134">
        <v>32.142210303991497</v>
      </c>
      <c r="E134">
        <f t="shared" si="4"/>
        <v>35.901521513731034</v>
      </c>
      <c r="F134">
        <f t="shared" si="5"/>
        <v>37.015183075903643</v>
      </c>
      <c r="G134">
        <v>0</v>
      </c>
      <c r="H134">
        <v>89.830729237174594</v>
      </c>
    </row>
    <row r="135" spans="1:8" x14ac:dyDescent="0.35">
      <c r="A135" t="s">
        <v>149</v>
      </c>
      <c r="B135">
        <v>91.972532974476195</v>
      </c>
      <c r="C135">
        <f t="shared" si="3"/>
        <v>91.495220730629299</v>
      </c>
      <c r="D135">
        <v>32.631385721304099</v>
      </c>
      <c r="E135">
        <f t="shared" si="4"/>
        <v>33.094071340311707</v>
      </c>
      <c r="F135">
        <f t="shared" si="5"/>
        <v>31.403555714000547</v>
      </c>
      <c r="G135">
        <v>0</v>
      </c>
      <c r="H135">
        <v>91.972532974476195</v>
      </c>
    </row>
    <row r="136" spans="1:8" x14ac:dyDescent="0.35">
      <c r="A136" t="s">
        <v>150</v>
      </c>
      <c r="B136">
        <v>91.972532974476195</v>
      </c>
      <c r="C136">
        <f t="shared" si="3"/>
        <v>91.131549171217017</v>
      </c>
      <c r="D136">
        <v>33.575521381364801</v>
      </c>
      <c r="E136">
        <f t="shared" si="4"/>
        <v>33.094071340311707</v>
      </c>
      <c r="F136">
        <f t="shared" si="5"/>
        <v>31.403555714000547</v>
      </c>
      <c r="G136">
        <v>0</v>
      </c>
      <c r="H136">
        <v>91.972532974476195</v>
      </c>
    </row>
    <row r="137" spans="1:8" x14ac:dyDescent="0.35">
      <c r="A137" t="s">
        <v>151</v>
      </c>
      <c r="B137">
        <v>91.972532974476195</v>
      </c>
      <c r="C137">
        <f t="shared" ref="C137:C200" si="6">$B$2/(1+$B$4*((D137/100)/$B$3))</f>
        <v>90.79324118353388</v>
      </c>
      <c r="D137">
        <v>34.460600721793199</v>
      </c>
      <c r="E137">
        <f t="shared" ref="E137:E200" si="7" xml:space="preserve"> (117.22 - B137)/0.7629</f>
        <v>33.094071340311707</v>
      </c>
      <c r="F137">
        <f t="shared" ref="F137:F200" si="8" xml:space="preserve"> ((($B$3 *($B$2-B137))/($B$4*B137)))*100</f>
        <v>31.403555714000547</v>
      </c>
      <c r="G137">
        <v>0</v>
      </c>
      <c r="H137">
        <v>91.972532974476195</v>
      </c>
    </row>
    <row r="138" spans="1:8" x14ac:dyDescent="0.35">
      <c r="A138" t="s">
        <v>152</v>
      </c>
      <c r="B138">
        <v>91.517469022951005</v>
      </c>
      <c r="C138">
        <f t="shared" si="6"/>
        <v>90.961601334036942</v>
      </c>
      <c r="D138">
        <v>34.0193149623856</v>
      </c>
      <c r="E138">
        <f t="shared" si="7"/>
        <v>33.690563608662991</v>
      </c>
      <c r="F138">
        <f t="shared" si="8"/>
        <v>32.573870009791065</v>
      </c>
      <c r="G138">
        <v>0</v>
      </c>
      <c r="H138">
        <v>91.517469022951005</v>
      </c>
    </row>
    <row r="139" spans="1:8" x14ac:dyDescent="0.35">
      <c r="A139" t="s">
        <v>153</v>
      </c>
      <c r="B139">
        <v>91.0624050714258</v>
      </c>
      <c r="C139">
        <f t="shared" si="6"/>
        <v>90.455659666923893</v>
      </c>
      <c r="D139">
        <v>35.350378631574301</v>
      </c>
      <c r="E139">
        <f t="shared" si="7"/>
        <v>34.287055877014282</v>
      </c>
      <c r="F139">
        <f t="shared" si="8"/>
        <v>33.755881072157266</v>
      </c>
      <c r="G139">
        <v>0</v>
      </c>
      <c r="H139">
        <v>91.0624050714258</v>
      </c>
    </row>
    <row r="140" spans="1:8" x14ac:dyDescent="0.35">
      <c r="A140" t="s">
        <v>154</v>
      </c>
      <c r="B140">
        <v>90.607341119900596</v>
      </c>
      <c r="C140">
        <f t="shared" si="6"/>
        <v>90.752448040392522</v>
      </c>
      <c r="D140">
        <v>34.567769313829501</v>
      </c>
      <c r="E140">
        <f t="shared" si="7"/>
        <v>34.88354814536558</v>
      </c>
      <c r="F140">
        <f t="shared" si="8"/>
        <v>34.949765137707061</v>
      </c>
      <c r="G140">
        <v>0</v>
      </c>
      <c r="H140">
        <v>90.607341119900596</v>
      </c>
    </row>
    <row r="141" spans="1:8" x14ac:dyDescent="0.35">
      <c r="A141" t="s">
        <v>155</v>
      </c>
      <c r="B141">
        <v>90.607341119900596</v>
      </c>
      <c r="C141">
        <f t="shared" si="6"/>
        <v>91.094447804199589</v>
      </c>
      <c r="D141">
        <v>33.672264810191301</v>
      </c>
      <c r="E141">
        <f t="shared" si="7"/>
        <v>34.88354814536558</v>
      </c>
      <c r="F141">
        <f t="shared" si="8"/>
        <v>34.949765137707061</v>
      </c>
      <c r="G141">
        <v>0</v>
      </c>
      <c r="H141">
        <v>90.607341119900596</v>
      </c>
    </row>
    <row r="142" spans="1:8" x14ac:dyDescent="0.35">
      <c r="A142" t="s">
        <v>156</v>
      </c>
      <c r="B142">
        <v>90.244455677829706</v>
      </c>
      <c r="C142">
        <f t="shared" si="6"/>
        <v>90.946716895001032</v>
      </c>
      <c r="D142">
        <v>34.058262461225901</v>
      </c>
      <c r="E142">
        <f t="shared" si="7"/>
        <v>35.359213949626806</v>
      </c>
      <c r="F142">
        <f t="shared" si="8"/>
        <v>35.910443158485464</v>
      </c>
      <c r="G142">
        <v>0</v>
      </c>
      <c r="H142">
        <v>90.244455677829706</v>
      </c>
    </row>
    <row r="143" spans="1:8" x14ac:dyDescent="0.35">
      <c r="A143" t="s">
        <v>157</v>
      </c>
      <c r="B143">
        <v>89.881570235758801</v>
      </c>
      <c r="C143">
        <f t="shared" si="6"/>
        <v>90.615639392430751</v>
      </c>
      <c r="D143">
        <v>34.927886847788798</v>
      </c>
      <c r="E143">
        <f t="shared" si="7"/>
        <v>35.834879753888053</v>
      </c>
      <c r="F143">
        <f t="shared" si="8"/>
        <v>36.87887841063722</v>
      </c>
      <c r="G143">
        <v>0</v>
      </c>
      <c r="H143">
        <v>89.881570235758801</v>
      </c>
    </row>
    <row r="144" spans="1:8" x14ac:dyDescent="0.35">
      <c r="A144" t="s">
        <v>158</v>
      </c>
      <c r="B144">
        <v>91.005583452012701</v>
      </c>
      <c r="C144">
        <f t="shared" si="6"/>
        <v>90.543638887689283</v>
      </c>
      <c r="D144">
        <v>35.117848816544999</v>
      </c>
      <c r="E144">
        <f t="shared" si="7"/>
        <v>34.361536961577265</v>
      </c>
      <c r="F144">
        <f t="shared" si="8"/>
        <v>33.904303207995497</v>
      </c>
      <c r="G144">
        <v>0</v>
      </c>
      <c r="H144">
        <v>91.005583452012701</v>
      </c>
    </row>
    <row r="145" spans="1:8" x14ac:dyDescent="0.35">
      <c r="A145" t="s">
        <v>159</v>
      </c>
      <c r="B145">
        <v>91.339803604534794</v>
      </c>
      <c r="C145">
        <f t="shared" si="6"/>
        <v>90.732270651802267</v>
      </c>
      <c r="D145">
        <v>34.620813410053501</v>
      </c>
      <c r="E145">
        <f t="shared" si="7"/>
        <v>33.923445268665887</v>
      </c>
      <c r="F145">
        <f t="shared" si="8"/>
        <v>33.033947571944147</v>
      </c>
      <c r="G145">
        <v>0</v>
      </c>
      <c r="H145">
        <v>91.339803604534794</v>
      </c>
    </row>
    <row r="146" spans="1:8" x14ac:dyDescent="0.35">
      <c r="A146" t="s">
        <v>160</v>
      </c>
      <c r="B146">
        <v>91.505824583556503</v>
      </c>
      <c r="C146">
        <f t="shared" si="6"/>
        <v>91.839913849454746</v>
      </c>
      <c r="D146">
        <v>31.7434225339444</v>
      </c>
      <c r="E146">
        <f t="shared" si="7"/>
        <v>33.705826997566518</v>
      </c>
      <c r="F146">
        <f t="shared" si="8"/>
        <v>32.603969425820011</v>
      </c>
      <c r="G146">
        <v>0</v>
      </c>
      <c r="H146">
        <v>91.505824583556503</v>
      </c>
    </row>
    <row r="147" spans="1:8" x14ac:dyDescent="0.35">
      <c r="A147" t="s">
        <v>161</v>
      </c>
      <c r="B147">
        <v>90.933770447962701</v>
      </c>
      <c r="C147">
        <f t="shared" si="6"/>
        <v>92.038244252822537</v>
      </c>
      <c r="D147">
        <v>31.2355184243332</v>
      </c>
      <c r="E147">
        <f t="shared" si="7"/>
        <v>34.455668569979416</v>
      </c>
      <c r="F147">
        <f t="shared" si="8"/>
        <v>34.092149264300829</v>
      </c>
      <c r="G147">
        <v>0</v>
      </c>
      <c r="H147">
        <v>90.933770447962701</v>
      </c>
    </row>
    <row r="148" spans="1:8" x14ac:dyDescent="0.35">
      <c r="A148" t="s">
        <v>162</v>
      </c>
      <c r="B148">
        <v>90.667362827212102</v>
      </c>
      <c r="C148">
        <f t="shared" si="6"/>
        <v>91.89890358777167</v>
      </c>
      <c r="D148">
        <v>31.592126725388798</v>
      </c>
      <c r="E148">
        <f t="shared" si="7"/>
        <v>34.804872424679374</v>
      </c>
      <c r="F148">
        <f t="shared" si="8"/>
        <v>34.791608945846086</v>
      </c>
      <c r="G148">
        <v>0</v>
      </c>
      <c r="H148">
        <v>90.667362827212102</v>
      </c>
    </row>
    <row r="149" spans="1:8" x14ac:dyDescent="0.35">
      <c r="A149" t="s">
        <v>163</v>
      </c>
      <c r="B149">
        <v>90.080000950559693</v>
      </c>
      <c r="C149">
        <f t="shared" si="6"/>
        <v>91.776769651372561</v>
      </c>
      <c r="D149">
        <v>31.905589145333199</v>
      </c>
      <c r="E149">
        <f t="shared" si="7"/>
        <v>35.574779197064238</v>
      </c>
      <c r="F149">
        <f t="shared" si="8"/>
        <v>36.348358010523043</v>
      </c>
      <c r="G149">
        <v>0</v>
      </c>
      <c r="H149">
        <v>90.080000950559693</v>
      </c>
    </row>
    <row r="150" spans="1:8" x14ac:dyDescent="0.35">
      <c r="A150" t="s">
        <v>164</v>
      </c>
      <c r="B150">
        <v>90.371735268587699</v>
      </c>
      <c r="C150">
        <f t="shared" si="6"/>
        <v>91.874551133194586</v>
      </c>
      <c r="D150">
        <v>31.654561910888798</v>
      </c>
      <c r="E150">
        <f t="shared" si="7"/>
        <v>35.192377416977713</v>
      </c>
      <c r="F150">
        <f t="shared" si="8"/>
        <v>35.572613445868726</v>
      </c>
      <c r="G150">
        <v>0</v>
      </c>
      <c r="H150">
        <v>90.371735268587699</v>
      </c>
    </row>
    <row r="151" spans="1:8" x14ac:dyDescent="0.35">
      <c r="A151" t="s">
        <v>165</v>
      </c>
      <c r="B151">
        <v>90.682209063605896</v>
      </c>
      <c r="C151">
        <f t="shared" si="6"/>
        <v>91.943260995776868</v>
      </c>
      <c r="D151">
        <v>31.478487529444301</v>
      </c>
      <c r="E151">
        <f t="shared" si="7"/>
        <v>34.785412159384066</v>
      </c>
      <c r="F151">
        <f t="shared" si="8"/>
        <v>34.752521659439651</v>
      </c>
      <c r="G151">
        <v>0</v>
      </c>
      <c r="H151">
        <v>90.682209063605896</v>
      </c>
    </row>
    <row r="152" spans="1:8" x14ac:dyDescent="0.35">
      <c r="A152" t="s">
        <v>166</v>
      </c>
      <c r="B152">
        <v>91.288637215569295</v>
      </c>
      <c r="C152">
        <f t="shared" si="6"/>
        <v>91.45798987414895</v>
      </c>
      <c r="D152">
        <v>32.727696565735997</v>
      </c>
      <c r="E152">
        <f t="shared" si="7"/>
        <v>33.990513546245516</v>
      </c>
      <c r="F152">
        <f t="shared" si="8"/>
        <v>33.166778802320309</v>
      </c>
      <c r="G152">
        <v>0</v>
      </c>
      <c r="H152">
        <v>91.288637215569295</v>
      </c>
    </row>
    <row r="153" spans="1:8" x14ac:dyDescent="0.35">
      <c r="A153" t="s">
        <v>167</v>
      </c>
      <c r="B153">
        <v>88.940882412275599</v>
      </c>
      <c r="C153">
        <f t="shared" si="6"/>
        <v>90.593788767738886</v>
      </c>
      <c r="D153">
        <v>34.985504359694303</v>
      </c>
      <c r="E153">
        <f t="shared" si="7"/>
        <v>37.067921860957398</v>
      </c>
      <c r="F153">
        <f t="shared" si="8"/>
        <v>39.426093755180375</v>
      </c>
      <c r="G153">
        <v>0</v>
      </c>
      <c r="H153">
        <v>88.940882412275599</v>
      </c>
    </row>
    <row r="154" spans="1:8" x14ac:dyDescent="0.35">
      <c r="A154" t="s">
        <v>168</v>
      </c>
      <c r="B154">
        <v>89.794067552010503</v>
      </c>
      <c r="C154">
        <f t="shared" si="6"/>
        <v>90.166595107317534</v>
      </c>
      <c r="D154">
        <v>36.117573445284599</v>
      </c>
      <c r="E154">
        <f t="shared" si="7"/>
        <v>35.949577202765099</v>
      </c>
      <c r="F154">
        <f t="shared" si="8"/>
        <v>37.113568798133159</v>
      </c>
      <c r="G154">
        <v>0</v>
      </c>
      <c r="H154">
        <v>89.794067552010503</v>
      </c>
    </row>
    <row r="155" spans="1:8" x14ac:dyDescent="0.35">
      <c r="A155" t="s">
        <v>169</v>
      </c>
      <c r="B155">
        <v>89.794067552010503</v>
      </c>
      <c r="C155">
        <f t="shared" si="6"/>
        <v>90.643062020971698</v>
      </c>
      <c r="D155">
        <v>34.855615928611002</v>
      </c>
      <c r="E155">
        <f t="shared" si="7"/>
        <v>35.949577202765099</v>
      </c>
      <c r="F155">
        <f t="shared" si="8"/>
        <v>37.113568798133159</v>
      </c>
      <c r="G155">
        <v>0</v>
      </c>
      <c r="H155">
        <v>89.794067552010503</v>
      </c>
    </row>
    <row r="156" spans="1:8" x14ac:dyDescent="0.35">
      <c r="A156" t="s">
        <v>170</v>
      </c>
      <c r="B156">
        <v>90.647252691745507</v>
      </c>
      <c r="C156">
        <f t="shared" si="6"/>
        <v>90.439411661937598</v>
      </c>
      <c r="D156">
        <v>35.393371734930398</v>
      </c>
      <c r="E156">
        <f t="shared" si="7"/>
        <v>34.831232544572671</v>
      </c>
      <c r="F156">
        <f t="shared" si="8"/>
        <v>34.844575484241552</v>
      </c>
      <c r="G156">
        <v>0</v>
      </c>
      <c r="H156">
        <v>90.647252691745507</v>
      </c>
    </row>
    <row r="157" spans="1:8" x14ac:dyDescent="0.35">
      <c r="A157" t="s">
        <v>171</v>
      </c>
      <c r="B157">
        <v>88.997056995398097</v>
      </c>
      <c r="C157">
        <f t="shared" si="6"/>
        <v>89.867937639034963</v>
      </c>
      <c r="D157">
        <v>36.915412255999399</v>
      </c>
      <c r="E157">
        <f t="shared" si="7"/>
        <v>36.994288903659587</v>
      </c>
      <c r="F157">
        <f t="shared" si="8"/>
        <v>39.272471193215267</v>
      </c>
      <c r="G157">
        <v>0</v>
      </c>
      <c r="H157">
        <v>88.997056995398097</v>
      </c>
    </row>
    <row r="158" spans="1:8" x14ac:dyDescent="0.35">
      <c r="A158" t="s">
        <v>172</v>
      </c>
      <c r="B158">
        <v>89.289277592101101</v>
      </c>
      <c r="C158">
        <f t="shared" si="6"/>
        <v>90.00112103091503</v>
      </c>
      <c r="D158">
        <v>36.5589696569632</v>
      </c>
      <c r="E158">
        <f t="shared" si="7"/>
        <v>36.611249715426524</v>
      </c>
      <c r="F158">
        <f t="shared" si="8"/>
        <v>38.476443653017775</v>
      </c>
      <c r="G158">
        <v>0</v>
      </c>
      <c r="H158">
        <v>89.289277592101101</v>
      </c>
    </row>
    <row r="159" spans="1:8" x14ac:dyDescent="0.35">
      <c r="A159" t="s">
        <v>173</v>
      </c>
      <c r="B159">
        <v>89.899021328055696</v>
      </c>
      <c r="C159">
        <f t="shared" si="6"/>
        <v>90.392244942785553</v>
      </c>
      <c r="D159">
        <v>35.518264992157199</v>
      </c>
      <c r="E159">
        <f t="shared" si="7"/>
        <v>35.812005075297293</v>
      </c>
      <c r="F159">
        <f t="shared" si="8"/>
        <v>36.832127591431444</v>
      </c>
      <c r="G159">
        <v>0</v>
      </c>
      <c r="H159">
        <v>89.899021328055696</v>
      </c>
    </row>
    <row r="160" spans="1:8" x14ac:dyDescent="0.35">
      <c r="A160" t="s">
        <v>174</v>
      </c>
      <c r="B160">
        <v>90.327491650394506</v>
      </c>
      <c r="C160">
        <f t="shared" si="6"/>
        <v>89.912180594746815</v>
      </c>
      <c r="D160">
        <v>36.796886413280298</v>
      </c>
      <c r="E160">
        <f t="shared" si="7"/>
        <v>35.250371411201328</v>
      </c>
      <c r="F160">
        <f t="shared" si="8"/>
        <v>35.689938371844491</v>
      </c>
      <c r="G160">
        <v>0</v>
      </c>
      <c r="H160">
        <v>90.327491650394506</v>
      </c>
    </row>
    <row r="161" spans="1:8" x14ac:dyDescent="0.35">
      <c r="A161" t="s">
        <v>175</v>
      </c>
      <c r="B161">
        <v>90.195765692442606</v>
      </c>
      <c r="C161">
        <f t="shared" si="6"/>
        <v>89.747564267967334</v>
      </c>
      <c r="D161">
        <v>37.2384811923638</v>
      </c>
      <c r="E161">
        <f t="shared" si="7"/>
        <v>35.423036187648961</v>
      </c>
      <c r="F161">
        <f t="shared" si="8"/>
        <v>36.039929866384789</v>
      </c>
      <c r="G161">
        <v>0</v>
      </c>
      <c r="H161">
        <v>90.195765692442606</v>
      </c>
    </row>
    <row r="162" spans="1:8" x14ac:dyDescent="0.35">
      <c r="A162" t="s">
        <v>176</v>
      </c>
      <c r="B162">
        <v>89.555255527380396</v>
      </c>
      <c r="C162">
        <f t="shared" si="6"/>
        <v>89.789659020165175</v>
      </c>
      <c r="D162">
        <v>37.1254049966279</v>
      </c>
      <c r="E162">
        <f t="shared" si="7"/>
        <v>36.262609087193084</v>
      </c>
      <c r="F162">
        <f t="shared" si="8"/>
        <v>37.756418864233751</v>
      </c>
      <c r="G162">
        <v>0</v>
      </c>
      <c r="H162">
        <v>89.555255527380396</v>
      </c>
    </row>
    <row r="163" spans="1:8" x14ac:dyDescent="0.35">
      <c r="A163" t="s">
        <v>177</v>
      </c>
      <c r="B163">
        <v>89.161740558062306</v>
      </c>
      <c r="C163">
        <f t="shared" si="6"/>
        <v>89.862086789727726</v>
      </c>
      <c r="D163">
        <v>36.931095282001898</v>
      </c>
      <c r="E163">
        <f t="shared" si="7"/>
        <v>36.77842370158303</v>
      </c>
      <c r="F163">
        <f t="shared" si="8"/>
        <v>38.823220976679288</v>
      </c>
      <c r="G163">
        <v>0</v>
      </c>
      <c r="H163">
        <v>89.161740558062306</v>
      </c>
    </row>
    <row r="164" spans="1:8" x14ac:dyDescent="0.35">
      <c r="A164" t="s">
        <v>178</v>
      </c>
      <c r="B164">
        <v>89.216171175610995</v>
      </c>
      <c r="C164">
        <f t="shared" si="6"/>
        <v>89.705373573244373</v>
      </c>
      <c r="D164">
        <v>37.351921598185697</v>
      </c>
      <c r="E164">
        <f t="shared" si="7"/>
        <v>36.707076713054143</v>
      </c>
      <c r="F164">
        <f t="shared" si="8"/>
        <v>38.675101091240634</v>
      </c>
      <c r="G164">
        <v>0</v>
      </c>
      <c r="H164">
        <v>89.216171175610995</v>
      </c>
    </row>
    <row r="165" spans="1:8" x14ac:dyDescent="0.35">
      <c r="A165" t="s">
        <v>179</v>
      </c>
      <c r="B165">
        <v>89.231262260970198</v>
      </c>
      <c r="C165">
        <f t="shared" si="6"/>
        <v>90.052552733769375</v>
      </c>
      <c r="D165">
        <v>36.421603679425097</v>
      </c>
      <c r="E165">
        <f t="shared" si="7"/>
        <v>36.68729550272618</v>
      </c>
      <c r="F165">
        <f t="shared" si="8"/>
        <v>38.634066313755369</v>
      </c>
      <c r="G165">
        <v>0</v>
      </c>
      <c r="H165">
        <v>89.231262260970198</v>
      </c>
    </row>
    <row r="166" spans="1:8" x14ac:dyDescent="0.35">
      <c r="A166" t="s">
        <v>180</v>
      </c>
      <c r="B166">
        <v>89.295931864225295</v>
      </c>
      <c r="C166">
        <f t="shared" si="6"/>
        <v>90.265020308091223</v>
      </c>
      <c r="D166">
        <v>35.855795303946202</v>
      </c>
      <c r="E166">
        <f t="shared" si="7"/>
        <v>36.60252737681833</v>
      </c>
      <c r="F166">
        <f t="shared" si="8"/>
        <v>38.458377661628987</v>
      </c>
      <c r="G166">
        <v>0</v>
      </c>
      <c r="H166">
        <v>89.295931864225295</v>
      </c>
    </row>
    <row r="167" spans="1:8" x14ac:dyDescent="0.35">
      <c r="A167" t="s">
        <v>181</v>
      </c>
      <c r="B167">
        <v>88.950729600581099</v>
      </c>
      <c r="C167">
        <f t="shared" si="6"/>
        <v>89.697078359281576</v>
      </c>
      <c r="D167">
        <v>37.374237942877102</v>
      </c>
      <c r="E167">
        <f t="shared" si="7"/>
        <v>37.055014286825141</v>
      </c>
      <c r="F167">
        <f t="shared" si="8"/>
        <v>39.399150285671368</v>
      </c>
      <c r="G167">
        <v>0</v>
      </c>
      <c r="H167">
        <v>88.950729600581099</v>
      </c>
    </row>
    <row r="168" spans="1:8" x14ac:dyDescent="0.35">
      <c r="A168" t="s">
        <v>182</v>
      </c>
      <c r="B168">
        <v>88.822729750777</v>
      </c>
      <c r="C168">
        <f t="shared" si="6"/>
        <v>89.58211451797348</v>
      </c>
      <c r="D168">
        <v>37.683946984656302</v>
      </c>
      <c r="E168">
        <f t="shared" si="7"/>
        <v>37.222794926232794</v>
      </c>
      <c r="F168">
        <f t="shared" si="8"/>
        <v>39.749844058321031</v>
      </c>
      <c r="G168">
        <v>0</v>
      </c>
      <c r="H168">
        <v>88.822729750777</v>
      </c>
    </row>
    <row r="169" spans="1:8" x14ac:dyDescent="0.35">
      <c r="A169" t="s">
        <v>183</v>
      </c>
      <c r="B169">
        <v>88.822729750777</v>
      </c>
      <c r="C169">
        <f t="shared" si="6"/>
        <v>89.59622393908991</v>
      </c>
      <c r="D169">
        <v>37.645893852925099</v>
      </c>
      <c r="E169">
        <f t="shared" si="7"/>
        <v>37.222794926232794</v>
      </c>
      <c r="F169">
        <f t="shared" si="8"/>
        <v>39.749844058321031</v>
      </c>
      <c r="G169">
        <v>0</v>
      </c>
      <c r="H169">
        <v>88.822729750777</v>
      </c>
    </row>
    <row r="170" spans="1:8" x14ac:dyDescent="0.35">
      <c r="A170" t="s">
        <v>184</v>
      </c>
      <c r="B170">
        <v>89.194430847857305</v>
      </c>
      <c r="C170">
        <f t="shared" si="6"/>
        <v>89.020914284701234</v>
      </c>
      <c r="D170">
        <v>39.207286499989003</v>
      </c>
      <c r="E170">
        <f t="shared" si="7"/>
        <v>36.735573669082044</v>
      </c>
      <c r="F170">
        <f t="shared" si="8"/>
        <v>38.734240501888408</v>
      </c>
      <c r="G170">
        <v>0</v>
      </c>
      <c r="H170">
        <v>89.194430847857305</v>
      </c>
    </row>
    <row r="171" spans="1:8" x14ac:dyDescent="0.35">
      <c r="A171" t="s">
        <v>185</v>
      </c>
      <c r="B171">
        <v>89.701099698088598</v>
      </c>
      <c r="C171">
        <f t="shared" si="6"/>
        <v>89.205414962242173</v>
      </c>
      <c r="D171">
        <v>38.704357218372998</v>
      </c>
      <c r="E171">
        <f t="shared" si="7"/>
        <v>36.071438329940229</v>
      </c>
      <c r="F171">
        <f t="shared" si="8"/>
        <v>37.363418950245354</v>
      </c>
      <c r="G171">
        <v>0</v>
      </c>
      <c r="H171">
        <v>89.701099698088598</v>
      </c>
    </row>
    <row r="172" spans="1:8" x14ac:dyDescent="0.35">
      <c r="A172" t="s">
        <v>186</v>
      </c>
      <c r="B172">
        <v>90.218519675452796</v>
      </c>
      <c r="C172">
        <f t="shared" si="6"/>
        <v>89.637518124054793</v>
      </c>
      <c r="D172">
        <v>37.534592205244998</v>
      </c>
      <c r="E172">
        <f t="shared" si="7"/>
        <v>35.393210544694192</v>
      </c>
      <c r="F172">
        <f t="shared" si="8"/>
        <v>35.979400265873956</v>
      </c>
      <c r="G172">
        <v>0</v>
      </c>
      <c r="H172">
        <v>90.218519675452796</v>
      </c>
    </row>
    <row r="173" spans="1:8" x14ac:dyDescent="0.35">
      <c r="A173" t="s">
        <v>187</v>
      </c>
      <c r="B173">
        <v>90.674413834479793</v>
      </c>
      <c r="C173">
        <f t="shared" si="6"/>
        <v>89.758108072993721</v>
      </c>
      <c r="D173">
        <v>37.210148148726198</v>
      </c>
      <c r="E173">
        <f t="shared" si="7"/>
        <v>34.795630050491816</v>
      </c>
      <c r="F173">
        <f t="shared" si="8"/>
        <v>34.773043403253205</v>
      </c>
      <c r="G173">
        <v>0</v>
      </c>
      <c r="H173">
        <v>90.674413834479793</v>
      </c>
    </row>
    <row r="174" spans="1:8" x14ac:dyDescent="0.35">
      <c r="A174" t="s">
        <v>188</v>
      </c>
      <c r="B174">
        <v>90.781662750219098</v>
      </c>
      <c r="C174">
        <f t="shared" si="6"/>
        <v>89.855006903664815</v>
      </c>
      <c r="D174">
        <v>36.950075435126202</v>
      </c>
      <c r="E174">
        <f t="shared" si="7"/>
        <v>34.655049481951629</v>
      </c>
      <c r="F174">
        <f t="shared" si="8"/>
        <v>34.491008897802196</v>
      </c>
      <c r="G174">
        <v>0</v>
      </c>
      <c r="H174">
        <v>90.781662750219098</v>
      </c>
    </row>
    <row r="175" spans="1:8" x14ac:dyDescent="0.35">
      <c r="A175" t="s">
        <v>189</v>
      </c>
      <c r="B175">
        <v>90.687071282894493</v>
      </c>
      <c r="C175">
        <f t="shared" si="6"/>
        <v>90.035073187828871</v>
      </c>
      <c r="D175">
        <v>36.4682711885836</v>
      </c>
      <c r="E175">
        <f t="shared" si="7"/>
        <v>34.77903882174008</v>
      </c>
      <c r="F175">
        <f t="shared" si="8"/>
        <v>34.739723152782823</v>
      </c>
      <c r="G175">
        <v>0</v>
      </c>
      <c r="H175">
        <v>90.687071282894493</v>
      </c>
    </row>
    <row r="176" spans="1:8" x14ac:dyDescent="0.35">
      <c r="A176" t="s">
        <v>190</v>
      </c>
      <c r="B176">
        <v>91.061416307607303</v>
      </c>
      <c r="C176">
        <f t="shared" si="6"/>
        <v>90.281177620590555</v>
      </c>
      <c r="D176">
        <v>35.812876792585598</v>
      </c>
      <c r="E176">
        <f t="shared" si="7"/>
        <v>34.288351936548295</v>
      </c>
      <c r="F176">
        <f t="shared" si="8"/>
        <v>33.758462210448506</v>
      </c>
      <c r="G176">
        <v>0</v>
      </c>
      <c r="H176">
        <v>91.061416307607303</v>
      </c>
    </row>
    <row r="177" spans="1:8" x14ac:dyDescent="0.35">
      <c r="A177" t="s">
        <v>191</v>
      </c>
      <c r="B177">
        <v>91.4314563069466</v>
      </c>
      <c r="C177">
        <f t="shared" si="6"/>
        <v>90.103196443440069</v>
      </c>
      <c r="D177">
        <v>36.286495541424202</v>
      </c>
      <c r="E177">
        <f t="shared" si="7"/>
        <v>33.803308026023593</v>
      </c>
      <c r="F177">
        <f t="shared" si="8"/>
        <v>32.796382937559962</v>
      </c>
      <c r="G177">
        <v>0</v>
      </c>
      <c r="H177">
        <v>91.4314563069466</v>
      </c>
    </row>
    <row r="178" spans="1:8" x14ac:dyDescent="0.35">
      <c r="A178" t="s">
        <v>192</v>
      </c>
      <c r="B178">
        <v>91.485121932787493</v>
      </c>
      <c r="C178">
        <f t="shared" si="6"/>
        <v>89.216810733623063</v>
      </c>
      <c r="D178">
        <v>38.6733617616187</v>
      </c>
      <c r="E178">
        <f t="shared" si="7"/>
        <v>33.732963779279729</v>
      </c>
      <c r="F178">
        <f t="shared" si="8"/>
        <v>32.657502103934739</v>
      </c>
      <c r="G178">
        <v>0</v>
      </c>
      <c r="H178">
        <v>91.485121932787493</v>
      </c>
    </row>
    <row r="179" spans="1:8" x14ac:dyDescent="0.35">
      <c r="A179" t="s">
        <v>193</v>
      </c>
      <c r="B179">
        <v>91.013532174922503</v>
      </c>
      <c r="C179">
        <f t="shared" si="6"/>
        <v>89.400956798406071</v>
      </c>
      <c r="D179">
        <v>38.173596798364102</v>
      </c>
      <c r="E179">
        <f t="shared" si="7"/>
        <v>34.35111787269301</v>
      </c>
      <c r="F179">
        <f t="shared" si="8"/>
        <v>33.883529425754467</v>
      </c>
      <c r="G179">
        <v>0</v>
      </c>
      <c r="H179">
        <v>91.013532174922503</v>
      </c>
    </row>
    <row r="180" spans="1:8" x14ac:dyDescent="0.35">
      <c r="A180" t="s">
        <v>194</v>
      </c>
      <c r="B180">
        <v>90.634028250552007</v>
      </c>
      <c r="C180">
        <f t="shared" si="6"/>
        <v>89.683495223714587</v>
      </c>
      <c r="D180">
        <v>37.410789125817097</v>
      </c>
      <c r="E180">
        <f t="shared" si="7"/>
        <v>34.848566980532169</v>
      </c>
      <c r="F180">
        <f t="shared" si="8"/>
        <v>34.879419132867454</v>
      </c>
      <c r="G180">
        <v>0</v>
      </c>
      <c r="H180">
        <v>90.634028250552007</v>
      </c>
    </row>
    <row r="181" spans="1:8" x14ac:dyDescent="0.35">
      <c r="A181" t="s">
        <v>195</v>
      </c>
      <c r="B181">
        <v>90.109500636474394</v>
      </c>
      <c r="C181">
        <f t="shared" si="6"/>
        <v>89.62875889517754</v>
      </c>
      <c r="D181">
        <v>37.5581926883549</v>
      </c>
      <c r="E181">
        <f t="shared" si="7"/>
        <v>35.536111369151399</v>
      </c>
      <c r="F181">
        <f t="shared" si="8"/>
        <v>36.269687738526166</v>
      </c>
      <c r="G181">
        <v>0</v>
      </c>
      <c r="H181">
        <v>90.109500636474394</v>
      </c>
    </row>
    <row r="182" spans="1:8" x14ac:dyDescent="0.35">
      <c r="A182" t="s">
        <v>196</v>
      </c>
      <c r="B182">
        <v>89.490174400322402</v>
      </c>
      <c r="C182">
        <f t="shared" si="6"/>
        <v>89.604637137830338</v>
      </c>
      <c r="D182">
        <v>37.623209145579402</v>
      </c>
      <c r="E182">
        <f t="shared" si="7"/>
        <v>36.34791663347437</v>
      </c>
      <c r="F182">
        <f t="shared" si="8"/>
        <v>37.932203477644457</v>
      </c>
      <c r="G182">
        <v>0</v>
      </c>
      <c r="H182">
        <v>89.490174400322402</v>
      </c>
    </row>
    <row r="183" spans="1:8" x14ac:dyDescent="0.35">
      <c r="A183" t="s">
        <v>197</v>
      </c>
      <c r="B183">
        <v>89.199831296045602</v>
      </c>
      <c r="C183">
        <f t="shared" si="6"/>
        <v>89.565558963254929</v>
      </c>
      <c r="D183">
        <v>37.728612629846602</v>
      </c>
      <c r="E183">
        <f t="shared" si="7"/>
        <v>36.72849482757163</v>
      </c>
      <c r="F183">
        <f t="shared" si="8"/>
        <v>38.719547171064498</v>
      </c>
      <c r="G183">
        <v>0</v>
      </c>
      <c r="H183">
        <v>89.199831296045602</v>
      </c>
    </row>
    <row r="184" spans="1:8" x14ac:dyDescent="0.35">
      <c r="A184" t="s">
        <v>198</v>
      </c>
      <c r="B184">
        <v>89.184466033502403</v>
      </c>
      <c r="C184">
        <f t="shared" si="6"/>
        <v>89.571327660039231</v>
      </c>
      <c r="D184">
        <v>37.71304724422</v>
      </c>
      <c r="E184">
        <f t="shared" si="7"/>
        <v>36.748635426002878</v>
      </c>
      <c r="F184">
        <f t="shared" si="8"/>
        <v>38.761357054873628</v>
      </c>
      <c r="G184">
        <v>0</v>
      </c>
      <c r="H184">
        <v>89.184466033502403</v>
      </c>
    </row>
    <row r="185" spans="1:8" x14ac:dyDescent="0.35">
      <c r="A185" t="s">
        <v>199</v>
      </c>
      <c r="B185">
        <v>89.126221299111293</v>
      </c>
      <c r="C185">
        <f t="shared" si="6"/>
        <v>89.330145175609928</v>
      </c>
      <c r="D185">
        <v>38.3655328539027</v>
      </c>
      <c r="E185">
        <f t="shared" si="7"/>
        <v>36.824981912293495</v>
      </c>
      <c r="F185">
        <f t="shared" si="8"/>
        <v>38.919975680790422</v>
      </c>
      <c r="G185">
        <v>0</v>
      </c>
      <c r="H185">
        <v>89.126221299111293</v>
      </c>
    </row>
    <row r="186" spans="1:8" x14ac:dyDescent="0.35">
      <c r="A186" t="s">
        <v>200</v>
      </c>
      <c r="B186">
        <v>89.733677954188806</v>
      </c>
      <c r="C186">
        <f t="shared" si="6"/>
        <v>89.177216765905598</v>
      </c>
      <c r="D186">
        <v>38.781087788155801</v>
      </c>
      <c r="E186">
        <f t="shared" si="7"/>
        <v>36.028735149837715</v>
      </c>
      <c r="F186">
        <f t="shared" si="8"/>
        <v>37.27580629921782</v>
      </c>
      <c r="G186">
        <v>0</v>
      </c>
      <c r="H186">
        <v>89.733677954188806</v>
      </c>
    </row>
    <row r="187" spans="1:8" x14ac:dyDescent="0.35">
      <c r="A187" t="s">
        <v>201</v>
      </c>
      <c r="B187">
        <v>89.666710369644306</v>
      </c>
      <c r="C187">
        <f t="shared" si="6"/>
        <v>89.409888222860204</v>
      </c>
      <c r="D187">
        <v>38.149409618447699</v>
      </c>
      <c r="E187">
        <f t="shared" si="7"/>
        <v>36.116515441546326</v>
      </c>
      <c r="F187">
        <f t="shared" si="8"/>
        <v>37.455971186229462</v>
      </c>
      <c r="G187">
        <v>0</v>
      </c>
      <c r="H187">
        <v>89.666710369644306</v>
      </c>
    </row>
    <row r="188" spans="1:8" x14ac:dyDescent="0.35">
      <c r="A188" t="s">
        <v>202</v>
      </c>
      <c r="B188">
        <v>90.041201073340602</v>
      </c>
      <c r="C188">
        <f t="shared" si="6"/>
        <v>89.479595378273501</v>
      </c>
      <c r="D188">
        <v>37.960801656700298</v>
      </c>
      <c r="E188">
        <f t="shared" si="7"/>
        <v>35.625637602122687</v>
      </c>
      <c r="F188">
        <f t="shared" si="8"/>
        <v>36.451908680805765</v>
      </c>
      <c r="G188">
        <v>0</v>
      </c>
      <c r="H188">
        <v>90.041201073340602</v>
      </c>
    </row>
    <row r="189" spans="1:8" x14ac:dyDescent="0.35">
      <c r="A189" t="s">
        <v>203</v>
      </c>
      <c r="B189">
        <v>90.013821772626898</v>
      </c>
      <c r="C189">
        <f t="shared" si="6"/>
        <v>89.613199741310439</v>
      </c>
      <c r="D189">
        <v>37.600125968260897</v>
      </c>
      <c r="E189">
        <f t="shared" si="7"/>
        <v>35.661526055017831</v>
      </c>
      <c r="F189">
        <f t="shared" si="8"/>
        <v>36.525033380539263</v>
      </c>
      <c r="G189">
        <v>0</v>
      </c>
      <c r="H189">
        <v>90.013821772626898</v>
      </c>
    </row>
    <row r="190" spans="1:8" x14ac:dyDescent="0.35">
      <c r="A190" t="s">
        <v>204</v>
      </c>
      <c r="B190">
        <v>91.399110910666394</v>
      </c>
      <c r="C190">
        <f t="shared" si="6"/>
        <v>89.74810555589039</v>
      </c>
      <c r="D190">
        <v>37.237026495168998</v>
      </c>
      <c r="E190">
        <f t="shared" si="7"/>
        <v>33.84570597631879</v>
      </c>
      <c r="F190">
        <f t="shared" si="8"/>
        <v>32.880168095497481</v>
      </c>
      <c r="G190">
        <v>0</v>
      </c>
      <c r="H190">
        <v>91.399110910666394</v>
      </c>
    </row>
    <row r="191" spans="1:8" x14ac:dyDescent="0.35">
      <c r="A191" t="s">
        <v>205</v>
      </c>
      <c r="B191">
        <v>91.4512834564635</v>
      </c>
      <c r="C191">
        <f t="shared" si="6"/>
        <v>89.884045256060247</v>
      </c>
      <c r="D191">
        <v>36.872246819696002</v>
      </c>
      <c r="E191">
        <f t="shared" si="7"/>
        <v>33.777318840656044</v>
      </c>
      <c r="F191">
        <f t="shared" si="8"/>
        <v>32.745053433963299</v>
      </c>
      <c r="G191">
        <v>0</v>
      </c>
      <c r="H191">
        <v>91.4512834564635</v>
      </c>
    </row>
    <row r="192" spans="1:8" x14ac:dyDescent="0.35">
      <c r="A192" t="s">
        <v>206</v>
      </c>
      <c r="B192">
        <v>91.358136824205204</v>
      </c>
      <c r="C192">
        <f t="shared" si="6"/>
        <v>89.778533543611346</v>
      </c>
      <c r="D192">
        <v>37.155280278940801</v>
      </c>
      <c r="E192">
        <f t="shared" si="7"/>
        <v>33.89941430829046</v>
      </c>
      <c r="F192">
        <f t="shared" si="8"/>
        <v>32.986389563509661</v>
      </c>
      <c r="G192">
        <v>0</v>
      </c>
      <c r="H192">
        <v>91.358136824205204</v>
      </c>
    </row>
    <row r="193" spans="1:8" x14ac:dyDescent="0.35">
      <c r="A193" t="s">
        <v>207</v>
      </c>
      <c r="B193">
        <v>90.331103981051697</v>
      </c>
      <c r="C193">
        <f t="shared" si="6"/>
        <v>89.183411508313426</v>
      </c>
      <c r="D193">
        <v>38.764227015145799</v>
      </c>
      <c r="E193">
        <f t="shared" si="7"/>
        <v>35.245636412306069</v>
      </c>
      <c r="F193">
        <f t="shared" si="8"/>
        <v>35.680354909221549</v>
      </c>
      <c r="G193">
        <v>0</v>
      </c>
      <c r="H193">
        <v>90.331103981051697</v>
      </c>
    </row>
    <row r="194" spans="1:8" x14ac:dyDescent="0.35">
      <c r="A194" t="s">
        <v>208</v>
      </c>
      <c r="B194">
        <v>90.464783255296695</v>
      </c>
      <c r="C194">
        <f t="shared" si="6"/>
        <v>89.123530107101729</v>
      </c>
      <c r="D194">
        <v>38.927309649202897</v>
      </c>
      <c r="E194">
        <f t="shared" si="7"/>
        <v>35.070411252724213</v>
      </c>
      <c r="F194">
        <f t="shared" si="8"/>
        <v>35.326243892072874</v>
      </c>
      <c r="G194">
        <v>0</v>
      </c>
      <c r="H194">
        <v>90.464783255296695</v>
      </c>
    </row>
    <row r="195" spans="1:8" x14ac:dyDescent="0.35">
      <c r="A195" t="s">
        <v>209</v>
      </c>
      <c r="B195">
        <v>89.718238002935905</v>
      </c>
      <c r="C195">
        <f t="shared" si="6"/>
        <v>88.697664823323763</v>
      </c>
      <c r="D195">
        <v>40.093474363694497</v>
      </c>
      <c r="E195">
        <f t="shared" si="7"/>
        <v>36.048973649317205</v>
      </c>
      <c r="F195">
        <f t="shared" si="8"/>
        <v>37.317321003149807</v>
      </c>
      <c r="G195">
        <v>0</v>
      </c>
      <c r="H195">
        <v>89.718238002935905</v>
      </c>
    </row>
    <row r="196" spans="1:8" x14ac:dyDescent="0.35">
      <c r="A196" t="s">
        <v>210</v>
      </c>
      <c r="B196">
        <v>89.718238002935905</v>
      </c>
      <c r="C196">
        <f t="shared" si="6"/>
        <v>88.875833551750844</v>
      </c>
      <c r="D196">
        <v>39.604227745787703</v>
      </c>
      <c r="E196">
        <f t="shared" si="7"/>
        <v>36.048973649317205</v>
      </c>
      <c r="F196">
        <f t="shared" si="8"/>
        <v>37.317321003149807</v>
      </c>
      <c r="G196">
        <v>0</v>
      </c>
      <c r="H196">
        <v>89.718238002935905</v>
      </c>
    </row>
    <row r="197" spans="1:8" x14ac:dyDescent="0.35">
      <c r="A197" t="s">
        <v>211</v>
      </c>
      <c r="B197">
        <v>89.260825678489994</v>
      </c>
      <c r="C197">
        <f t="shared" si="6"/>
        <v>88.982365408901842</v>
      </c>
      <c r="D197">
        <v>39.312630048909398</v>
      </c>
      <c r="E197">
        <f t="shared" si="7"/>
        <v>36.648544136203967</v>
      </c>
      <c r="F197">
        <f t="shared" si="8"/>
        <v>38.553719450740907</v>
      </c>
      <c r="G197">
        <v>0</v>
      </c>
      <c r="H197">
        <v>89.260825678489994</v>
      </c>
    </row>
    <row r="198" spans="1:8" x14ac:dyDescent="0.35">
      <c r="A198" t="s">
        <v>212</v>
      </c>
      <c r="B198">
        <v>88.622634855825495</v>
      </c>
      <c r="C198">
        <f t="shared" si="6"/>
        <v>88.8970242691463</v>
      </c>
      <c r="D198">
        <v>39.546169090370498</v>
      </c>
      <c r="E198">
        <f t="shared" si="7"/>
        <v>37.485076870067509</v>
      </c>
      <c r="F198">
        <f t="shared" si="8"/>
        <v>40.300093308319504</v>
      </c>
      <c r="G198">
        <v>0</v>
      </c>
      <c r="H198">
        <v>88.622634855825495</v>
      </c>
    </row>
    <row r="199" spans="1:8" x14ac:dyDescent="0.35">
      <c r="A199" t="s">
        <v>213</v>
      </c>
      <c r="B199">
        <v>89.057086140197001</v>
      </c>
      <c r="C199">
        <f t="shared" si="6"/>
        <v>88.988974976806574</v>
      </c>
      <c r="D199">
        <v>39.294561422320299</v>
      </c>
      <c r="E199">
        <f t="shared" si="7"/>
        <v>36.915603434005767</v>
      </c>
      <c r="F199">
        <f t="shared" si="8"/>
        <v>39.108521633679629</v>
      </c>
      <c r="G199">
        <v>0</v>
      </c>
      <c r="H199">
        <v>89.057086140197001</v>
      </c>
    </row>
    <row r="200" spans="1:8" x14ac:dyDescent="0.35">
      <c r="A200" t="s">
        <v>214</v>
      </c>
      <c r="B200">
        <v>89.655756300373596</v>
      </c>
      <c r="C200">
        <f t="shared" si="6"/>
        <v>89.216321976254079</v>
      </c>
      <c r="D200">
        <v>38.674690974476398</v>
      </c>
      <c r="E200">
        <f t="shared" si="7"/>
        <v>36.130873901725522</v>
      </c>
      <c r="F200">
        <f t="shared" si="8"/>
        <v>37.485466858034989</v>
      </c>
      <c r="G200">
        <v>0</v>
      </c>
      <c r="H200">
        <v>89.655756300373596</v>
      </c>
    </row>
    <row r="201" spans="1:8" x14ac:dyDescent="0.35">
      <c r="A201" t="s">
        <v>215</v>
      </c>
      <c r="B201">
        <v>90.262706271756997</v>
      </c>
      <c r="C201">
        <f t="shared" ref="C201:C264" si="9">$B$2/(1+$B$4*((D201/100)/$B$3))</f>
        <v>89.424084610923984</v>
      </c>
      <c r="D201">
        <v>38.110974339970902</v>
      </c>
      <c r="E201">
        <f t="shared" ref="E201:E264" si="10" xml:space="preserve"> (117.22 - B201)/0.7629</f>
        <v>35.335291294066067</v>
      </c>
      <c r="F201">
        <f t="shared" ref="F201:F264" si="11" xml:space="preserve"> ((($B$3 *($B$2-B201))/($B$4*B201)))*100</f>
        <v>35.861943313926893</v>
      </c>
      <c r="G201">
        <v>0</v>
      </c>
      <c r="H201">
        <v>90.262706271756997</v>
      </c>
    </row>
    <row r="202" spans="1:8" x14ac:dyDescent="0.35">
      <c r="A202" t="s">
        <v>216</v>
      </c>
      <c r="B202">
        <v>90.202130066856697</v>
      </c>
      <c r="C202">
        <f t="shared" si="9"/>
        <v>89.416219347916481</v>
      </c>
      <c r="D202">
        <v>38.132267232782198</v>
      </c>
      <c r="E202">
        <f t="shared" si="10"/>
        <v>35.414693843417616</v>
      </c>
      <c r="F202">
        <f t="shared" si="11"/>
        <v>36.022996433809432</v>
      </c>
      <c r="G202">
        <v>0</v>
      </c>
      <c r="H202">
        <v>90.202130066856697</v>
      </c>
    </row>
    <row r="203" spans="1:8" x14ac:dyDescent="0.35">
      <c r="A203" t="s">
        <v>217</v>
      </c>
      <c r="B203">
        <v>90.309842698260397</v>
      </c>
      <c r="C203">
        <f t="shared" si="9"/>
        <v>89.198919782788167</v>
      </c>
      <c r="D203">
        <v>38.722027056319199</v>
      </c>
      <c r="E203">
        <f t="shared" si="10"/>
        <v>35.273505442049547</v>
      </c>
      <c r="F203">
        <f t="shared" si="11"/>
        <v>35.73677181780009</v>
      </c>
      <c r="G203">
        <v>0</v>
      </c>
      <c r="H203">
        <v>90.309842698260397</v>
      </c>
    </row>
    <row r="204" spans="1:8" x14ac:dyDescent="0.35">
      <c r="A204" t="s">
        <v>218</v>
      </c>
      <c r="B204">
        <v>90.029525801452493</v>
      </c>
      <c r="C204">
        <f t="shared" si="9"/>
        <v>89.392472245183384</v>
      </c>
      <c r="D204">
        <v>38.19657828335</v>
      </c>
      <c r="E204">
        <f t="shared" si="10"/>
        <v>35.640941405882167</v>
      </c>
      <c r="F204">
        <f t="shared" si="11"/>
        <v>36.483085584796598</v>
      </c>
      <c r="G204">
        <v>0</v>
      </c>
      <c r="H204">
        <v>90.029525801452493</v>
      </c>
    </row>
    <row r="205" spans="1:8" x14ac:dyDescent="0.35">
      <c r="A205" t="s">
        <v>219</v>
      </c>
      <c r="B205">
        <v>90.141870552609106</v>
      </c>
      <c r="C205">
        <f t="shared" si="9"/>
        <v>89.554282261726399</v>
      </c>
      <c r="D205">
        <v>37.759045780243902</v>
      </c>
      <c r="E205">
        <f t="shared" si="10"/>
        <v>35.493681278530467</v>
      </c>
      <c r="F205">
        <f t="shared" si="11"/>
        <v>36.183422336618953</v>
      </c>
      <c r="G205">
        <v>0</v>
      </c>
      <c r="H205">
        <v>90.141870552609106</v>
      </c>
    </row>
    <row r="206" spans="1:8" x14ac:dyDescent="0.35">
      <c r="A206" t="s">
        <v>220</v>
      </c>
      <c r="B206">
        <v>88.519923504600797</v>
      </c>
      <c r="C206">
        <f t="shared" si="9"/>
        <v>88.966853464430784</v>
      </c>
      <c r="D206">
        <v>39.355045714738502</v>
      </c>
      <c r="E206">
        <f t="shared" si="10"/>
        <v>37.619709654475294</v>
      </c>
      <c r="F206">
        <f t="shared" si="11"/>
        <v>40.583509709733875</v>
      </c>
      <c r="G206">
        <v>0</v>
      </c>
      <c r="H206">
        <v>88.519923504600797</v>
      </c>
    </row>
    <row r="207" spans="1:8" x14ac:dyDescent="0.35">
      <c r="A207" t="s">
        <v>221</v>
      </c>
      <c r="B207">
        <v>88.144967063000706</v>
      </c>
      <c r="C207">
        <f t="shared" si="9"/>
        <v>88.889069243966247</v>
      </c>
      <c r="D207">
        <v>39.567961146104601</v>
      </c>
      <c r="E207">
        <f t="shared" si="10"/>
        <v>38.111197977453521</v>
      </c>
      <c r="F207">
        <f t="shared" si="11"/>
        <v>41.623751971807685</v>
      </c>
      <c r="G207">
        <v>0</v>
      </c>
      <c r="H207">
        <v>88.144967063000706</v>
      </c>
    </row>
    <row r="208" spans="1:8" x14ac:dyDescent="0.35">
      <c r="A208" t="s">
        <v>222</v>
      </c>
      <c r="B208">
        <v>88.426851344901607</v>
      </c>
      <c r="C208">
        <f t="shared" si="9"/>
        <v>88.69262513614683</v>
      </c>
      <c r="D208">
        <v>40.107341797738101</v>
      </c>
      <c r="E208">
        <f t="shared" si="10"/>
        <v>37.741707504389034</v>
      </c>
      <c r="F208">
        <f t="shared" si="11"/>
        <v>40.840896838509636</v>
      </c>
      <c r="G208">
        <v>0</v>
      </c>
      <c r="H208">
        <v>88.426851344901607</v>
      </c>
    </row>
    <row r="209" spans="1:8" x14ac:dyDescent="0.35">
      <c r="A209" t="s">
        <v>223</v>
      </c>
      <c r="B209">
        <v>88.920557219015706</v>
      </c>
      <c r="C209">
        <f t="shared" si="9"/>
        <v>89.013734157033568</v>
      </c>
      <c r="D209">
        <v>39.226900913212702</v>
      </c>
      <c r="E209">
        <f t="shared" si="10"/>
        <v>37.094563875978885</v>
      </c>
      <c r="F209">
        <f t="shared" si="11"/>
        <v>39.481725579130561</v>
      </c>
      <c r="G209">
        <v>0</v>
      </c>
      <c r="H209">
        <v>88.920557219015706</v>
      </c>
    </row>
    <row r="210" spans="1:8" x14ac:dyDescent="0.35">
      <c r="A210" t="s">
        <v>224</v>
      </c>
      <c r="B210">
        <v>89.378375632163298</v>
      </c>
      <c r="C210">
        <f t="shared" si="9"/>
        <v>88.830519587175431</v>
      </c>
      <c r="D210">
        <v>39.728472595818097</v>
      </c>
      <c r="E210">
        <f t="shared" si="10"/>
        <v>36.494461092982959</v>
      </c>
      <c r="F210">
        <f t="shared" si="11"/>
        <v>38.234770388428934</v>
      </c>
      <c r="G210">
        <v>0</v>
      </c>
      <c r="H210">
        <v>89.378375632163298</v>
      </c>
    </row>
    <row r="211" spans="1:8" x14ac:dyDescent="0.35">
      <c r="A211" t="s">
        <v>225</v>
      </c>
      <c r="B211">
        <v>89.667962604475093</v>
      </c>
      <c r="C211">
        <f t="shared" si="9"/>
        <v>88.875232577144402</v>
      </c>
      <c r="D211">
        <v>39.605874709040499</v>
      </c>
      <c r="E211">
        <f t="shared" si="10"/>
        <v>36.114874027428108</v>
      </c>
      <c r="F211">
        <f t="shared" si="11"/>
        <v>37.452599792573864</v>
      </c>
      <c r="G211">
        <v>0</v>
      </c>
      <c r="H211">
        <v>89.667962604475093</v>
      </c>
    </row>
    <row r="212" spans="1:8" x14ac:dyDescent="0.35">
      <c r="A212" t="s">
        <v>226</v>
      </c>
      <c r="B212">
        <v>90.133110220009598</v>
      </c>
      <c r="C212">
        <f t="shared" si="9"/>
        <v>89.150245388527864</v>
      </c>
      <c r="D212">
        <v>38.854525458881803</v>
      </c>
      <c r="E212">
        <f t="shared" si="10"/>
        <v>35.505164215480924</v>
      </c>
      <c r="F212">
        <f t="shared" si="11"/>
        <v>36.20676239276218</v>
      </c>
      <c r="G212">
        <v>0</v>
      </c>
      <c r="H212">
        <v>90.133110220009598</v>
      </c>
    </row>
    <row r="213" spans="1:8" x14ac:dyDescent="0.35">
      <c r="A213" t="s">
        <v>227</v>
      </c>
      <c r="B213">
        <v>90.642677136991793</v>
      </c>
      <c r="C213">
        <f t="shared" si="9"/>
        <v>89.192161322966243</v>
      </c>
      <c r="D213">
        <v>38.740415868543103</v>
      </c>
      <c r="E213">
        <f t="shared" si="10"/>
        <v>34.837230125846382</v>
      </c>
      <c r="F213">
        <f t="shared" si="11"/>
        <v>34.856629967865878</v>
      </c>
      <c r="G213">
        <v>0</v>
      </c>
      <c r="H213">
        <v>90.642677136991793</v>
      </c>
    </row>
    <row r="214" spans="1:8" x14ac:dyDescent="0.35">
      <c r="A214" t="s">
        <v>228</v>
      </c>
      <c r="B214">
        <v>91.556626837590898</v>
      </c>
      <c r="C214">
        <f t="shared" si="9"/>
        <v>89.187066529033558</v>
      </c>
      <c r="D214">
        <v>38.754279923779698</v>
      </c>
      <c r="E214">
        <f t="shared" si="10"/>
        <v>33.639236023606109</v>
      </c>
      <c r="F214">
        <f t="shared" si="11"/>
        <v>32.472708131076203</v>
      </c>
      <c r="G214">
        <v>0</v>
      </c>
      <c r="H214">
        <v>91.556626837590898</v>
      </c>
    </row>
    <row r="215" spans="1:8" x14ac:dyDescent="0.35">
      <c r="A215" t="s">
        <v>229</v>
      </c>
      <c r="B215">
        <v>91.416543114166799</v>
      </c>
      <c r="C215">
        <f t="shared" si="9"/>
        <v>89.182308375663766</v>
      </c>
      <c r="D215">
        <v>38.767229336483197</v>
      </c>
      <c r="E215">
        <f t="shared" si="10"/>
        <v>33.822856056931705</v>
      </c>
      <c r="F215">
        <f t="shared" si="11"/>
        <v>32.835005619250474</v>
      </c>
      <c r="G215">
        <v>0</v>
      </c>
      <c r="H215">
        <v>91.416543114166799</v>
      </c>
    </row>
    <row r="216" spans="1:8" x14ac:dyDescent="0.35">
      <c r="A216" t="s">
        <v>230</v>
      </c>
      <c r="B216">
        <v>90.846934065669203</v>
      </c>
      <c r="C216">
        <f t="shared" si="9"/>
        <v>89.191164809328995</v>
      </c>
      <c r="D216">
        <v>38.743127476798399</v>
      </c>
      <c r="E216">
        <f t="shared" si="10"/>
        <v>34.569492639049408</v>
      </c>
      <c r="F216">
        <f t="shared" si="11"/>
        <v>34.31968964091751</v>
      </c>
      <c r="G216">
        <v>0</v>
      </c>
      <c r="H216">
        <v>90.846934065669203</v>
      </c>
    </row>
    <row r="217" spans="1:8" x14ac:dyDescent="0.35">
      <c r="A217" t="s">
        <v>231</v>
      </c>
      <c r="B217">
        <v>90.285428146278406</v>
      </c>
      <c r="C217">
        <f t="shared" si="9"/>
        <v>89.200023002181823</v>
      </c>
      <c r="D217">
        <v>38.719025617113701</v>
      </c>
      <c r="E217">
        <f t="shared" si="10"/>
        <v>35.305507738526138</v>
      </c>
      <c r="F217">
        <f t="shared" si="11"/>
        <v>35.801588714820781</v>
      </c>
      <c r="G217">
        <v>0</v>
      </c>
      <c r="H217">
        <v>90.285428146278406</v>
      </c>
    </row>
    <row r="218" spans="1:8" x14ac:dyDescent="0.35">
      <c r="A218" t="s">
        <v>232</v>
      </c>
      <c r="B218">
        <v>90.414510069398503</v>
      </c>
      <c r="C218">
        <f t="shared" si="9"/>
        <v>89.2088829547465</v>
      </c>
      <c r="D218">
        <v>38.694923757429002</v>
      </c>
      <c r="E218">
        <f t="shared" si="10"/>
        <v>35.136308730635072</v>
      </c>
      <c r="F218">
        <f t="shared" si="11"/>
        <v>35.459292689188068</v>
      </c>
      <c r="G218">
        <v>0</v>
      </c>
      <c r="H218">
        <v>90.414510069398503</v>
      </c>
    </row>
    <row r="219" spans="1:8" x14ac:dyDescent="0.35">
      <c r="A219" t="s">
        <v>233</v>
      </c>
      <c r="B219">
        <v>90.916712169263704</v>
      </c>
      <c r="C219">
        <f t="shared" si="9"/>
        <v>89.217744667547421</v>
      </c>
      <c r="D219">
        <v>38.670821897744297</v>
      </c>
      <c r="E219">
        <f t="shared" si="10"/>
        <v>34.478028353304879</v>
      </c>
      <c r="F219">
        <f t="shared" si="11"/>
        <v>34.136813356316907</v>
      </c>
      <c r="G219">
        <v>0</v>
      </c>
      <c r="H219">
        <v>90.916712169263704</v>
      </c>
    </row>
    <row r="220" spans="1:8" x14ac:dyDescent="0.35">
      <c r="A220" t="s">
        <v>234</v>
      </c>
      <c r="B220">
        <v>90.866223413350099</v>
      </c>
      <c r="C220">
        <f t="shared" si="9"/>
        <v>89.226608141109224</v>
      </c>
      <c r="D220">
        <v>38.646720038059598</v>
      </c>
      <c r="E220">
        <f t="shared" si="10"/>
        <v>34.544208397758418</v>
      </c>
      <c r="F220">
        <f t="shared" si="11"/>
        <v>34.269107522684031</v>
      </c>
      <c r="G220">
        <v>0</v>
      </c>
      <c r="H220">
        <v>90.866223413350099</v>
      </c>
    </row>
    <row r="221" spans="1:8" x14ac:dyDescent="0.35">
      <c r="A221" t="s">
        <v>235</v>
      </c>
      <c r="B221">
        <v>90.815734657436593</v>
      </c>
      <c r="C221">
        <f t="shared" si="9"/>
        <v>89.235473375956786</v>
      </c>
      <c r="D221">
        <v>38.6226181783748</v>
      </c>
      <c r="E221">
        <f t="shared" si="10"/>
        <v>34.610388442211828</v>
      </c>
      <c r="F221">
        <f t="shared" si="11"/>
        <v>34.401548786200962</v>
      </c>
      <c r="G221">
        <v>0</v>
      </c>
      <c r="H221">
        <v>90.815734657436593</v>
      </c>
    </row>
    <row r="222" spans="1:8" x14ac:dyDescent="0.35">
      <c r="A222" t="s">
        <v>236</v>
      </c>
      <c r="B222">
        <v>90.765245901523002</v>
      </c>
      <c r="C222">
        <f t="shared" si="9"/>
        <v>89.244340372615028</v>
      </c>
      <c r="D222">
        <v>38.598516318690102</v>
      </c>
      <c r="E222">
        <f t="shared" si="10"/>
        <v>34.676568486665353</v>
      </c>
      <c r="F222">
        <f t="shared" si="11"/>
        <v>34.534137392339396</v>
      </c>
      <c r="G222">
        <v>0</v>
      </c>
      <c r="H222">
        <v>90.765245901523002</v>
      </c>
    </row>
    <row r="223" spans="1:8" x14ac:dyDescent="0.35">
      <c r="A223" t="s">
        <v>237</v>
      </c>
      <c r="B223">
        <v>90.714757145609397</v>
      </c>
      <c r="C223">
        <f t="shared" si="9"/>
        <v>89.253209131609282</v>
      </c>
      <c r="D223">
        <v>38.574414459005403</v>
      </c>
      <c r="E223">
        <f t="shared" si="10"/>
        <v>34.742748531118892</v>
      </c>
      <c r="F223">
        <f t="shared" si="11"/>
        <v>34.666873587116875</v>
      </c>
      <c r="G223">
        <v>0</v>
      </c>
      <c r="H223">
        <v>90.714757145609397</v>
      </c>
    </row>
    <row r="224" spans="1:8" x14ac:dyDescent="0.35">
      <c r="A224" t="s">
        <v>238</v>
      </c>
      <c r="B224">
        <v>90.664268389695806</v>
      </c>
      <c r="C224">
        <f t="shared" si="9"/>
        <v>89.262079653464951</v>
      </c>
      <c r="D224">
        <v>38.550312599320698</v>
      </c>
      <c r="E224">
        <f t="shared" si="10"/>
        <v>34.808928575572409</v>
      </c>
      <c r="F224">
        <f t="shared" si="11"/>
        <v>34.799757617099033</v>
      </c>
      <c r="G224">
        <v>0</v>
      </c>
      <c r="H224">
        <v>90.664268389695806</v>
      </c>
    </row>
    <row r="225" spans="1:8" x14ac:dyDescent="0.35">
      <c r="A225" t="s">
        <v>239</v>
      </c>
      <c r="B225">
        <v>90.613779633782201</v>
      </c>
      <c r="C225">
        <f t="shared" si="9"/>
        <v>89.270951938707753</v>
      </c>
      <c r="D225">
        <v>38.526210739635999</v>
      </c>
      <c r="E225">
        <f t="shared" si="10"/>
        <v>34.875108620025948</v>
      </c>
      <c r="F225">
        <f t="shared" si="11"/>
        <v>34.9327897294012</v>
      </c>
      <c r="G225">
        <v>0</v>
      </c>
      <c r="H225">
        <v>90.613779633782201</v>
      </c>
    </row>
    <row r="226" spans="1:8" x14ac:dyDescent="0.35">
      <c r="A226" t="s">
        <v>240</v>
      </c>
      <c r="B226">
        <v>90.563290877868695</v>
      </c>
      <c r="C226">
        <f t="shared" si="9"/>
        <v>89.279825987863518</v>
      </c>
      <c r="D226">
        <v>38.502108879951301</v>
      </c>
      <c r="E226">
        <f t="shared" si="10"/>
        <v>34.941288664479359</v>
      </c>
      <c r="F226">
        <f t="shared" si="11"/>
        <v>35.065970171689386</v>
      </c>
      <c r="G226">
        <v>0</v>
      </c>
      <c r="H226">
        <v>90.563290877868695</v>
      </c>
    </row>
    <row r="227" spans="1:8" x14ac:dyDescent="0.35">
      <c r="A227" t="s">
        <v>241</v>
      </c>
      <c r="B227">
        <v>90.512802121955104</v>
      </c>
      <c r="C227">
        <f t="shared" si="9"/>
        <v>89.392034570177529</v>
      </c>
      <c r="D227">
        <v>38.197763899757099</v>
      </c>
      <c r="E227">
        <f t="shared" si="10"/>
        <v>35.007468708932876</v>
      </c>
      <c r="F227">
        <f t="shared" si="11"/>
        <v>35.199299192182984</v>
      </c>
      <c r="G227">
        <v>0</v>
      </c>
      <c r="H227">
        <v>90.512802121955104</v>
      </c>
    </row>
    <row r="228" spans="1:8" x14ac:dyDescent="0.35">
      <c r="A228" t="s">
        <v>242</v>
      </c>
      <c r="B228">
        <v>90.217731880022896</v>
      </c>
      <c r="C228">
        <f t="shared" si="9"/>
        <v>89.465512157591277</v>
      </c>
      <c r="D228">
        <v>37.998883200438101</v>
      </c>
      <c r="E228">
        <f t="shared" si="10"/>
        <v>35.394243177319574</v>
      </c>
      <c r="F228">
        <f t="shared" si="11"/>
        <v>35.98149543014997</v>
      </c>
      <c r="G228">
        <v>0</v>
      </c>
      <c r="H228">
        <v>90.217731880022896</v>
      </c>
    </row>
    <row r="229" spans="1:8" x14ac:dyDescent="0.35">
      <c r="A229" t="s">
        <v>243</v>
      </c>
      <c r="B229">
        <v>89.957556816445106</v>
      </c>
      <c r="C229">
        <f t="shared" si="9"/>
        <v>89.628537494022552</v>
      </c>
      <c r="D229">
        <v>37.558789281713203</v>
      </c>
      <c r="E229">
        <f t="shared" si="10"/>
        <v>35.73527747221771</v>
      </c>
      <c r="F229">
        <f t="shared" si="11"/>
        <v>36.675445682086327</v>
      </c>
      <c r="G229">
        <v>0</v>
      </c>
      <c r="H229">
        <v>89.957556816445106</v>
      </c>
    </row>
    <row r="230" spans="1:8" x14ac:dyDescent="0.35">
      <c r="A230" t="s">
        <v>244</v>
      </c>
      <c r="B230">
        <v>90.114822369951995</v>
      </c>
      <c r="C230">
        <f t="shared" si="9"/>
        <v>89.379581995760361</v>
      </c>
      <c r="D230">
        <v>38.231501503208897</v>
      </c>
      <c r="E230">
        <f t="shared" si="10"/>
        <v>35.529135705922144</v>
      </c>
      <c r="F230">
        <f t="shared" si="11"/>
        <v>36.255501131746065</v>
      </c>
      <c r="G230">
        <v>0</v>
      </c>
      <c r="H230">
        <v>90.114822369951995</v>
      </c>
    </row>
    <row r="231" spans="1:8" x14ac:dyDescent="0.35">
      <c r="A231" t="s">
        <v>245</v>
      </c>
      <c r="B231">
        <v>90.8048923081558</v>
      </c>
      <c r="C231">
        <f t="shared" si="9"/>
        <v>89.490769811461732</v>
      </c>
      <c r="D231">
        <v>37.930594108829197</v>
      </c>
      <c r="E231">
        <f t="shared" si="10"/>
        <v>34.624600461193076</v>
      </c>
      <c r="F231">
        <f t="shared" si="11"/>
        <v>34.430009466065137</v>
      </c>
      <c r="G231">
        <v>0</v>
      </c>
      <c r="H231">
        <v>90.8048923081558</v>
      </c>
    </row>
    <row r="232" spans="1:8" x14ac:dyDescent="0.35">
      <c r="A232" t="s">
        <v>246</v>
      </c>
      <c r="B232">
        <v>91.920141380066099</v>
      </c>
      <c r="C232">
        <f t="shared" si="9"/>
        <v>89.760649135801472</v>
      </c>
      <c r="D232">
        <v>37.203320865026697</v>
      </c>
      <c r="E232">
        <f t="shared" si="10"/>
        <v>33.16274560222034</v>
      </c>
      <c r="F232">
        <f t="shared" si="11"/>
        <v>31.537703963222224</v>
      </c>
      <c r="G232">
        <v>0</v>
      </c>
      <c r="H232">
        <v>91.920141380066099</v>
      </c>
    </row>
    <row r="233" spans="1:8" x14ac:dyDescent="0.35">
      <c r="A233" t="s">
        <v>247</v>
      </c>
      <c r="B233">
        <v>92.037632708964594</v>
      </c>
      <c r="C233">
        <f t="shared" si="9"/>
        <v>89.88663596138079</v>
      </c>
      <c r="D233">
        <v>36.8653056525118</v>
      </c>
      <c r="E233">
        <f t="shared" si="10"/>
        <v>33.008739403637968</v>
      </c>
      <c r="F233">
        <f t="shared" si="11"/>
        <v>31.23708116195764</v>
      </c>
      <c r="G233">
        <v>0</v>
      </c>
      <c r="H233">
        <v>92.037632708964594</v>
      </c>
    </row>
    <row r="234" spans="1:8" x14ac:dyDescent="0.35">
      <c r="A234" t="s">
        <v>248</v>
      </c>
      <c r="B234">
        <v>91.5598323761442</v>
      </c>
      <c r="C234">
        <f t="shared" si="9"/>
        <v>89.973766446560859</v>
      </c>
      <c r="D234">
        <v>36.632093418688399</v>
      </c>
      <c r="E234">
        <f t="shared" si="10"/>
        <v>33.63503424283104</v>
      </c>
      <c r="F234">
        <f t="shared" si="11"/>
        <v>32.464430645045717</v>
      </c>
      <c r="G234">
        <v>0</v>
      </c>
      <c r="H234">
        <v>91.5598323761442</v>
      </c>
    </row>
    <row r="235" spans="1:8" x14ac:dyDescent="0.35">
      <c r="A235" t="s">
        <v>249</v>
      </c>
      <c r="B235">
        <v>90.5207652985697</v>
      </c>
      <c r="C235">
        <f t="shared" si="9"/>
        <v>90.091760107885875</v>
      </c>
      <c r="D235">
        <v>36.316992311430297</v>
      </c>
      <c r="E235">
        <f t="shared" si="10"/>
        <v>34.997030674308952</v>
      </c>
      <c r="F235">
        <f t="shared" si="11"/>
        <v>35.17826042219459</v>
      </c>
      <c r="G235">
        <v>0</v>
      </c>
      <c r="H235">
        <v>90.5207652985697</v>
      </c>
    </row>
    <row r="236" spans="1:8" x14ac:dyDescent="0.35">
      <c r="A236" t="s">
        <v>254</v>
      </c>
      <c r="B236">
        <v>89.281321664405397</v>
      </c>
      <c r="C236">
        <f t="shared" si="9"/>
        <v>89.900659736817175</v>
      </c>
      <c r="D236">
        <v>36.827739288057799</v>
      </c>
      <c r="E236">
        <f t="shared" si="10"/>
        <v>36.621678248256131</v>
      </c>
      <c r="F236">
        <f t="shared" si="11"/>
        <v>38.498047104025659</v>
      </c>
      <c r="G236">
        <v>0</v>
      </c>
      <c r="H236">
        <v>89.281321664405397</v>
      </c>
    </row>
    <row r="237" spans="1:8" x14ac:dyDescent="0.35">
      <c r="A237" t="s">
        <v>255</v>
      </c>
      <c r="B237">
        <v>89.521427103680907</v>
      </c>
      <c r="C237">
        <f t="shared" si="9"/>
        <v>90.022411692208749</v>
      </c>
      <c r="D237">
        <v>36.502086615008203</v>
      </c>
      <c r="E237">
        <f t="shared" si="10"/>
        <v>36.306950971712006</v>
      </c>
      <c r="F237">
        <f t="shared" si="11"/>
        <v>37.847757792595957</v>
      </c>
      <c r="G237">
        <v>0</v>
      </c>
      <c r="H237">
        <v>89.521427103680907</v>
      </c>
    </row>
    <row r="238" spans="1:8" x14ac:dyDescent="0.35">
      <c r="A238" t="s">
        <v>256</v>
      </c>
      <c r="B238">
        <v>89.502896545914993</v>
      </c>
      <c r="C238">
        <f t="shared" si="9"/>
        <v>89.531369470882481</v>
      </c>
      <c r="D238">
        <v>37.820905597170601</v>
      </c>
      <c r="E238">
        <f t="shared" si="10"/>
        <v>36.331240600452226</v>
      </c>
      <c r="F238">
        <f t="shared" si="11"/>
        <v>37.897820764718524</v>
      </c>
      <c r="G238">
        <v>0</v>
      </c>
      <c r="H238">
        <v>89.502896545914993</v>
      </c>
    </row>
    <row r="239" spans="1:8" x14ac:dyDescent="0.35">
      <c r="A239" t="s">
        <v>257</v>
      </c>
      <c r="B239">
        <v>90.059741818036102</v>
      </c>
      <c r="C239">
        <f t="shared" si="9"/>
        <v>89.692817085300703</v>
      </c>
      <c r="D239">
        <v>37.385703514750197</v>
      </c>
      <c r="E239">
        <f t="shared" si="10"/>
        <v>35.601334620479612</v>
      </c>
      <c r="F239">
        <f t="shared" si="11"/>
        <v>36.402415265735918</v>
      </c>
      <c r="G239">
        <v>0</v>
      </c>
      <c r="H239">
        <v>90.059741818036102</v>
      </c>
    </row>
    <row r="240" spans="1:8" x14ac:dyDescent="0.35">
      <c r="A240" t="s">
        <v>258</v>
      </c>
      <c r="B240">
        <v>90.059741818036102</v>
      </c>
      <c r="C240">
        <f t="shared" si="9"/>
        <v>90.086575132850967</v>
      </c>
      <c r="D240">
        <v>36.330821405988701</v>
      </c>
      <c r="E240">
        <f t="shared" si="10"/>
        <v>35.601334620479612</v>
      </c>
      <c r="F240">
        <f t="shared" si="11"/>
        <v>36.402415265735918</v>
      </c>
      <c r="G240">
        <v>0</v>
      </c>
      <c r="H240">
        <v>90.059741818036102</v>
      </c>
    </row>
    <row r="241" spans="1:8" x14ac:dyDescent="0.35">
      <c r="A241" t="s">
        <v>259</v>
      </c>
      <c r="B241">
        <v>90.709972819651597</v>
      </c>
      <c r="C241">
        <f t="shared" si="9"/>
        <v>89.2724211374329</v>
      </c>
      <c r="D241">
        <v>38.522220074486697</v>
      </c>
      <c r="E241">
        <f t="shared" si="10"/>
        <v>34.749019767136453</v>
      </c>
      <c r="F241">
        <f t="shared" si="11"/>
        <v>34.679459363357843</v>
      </c>
      <c r="G241">
        <v>0</v>
      </c>
      <c r="H241">
        <v>90.709972819651597</v>
      </c>
    </row>
    <row r="242" spans="1:8" x14ac:dyDescent="0.35">
      <c r="A242" t="s">
        <v>260</v>
      </c>
      <c r="B242">
        <v>90.356960641679606</v>
      </c>
      <c r="C242">
        <f t="shared" si="9"/>
        <v>89.023937395203646</v>
      </c>
      <c r="D242">
        <v>39.199029022511397</v>
      </c>
      <c r="E242">
        <f t="shared" si="10"/>
        <v>35.211743817433991</v>
      </c>
      <c r="F242">
        <f t="shared" si="11"/>
        <v>35.611779923161876</v>
      </c>
      <c r="G242">
        <v>0</v>
      </c>
      <c r="H242">
        <v>90.356960641679606</v>
      </c>
    </row>
    <row r="243" spans="1:8" x14ac:dyDescent="0.35">
      <c r="A243" t="s">
        <v>261</v>
      </c>
      <c r="B243">
        <v>90.057227244527994</v>
      </c>
      <c r="C243">
        <f t="shared" si="9"/>
        <v>89.098701779568358</v>
      </c>
      <c r="D243">
        <v>38.994992077880099</v>
      </c>
      <c r="E243">
        <f t="shared" si="10"/>
        <v>35.60463069271465</v>
      </c>
      <c r="F243">
        <f t="shared" si="11"/>
        <v>36.409126575610109</v>
      </c>
      <c r="G243">
        <v>0</v>
      </c>
      <c r="H243">
        <v>90.057227244527994</v>
      </c>
    </row>
    <row r="244" spans="1:8" x14ac:dyDescent="0.35">
      <c r="A244" t="s">
        <v>262</v>
      </c>
      <c r="B244">
        <v>89.825665013673898</v>
      </c>
      <c r="C244">
        <f t="shared" si="9"/>
        <v>89.259206053958934</v>
      </c>
      <c r="D244">
        <v>38.558119855760197</v>
      </c>
      <c r="E244">
        <f t="shared" si="10"/>
        <v>35.908159636028444</v>
      </c>
      <c r="F244">
        <f t="shared" si="11"/>
        <v>37.028768704027755</v>
      </c>
      <c r="G244">
        <v>0</v>
      </c>
      <c r="H244">
        <v>89.825665013673898</v>
      </c>
    </row>
    <row r="245" spans="1:8" x14ac:dyDescent="0.35">
      <c r="A245" t="s">
        <v>263</v>
      </c>
      <c r="B245">
        <v>89.433297979471504</v>
      </c>
      <c r="C245">
        <f t="shared" si="9"/>
        <v>89.271972394983678</v>
      </c>
      <c r="D245">
        <v>38.523438943215801</v>
      </c>
      <c r="E245">
        <f t="shared" si="10"/>
        <v>36.422469551092533</v>
      </c>
      <c r="F245">
        <f t="shared" si="11"/>
        <v>38.086036609935931</v>
      </c>
      <c r="G245">
        <v>0</v>
      </c>
      <c r="H245">
        <v>89.433297979471504</v>
      </c>
    </row>
    <row r="246" spans="1:8" x14ac:dyDescent="0.35">
      <c r="A246" t="s">
        <v>264</v>
      </c>
      <c r="B246">
        <v>89.496133545653706</v>
      </c>
      <c r="C246">
        <f t="shared" si="9"/>
        <v>89.483170700103997</v>
      </c>
      <c r="D246">
        <v>37.951135763560401</v>
      </c>
      <c r="E246">
        <f t="shared" si="10"/>
        <v>36.340105458574243</v>
      </c>
      <c r="F246">
        <f t="shared" si="11"/>
        <v>37.916097148341258</v>
      </c>
      <c r="G246">
        <v>0</v>
      </c>
      <c r="H246">
        <v>89.496133545653706</v>
      </c>
    </row>
    <row r="247" spans="1:8" x14ac:dyDescent="0.35">
      <c r="A247" t="s">
        <v>265</v>
      </c>
      <c r="B247">
        <v>89.720651604362303</v>
      </c>
      <c r="C247">
        <f t="shared" si="9"/>
        <v>89.71650284025722</v>
      </c>
      <c r="D247">
        <v>37.3219873750744</v>
      </c>
      <c r="E247">
        <f t="shared" si="10"/>
        <v>36.045809930053345</v>
      </c>
      <c r="F247">
        <f t="shared" si="11"/>
        <v>37.310830406463211</v>
      </c>
      <c r="G247">
        <v>0</v>
      </c>
      <c r="H247">
        <v>89.720651604362303</v>
      </c>
    </row>
    <row r="248" spans="1:8" x14ac:dyDescent="0.35">
      <c r="A248" t="s">
        <v>266</v>
      </c>
      <c r="B248">
        <v>90.098453612144198</v>
      </c>
      <c r="C248">
        <f t="shared" si="9"/>
        <v>89.862648222792075</v>
      </c>
      <c r="D248">
        <v>36.929590288939401</v>
      </c>
      <c r="E248">
        <f t="shared" si="10"/>
        <v>35.550591673686988</v>
      </c>
      <c r="F248">
        <f t="shared" si="11"/>
        <v>36.299142100192569</v>
      </c>
      <c r="G248">
        <v>0</v>
      </c>
      <c r="H248">
        <v>90.098453612144198</v>
      </c>
    </row>
    <row r="249" spans="1:8" x14ac:dyDescent="0.35">
      <c r="A249" t="s">
        <v>267</v>
      </c>
      <c r="B249">
        <v>90.446205146677499</v>
      </c>
      <c r="C249">
        <f t="shared" si="9"/>
        <v>89.807536449100979</v>
      </c>
      <c r="D249">
        <v>37.077414175641501</v>
      </c>
      <c r="E249">
        <f t="shared" si="10"/>
        <v>35.094763210542006</v>
      </c>
      <c r="F249">
        <f t="shared" si="11"/>
        <v>35.375393926406637</v>
      </c>
      <c r="G249">
        <v>0</v>
      </c>
      <c r="H249">
        <v>90.446205146677499</v>
      </c>
    </row>
    <row r="250" spans="1:8" x14ac:dyDescent="0.35">
      <c r="A250" t="s">
        <v>268</v>
      </c>
      <c r="B250">
        <v>90.114887931038297</v>
      </c>
      <c r="C250">
        <f t="shared" si="9"/>
        <v>89.87157249126075</v>
      </c>
      <c r="D250">
        <v>36.905670172037802</v>
      </c>
      <c r="E250">
        <f t="shared" si="10"/>
        <v>35.529049769251152</v>
      </c>
      <c r="F250">
        <f t="shared" si="11"/>
        <v>36.255326370316865</v>
      </c>
      <c r="G250">
        <v>0</v>
      </c>
      <c r="H250">
        <v>90.114887931038297</v>
      </c>
    </row>
    <row r="251" spans="1:8" x14ac:dyDescent="0.35">
      <c r="A251" t="s">
        <v>269</v>
      </c>
      <c r="B251">
        <v>90.070618271689696</v>
      </c>
      <c r="C251">
        <f t="shared" si="9"/>
        <v>89.700842560032171</v>
      </c>
      <c r="D251">
        <v>37.364110724335703</v>
      </c>
      <c r="E251">
        <f t="shared" si="10"/>
        <v>35.587077897903136</v>
      </c>
      <c r="F251">
        <f t="shared" si="11"/>
        <v>36.373390702255449</v>
      </c>
      <c r="G251">
        <v>0</v>
      </c>
      <c r="H251">
        <v>90.070618271689696</v>
      </c>
    </row>
    <row r="252" spans="1:8" x14ac:dyDescent="0.35">
      <c r="A252" t="s">
        <v>270</v>
      </c>
      <c r="B252">
        <v>89.463335454123097</v>
      </c>
      <c r="C252">
        <f t="shared" si="9"/>
        <v>89.559834741798284</v>
      </c>
      <c r="D252">
        <v>37.744059991978702</v>
      </c>
      <c r="E252">
        <f t="shared" si="10"/>
        <v>36.3830967962733</v>
      </c>
      <c r="F252">
        <f t="shared" si="11"/>
        <v>38.004770155973766</v>
      </c>
      <c r="G252">
        <v>0</v>
      </c>
      <c r="H252">
        <v>89.463335454123097</v>
      </c>
    </row>
    <row r="253" spans="1:8" x14ac:dyDescent="0.35">
      <c r="A253" t="s">
        <v>271</v>
      </c>
      <c r="B253">
        <v>89.631989370360799</v>
      </c>
      <c r="C253">
        <f t="shared" si="9"/>
        <v>89.298592783081972</v>
      </c>
      <c r="D253">
        <v>38.451154163460501</v>
      </c>
      <c r="E253">
        <f t="shared" si="10"/>
        <v>36.162027303236599</v>
      </c>
      <c r="F253">
        <f t="shared" si="11"/>
        <v>37.549488100449516</v>
      </c>
      <c r="G253">
        <v>0</v>
      </c>
      <c r="H253">
        <v>89.631989370360799</v>
      </c>
    </row>
    <row r="254" spans="1:8" x14ac:dyDescent="0.35">
      <c r="A254" t="s">
        <v>272</v>
      </c>
      <c r="B254">
        <v>89.795270515933595</v>
      </c>
      <c r="C254">
        <f t="shared" si="9"/>
        <v>89.36732615547335</v>
      </c>
      <c r="D254">
        <v>38.264715277809898</v>
      </c>
      <c r="E254">
        <f t="shared" si="10"/>
        <v>35.948000372350769</v>
      </c>
      <c r="F254">
        <f t="shared" si="11"/>
        <v>37.110339235439703</v>
      </c>
      <c r="G254">
        <v>0</v>
      </c>
      <c r="H254">
        <v>89.795270515933595</v>
      </c>
    </row>
    <row r="255" spans="1:8" x14ac:dyDescent="0.35">
      <c r="A255" t="s">
        <v>273</v>
      </c>
      <c r="B255">
        <v>89.833458489198804</v>
      </c>
      <c r="C255">
        <f t="shared" si="9"/>
        <v>89.673409146644829</v>
      </c>
      <c r="D255">
        <v>37.437937154580602</v>
      </c>
      <c r="E255">
        <f t="shared" si="10"/>
        <v>35.897944043519722</v>
      </c>
      <c r="F255">
        <f t="shared" si="11"/>
        <v>37.00786203521313</v>
      </c>
      <c r="G255">
        <v>0</v>
      </c>
      <c r="H255">
        <v>89.833458489198804</v>
      </c>
    </row>
    <row r="256" spans="1:8" x14ac:dyDescent="0.35">
      <c r="A256" t="s">
        <v>274</v>
      </c>
      <c r="B256">
        <v>90.001204623518603</v>
      </c>
      <c r="C256">
        <f t="shared" si="9"/>
        <v>89.22562503956982</v>
      </c>
      <c r="D256">
        <v>38.649393085200501</v>
      </c>
      <c r="E256">
        <f t="shared" si="10"/>
        <v>35.678064459931043</v>
      </c>
      <c r="F256">
        <f t="shared" si="11"/>
        <v>36.558746266908003</v>
      </c>
      <c r="G256">
        <v>0</v>
      </c>
      <c r="H256">
        <v>90.001204623518603</v>
      </c>
    </row>
    <row r="257" spans="1:8" x14ac:dyDescent="0.35">
      <c r="A257" t="s">
        <v>275</v>
      </c>
      <c r="B257">
        <v>90.0070317651153</v>
      </c>
      <c r="C257">
        <f t="shared" si="9"/>
        <v>89.283317735691213</v>
      </c>
      <c r="D257">
        <v>38.492626629082899</v>
      </c>
      <c r="E257">
        <f t="shared" si="10"/>
        <v>35.670426313913616</v>
      </c>
      <c r="F257">
        <f t="shared" si="11"/>
        <v>36.543175032810701</v>
      </c>
      <c r="G257">
        <v>0</v>
      </c>
      <c r="H257">
        <v>90.0070317651153</v>
      </c>
    </row>
    <row r="258" spans="1:8" x14ac:dyDescent="0.35">
      <c r="A258" t="s">
        <v>276</v>
      </c>
      <c r="B258">
        <v>90.437945551226406</v>
      </c>
      <c r="C258">
        <f t="shared" si="9"/>
        <v>89.684154399245102</v>
      </c>
      <c r="D258">
        <v>37.409015079073001</v>
      </c>
      <c r="E258">
        <f t="shared" si="10"/>
        <v>35.105589787355605</v>
      </c>
      <c r="F258">
        <f t="shared" si="11"/>
        <v>35.397251903333881</v>
      </c>
      <c r="G258">
        <v>0</v>
      </c>
      <c r="H258">
        <v>90.437945551226406</v>
      </c>
    </row>
    <row r="259" spans="1:8" x14ac:dyDescent="0.35">
      <c r="A259" t="s">
        <v>277</v>
      </c>
      <c r="B259">
        <v>90.631246710416406</v>
      </c>
      <c r="C259">
        <f t="shared" si="9"/>
        <v>89.898884137195026</v>
      </c>
      <c r="D259">
        <v>36.832495049798197</v>
      </c>
      <c r="E259">
        <f t="shared" si="10"/>
        <v>34.852212989361114</v>
      </c>
      <c r="F259">
        <f t="shared" si="11"/>
        <v>34.886749206186998</v>
      </c>
      <c r="G259">
        <v>0</v>
      </c>
      <c r="H259">
        <v>90.631246710416406</v>
      </c>
    </row>
    <row r="260" spans="1:8" x14ac:dyDescent="0.35">
      <c r="A260" t="s">
        <v>278</v>
      </c>
      <c r="B260">
        <v>90.688919324485497</v>
      </c>
      <c r="C260">
        <f t="shared" si="9"/>
        <v>89.136584912769521</v>
      </c>
      <c r="D260">
        <v>38.891737159288901</v>
      </c>
      <c r="E260">
        <f t="shared" si="10"/>
        <v>34.776616431399269</v>
      </c>
      <c r="F260">
        <f t="shared" si="11"/>
        <v>34.734859031868581</v>
      </c>
      <c r="G260">
        <v>0</v>
      </c>
      <c r="H260">
        <v>90.688919324485497</v>
      </c>
    </row>
    <row r="261" spans="1:8" x14ac:dyDescent="0.35">
      <c r="A261" t="s">
        <v>279</v>
      </c>
      <c r="B261">
        <v>90.928206485659203</v>
      </c>
      <c r="C261">
        <f t="shared" si="9"/>
        <v>89.209045516199609</v>
      </c>
      <c r="D261">
        <v>38.694481583835099</v>
      </c>
      <c r="E261">
        <f t="shared" si="10"/>
        <v>34.462961743794459</v>
      </c>
      <c r="F261">
        <f t="shared" si="11"/>
        <v>34.106715675976631</v>
      </c>
      <c r="G261">
        <v>0</v>
      </c>
      <c r="H261">
        <v>90.928206485659203</v>
      </c>
    </row>
    <row r="262" spans="1:8" x14ac:dyDescent="0.35">
      <c r="A262" t="s">
        <v>280</v>
      </c>
      <c r="B262">
        <v>90.7645422264834</v>
      </c>
      <c r="C262">
        <f t="shared" si="9"/>
        <v>89.506673662507154</v>
      </c>
      <c r="D262">
        <v>37.887614657947402</v>
      </c>
      <c r="E262">
        <f t="shared" si="10"/>
        <v>34.677490855310786</v>
      </c>
      <c r="F262">
        <f t="shared" si="11"/>
        <v>34.53598635678803</v>
      </c>
      <c r="G262">
        <v>0</v>
      </c>
      <c r="H262">
        <v>90.7645422264834</v>
      </c>
    </row>
    <row r="263" spans="1:8" x14ac:dyDescent="0.35">
      <c r="A263" t="s">
        <v>281</v>
      </c>
      <c r="B263">
        <v>90.577651099456602</v>
      </c>
      <c r="C263">
        <f t="shared" si="9"/>
        <v>89.596827045494024</v>
      </c>
      <c r="D263">
        <v>37.644267541068402</v>
      </c>
      <c r="E263">
        <f t="shared" si="10"/>
        <v>34.922465461454181</v>
      </c>
      <c r="F263">
        <f t="shared" si="11"/>
        <v>35.028075328307025</v>
      </c>
      <c r="G263">
        <v>0</v>
      </c>
      <c r="H263">
        <v>90.577651099456602</v>
      </c>
    </row>
    <row r="264" spans="1:8" x14ac:dyDescent="0.35">
      <c r="A264" t="s">
        <v>282</v>
      </c>
      <c r="B264">
        <v>90.463398884952596</v>
      </c>
      <c r="C264">
        <f t="shared" si="9"/>
        <v>89.570643907871016</v>
      </c>
      <c r="D264">
        <v>37.714892073714701</v>
      </c>
      <c r="E264">
        <f t="shared" si="10"/>
        <v>35.072225868459043</v>
      </c>
      <c r="F264">
        <f t="shared" si="11"/>
        <v>35.329905670518912</v>
      </c>
      <c r="G264">
        <v>0</v>
      </c>
      <c r="H264">
        <v>90.463398884952596</v>
      </c>
    </row>
    <row r="265" spans="1:8" x14ac:dyDescent="0.35">
      <c r="A265" t="s">
        <v>283</v>
      </c>
      <c r="B265">
        <v>91.074468516370004</v>
      </c>
      <c r="C265">
        <f t="shared" ref="C265:C328" si="12">$B$2/(1+$B$4*((D265/100)/$B$3))</f>
        <v>89.544476068923956</v>
      </c>
      <c r="D265">
        <v>37.785516606361</v>
      </c>
      <c r="E265">
        <f t="shared" ref="E265:E328" si="13" xml:space="preserve"> (117.22 - B265)/0.7629</f>
        <v>34.271243260755007</v>
      </c>
      <c r="F265">
        <f t="shared" ref="F265:F328" si="14" xml:space="preserve"> ((($B$3 *($B$2-B265))/($B$4*B265)))*100</f>
        <v>33.724394324086617</v>
      </c>
      <c r="G265">
        <v>0</v>
      </c>
      <c r="H265">
        <v>91.074468516370004</v>
      </c>
    </row>
    <row r="266" spans="1:8" x14ac:dyDescent="0.35">
      <c r="A266" t="s">
        <v>284</v>
      </c>
      <c r="B266">
        <v>89.870070280543402</v>
      </c>
      <c r="C266">
        <f t="shared" si="12"/>
        <v>89.346342848591817</v>
      </c>
      <c r="D266">
        <v>38.3216019609401</v>
      </c>
      <c r="E266">
        <f t="shared" si="13"/>
        <v>35.84995375469471</v>
      </c>
      <c r="F266">
        <f t="shared" si="14"/>
        <v>36.909696282246109</v>
      </c>
      <c r="H266">
        <v>89.870070280543402</v>
      </c>
    </row>
    <row r="267" spans="1:8" x14ac:dyDescent="0.35">
      <c r="A267" t="s">
        <v>285</v>
      </c>
      <c r="B267">
        <v>89.849894830224699</v>
      </c>
      <c r="C267">
        <f t="shared" si="12"/>
        <v>89.203603311384725</v>
      </c>
      <c r="D267">
        <v>38.709285472713503</v>
      </c>
      <c r="E267">
        <f t="shared" si="13"/>
        <v>35.87639948849823</v>
      </c>
      <c r="F267">
        <f t="shared" si="14"/>
        <v>36.963782026133401</v>
      </c>
      <c r="H267">
        <v>89.849894830224699</v>
      </c>
    </row>
    <row r="268" spans="1:8" x14ac:dyDescent="0.35">
      <c r="A268" t="s">
        <v>286</v>
      </c>
      <c r="B268">
        <v>89.9068437250248</v>
      </c>
      <c r="C268">
        <f t="shared" si="12"/>
        <v>89.66640290164041</v>
      </c>
      <c r="D268">
        <v>37.456798997182503</v>
      </c>
      <c r="E268">
        <f t="shared" si="13"/>
        <v>35.801751572912828</v>
      </c>
      <c r="F268">
        <f t="shared" si="14"/>
        <v>36.811177575338114</v>
      </c>
      <c r="H268">
        <v>89.9068437250248</v>
      </c>
    </row>
    <row r="269" spans="1:8" x14ac:dyDescent="0.35">
      <c r="A269" t="s">
        <v>287</v>
      </c>
      <c r="B269">
        <v>89.961072031735895</v>
      </c>
      <c r="C269">
        <f t="shared" si="12"/>
        <v>89.894527826053718</v>
      </c>
      <c r="D269">
        <v>36.844163778936199</v>
      </c>
      <c r="E269">
        <f t="shared" si="13"/>
        <v>35.730669770958322</v>
      </c>
      <c r="F269">
        <f t="shared" si="14"/>
        <v>36.666042997248802</v>
      </c>
      <c r="H269">
        <v>89.961072031735895</v>
      </c>
    </row>
    <row r="270" spans="1:8" x14ac:dyDescent="0.35">
      <c r="A270" t="s">
        <v>288</v>
      </c>
      <c r="B270">
        <v>89.895657338113395</v>
      </c>
      <c r="C270">
        <f t="shared" si="12"/>
        <v>89.382307189122955</v>
      </c>
      <c r="D270">
        <v>38.224117367542597</v>
      </c>
      <c r="E270">
        <f t="shared" si="13"/>
        <v>35.816414552217331</v>
      </c>
      <c r="F270">
        <f t="shared" si="14"/>
        <v>36.841138181601856</v>
      </c>
      <c r="H270">
        <v>89.895657338113395</v>
      </c>
    </row>
    <row r="271" spans="1:8" x14ac:dyDescent="0.35">
      <c r="A271" t="s">
        <v>289</v>
      </c>
      <c r="B271">
        <v>89.537278104543503</v>
      </c>
      <c r="C271">
        <f t="shared" si="12"/>
        <v>89.781669720061672</v>
      </c>
      <c r="D271">
        <v>37.1468579436063</v>
      </c>
      <c r="E271">
        <f t="shared" si="13"/>
        <v>36.286173673425736</v>
      </c>
      <c r="F271">
        <f t="shared" si="14"/>
        <v>37.80495047354453</v>
      </c>
      <c r="H271">
        <v>89.537278104543503</v>
      </c>
    </row>
    <row r="272" spans="1:8" x14ac:dyDescent="0.35">
      <c r="A272" t="s">
        <v>290</v>
      </c>
      <c r="B272">
        <v>89.962449560611503</v>
      </c>
      <c r="C272">
        <f t="shared" si="12"/>
        <v>89.941679776406204</v>
      </c>
      <c r="D272">
        <v>36.717923589951901</v>
      </c>
      <c r="E272">
        <f t="shared" si="13"/>
        <v>35.728864122936812</v>
      </c>
      <c r="F272">
        <f t="shared" si="14"/>
        <v>36.662358510137537</v>
      </c>
      <c r="H272">
        <v>89.962449560611503</v>
      </c>
    </row>
    <row r="273" spans="1:8" x14ac:dyDescent="0.35">
      <c r="A273" t="s">
        <v>291</v>
      </c>
      <c r="B273">
        <v>90.549199565392698</v>
      </c>
      <c r="C273">
        <f t="shared" si="12"/>
        <v>90.167906253701176</v>
      </c>
      <c r="D273">
        <v>36.1140824782252</v>
      </c>
      <c r="E273">
        <f t="shared" si="13"/>
        <v>34.959759384725785</v>
      </c>
      <c r="F273">
        <f t="shared" si="14"/>
        <v>35.103167081282152</v>
      </c>
      <c r="H273">
        <v>90.549199565392698</v>
      </c>
    </row>
    <row r="274" spans="1:8" x14ac:dyDescent="0.35">
      <c r="A274" t="s">
        <v>292</v>
      </c>
      <c r="B274">
        <v>91.067559241439497</v>
      </c>
      <c r="C274">
        <f t="shared" si="12"/>
        <v>90.402735523095757</v>
      </c>
      <c r="D274">
        <v>35.4904756034882</v>
      </c>
      <c r="E274">
        <f t="shared" si="13"/>
        <v>34.280299853926465</v>
      </c>
      <c r="F274">
        <f t="shared" si="14"/>
        <v>33.742427173520291</v>
      </c>
      <c r="H274">
        <v>91.067559241439497</v>
      </c>
    </row>
    <row r="275" spans="1:8" x14ac:dyDescent="0.35">
      <c r="A275" t="s">
        <v>293</v>
      </c>
      <c r="B275">
        <v>91.049587477553104</v>
      </c>
      <c r="C275">
        <f t="shared" si="12"/>
        <v>90.606253504688908</v>
      </c>
      <c r="D275">
        <v>34.9526329184134</v>
      </c>
      <c r="E275">
        <f t="shared" si="13"/>
        <v>34.303857022475938</v>
      </c>
      <c r="F275">
        <f t="shared" si="14"/>
        <v>33.789345363505255</v>
      </c>
      <c r="H275">
        <v>91.049587477553104</v>
      </c>
    </row>
    <row r="276" spans="1:8" x14ac:dyDescent="0.35">
      <c r="A276" t="s">
        <v>294</v>
      </c>
      <c r="B276">
        <v>90.887606284797897</v>
      </c>
      <c r="C276">
        <f t="shared" si="12"/>
        <v>90.689323471732621</v>
      </c>
      <c r="D276">
        <v>34.733795326231601</v>
      </c>
      <c r="E276">
        <f t="shared" si="13"/>
        <v>34.516179991089395</v>
      </c>
      <c r="F276">
        <f t="shared" si="14"/>
        <v>34.21306068597891</v>
      </c>
      <c r="H276">
        <v>90.887606284797897</v>
      </c>
    </row>
    <row r="277" spans="1:8" x14ac:dyDescent="0.35">
      <c r="A277" t="s">
        <v>295</v>
      </c>
      <c r="B277">
        <v>90.615072855974802</v>
      </c>
      <c r="C277">
        <f t="shared" si="12"/>
        <v>90.09046692172474</v>
      </c>
      <c r="D277">
        <v>36.320441281008002</v>
      </c>
      <c r="E277">
        <f t="shared" si="13"/>
        <v>34.873413480174591</v>
      </c>
      <c r="F277">
        <f t="shared" si="14"/>
        <v>34.929380386497783</v>
      </c>
      <c r="H277">
        <v>90.615072855974802</v>
      </c>
    </row>
    <row r="278" spans="1:8" x14ac:dyDescent="0.35">
      <c r="A278" t="s">
        <v>296</v>
      </c>
      <c r="B278">
        <v>90.130195058455698</v>
      </c>
      <c r="C278">
        <f t="shared" si="12"/>
        <v>89.620632019090195</v>
      </c>
      <c r="D278">
        <v>37.5800935134939</v>
      </c>
      <c r="E278">
        <f t="shared" si="13"/>
        <v>35.508985373632584</v>
      </c>
      <c r="F278">
        <f t="shared" si="14"/>
        <v>36.214530231196321</v>
      </c>
      <c r="H278">
        <v>90.130195058455698</v>
      </c>
    </row>
    <row r="279" spans="1:8" x14ac:dyDescent="0.35">
      <c r="A279" t="s">
        <v>297</v>
      </c>
      <c r="B279">
        <v>90.672428275688105</v>
      </c>
      <c r="C279">
        <f t="shared" si="12"/>
        <v>89.834093973419087</v>
      </c>
      <c r="D279">
        <v>37.006157454053998</v>
      </c>
      <c r="E279">
        <f t="shared" si="13"/>
        <v>34.798232696699294</v>
      </c>
      <c r="F279">
        <f t="shared" si="14"/>
        <v>34.778271155197658</v>
      </c>
      <c r="H279">
        <v>90.672428275688105</v>
      </c>
    </row>
    <row r="280" spans="1:8" x14ac:dyDescent="0.35">
      <c r="A280" t="s">
        <v>298</v>
      </c>
      <c r="B280">
        <v>90.774401202780993</v>
      </c>
      <c r="C280">
        <f t="shared" si="12"/>
        <v>90.236194240386723</v>
      </c>
      <c r="D280">
        <v>35.932403876890902</v>
      </c>
      <c r="E280">
        <f t="shared" si="13"/>
        <v>34.664567829622499</v>
      </c>
      <c r="F280">
        <f t="shared" si="14"/>
        <v>34.510083692741482</v>
      </c>
      <c r="H280">
        <v>90.774401202780993</v>
      </c>
    </row>
    <row r="281" spans="1:8" x14ac:dyDescent="0.35">
      <c r="A281" t="s">
        <v>299</v>
      </c>
      <c r="B281">
        <v>90.796243221333697</v>
      </c>
      <c r="C281">
        <f t="shared" si="12"/>
        <v>90.115335448217138</v>
      </c>
      <c r="D281">
        <v>36.254133463046898</v>
      </c>
      <c r="E281">
        <f t="shared" si="13"/>
        <v>34.635937578537558</v>
      </c>
      <c r="F281">
        <f t="shared" si="14"/>
        <v>34.452717804292782</v>
      </c>
      <c r="H281">
        <v>90.796243221333697</v>
      </c>
    </row>
    <row r="282" spans="1:8" x14ac:dyDescent="0.35">
      <c r="A282" t="s">
        <v>300</v>
      </c>
      <c r="B282">
        <v>90.447412056783904</v>
      </c>
      <c r="C282">
        <f t="shared" si="12"/>
        <v>90.064029171077678</v>
      </c>
      <c r="D282">
        <v>36.390973332691502</v>
      </c>
      <c r="E282">
        <f t="shared" si="13"/>
        <v>35.093181207518803</v>
      </c>
      <c r="F282">
        <f t="shared" si="14"/>
        <v>35.372200325419911</v>
      </c>
      <c r="H282">
        <v>90.447412056783904</v>
      </c>
    </row>
    <row r="283" spans="1:8" x14ac:dyDescent="0.35">
      <c r="A283" t="s">
        <v>301</v>
      </c>
      <c r="B283">
        <v>90.312861489919598</v>
      </c>
      <c r="C283">
        <f t="shared" si="12"/>
        <v>90.207401063849431</v>
      </c>
      <c r="D283">
        <v>36.008973915065198</v>
      </c>
      <c r="E283">
        <f t="shared" si="13"/>
        <v>35.269548446821865</v>
      </c>
      <c r="F283">
        <f t="shared" si="14"/>
        <v>35.728759822654069</v>
      </c>
      <c r="H283">
        <v>90.312861489919598</v>
      </c>
    </row>
    <row r="284" spans="1:8" x14ac:dyDescent="0.35">
      <c r="A284" t="s">
        <v>302</v>
      </c>
      <c r="B284">
        <v>90.550146215194601</v>
      </c>
      <c r="C284">
        <f t="shared" si="12"/>
        <v>90.239366896538428</v>
      </c>
      <c r="D284">
        <v>35.9239697832028</v>
      </c>
      <c r="E284">
        <f t="shared" si="13"/>
        <v>34.958518527730234</v>
      </c>
      <c r="F284">
        <f t="shared" si="14"/>
        <v>35.100667842211756</v>
      </c>
      <c r="H284">
        <v>90.550146215194601</v>
      </c>
    </row>
    <row r="285" spans="1:8" x14ac:dyDescent="0.35">
      <c r="A285" t="s">
        <v>303</v>
      </c>
      <c r="B285">
        <v>90.475090702500296</v>
      </c>
      <c r="C285">
        <f t="shared" si="12"/>
        <v>90.271355392039226</v>
      </c>
      <c r="D285">
        <v>35.838965651340402</v>
      </c>
      <c r="E285">
        <f t="shared" si="13"/>
        <v>35.056900376851097</v>
      </c>
      <c r="F285">
        <f t="shared" si="14"/>
        <v>35.298983332297787</v>
      </c>
      <c r="H285">
        <v>90.475090702500296</v>
      </c>
    </row>
    <row r="286" spans="1:8" x14ac:dyDescent="0.35">
      <c r="A286" t="s">
        <v>304</v>
      </c>
      <c r="B286">
        <v>89.8197302030445</v>
      </c>
      <c r="C286">
        <f t="shared" si="12"/>
        <v>90.398185181696633</v>
      </c>
      <c r="D286">
        <v>35.502528596995298</v>
      </c>
      <c r="E286">
        <f t="shared" si="13"/>
        <v>35.915938913298596</v>
      </c>
      <c r="F286">
        <f t="shared" si="14"/>
        <v>37.044691777653433</v>
      </c>
      <c r="H286">
        <v>89.8197302030445</v>
      </c>
    </row>
    <row r="287" spans="1:8" x14ac:dyDescent="0.35">
      <c r="A287" t="s">
        <v>305</v>
      </c>
      <c r="B287">
        <v>89.738089532620506</v>
      </c>
      <c r="C287">
        <f t="shared" si="12"/>
        <v>89.948397415523132</v>
      </c>
      <c r="D287">
        <v>36.699949187168897</v>
      </c>
      <c r="E287">
        <f t="shared" si="13"/>
        <v>36.022952506723676</v>
      </c>
      <c r="F287">
        <f t="shared" si="14"/>
        <v>37.263947138866818</v>
      </c>
      <c r="H287">
        <v>89.738089532620506</v>
      </c>
    </row>
    <row r="288" spans="1:8" x14ac:dyDescent="0.35">
      <c r="A288" t="s">
        <v>306</v>
      </c>
      <c r="B288">
        <v>89.612485961067193</v>
      </c>
      <c r="C288">
        <f t="shared" si="12"/>
        <v>90.009487288099706</v>
      </c>
      <c r="D288">
        <v>36.536614010711297</v>
      </c>
      <c r="E288">
        <f t="shared" si="13"/>
        <v>36.187592133874432</v>
      </c>
      <c r="F288">
        <f t="shared" si="14"/>
        <v>37.602050017746627</v>
      </c>
      <c r="H288">
        <v>89.612485961067193</v>
      </c>
    </row>
    <row r="289" spans="1:8" x14ac:dyDescent="0.35">
      <c r="A289" t="s">
        <v>307</v>
      </c>
      <c r="B289">
        <v>90.080584986495694</v>
      </c>
      <c r="C289">
        <f t="shared" si="12"/>
        <v>90.463142949127686</v>
      </c>
      <c r="D289">
        <v>35.3305826550299</v>
      </c>
      <c r="E289">
        <f t="shared" si="13"/>
        <v>35.574013649894226</v>
      </c>
      <c r="F289">
        <f t="shared" si="14"/>
        <v>36.346799993440619</v>
      </c>
      <c r="H289">
        <v>90.080584986495694</v>
      </c>
    </row>
    <row r="290" spans="1:8" x14ac:dyDescent="0.35">
      <c r="A290" t="s">
        <v>308</v>
      </c>
      <c r="B290">
        <v>90.480009592237096</v>
      </c>
      <c r="C290">
        <f t="shared" si="12"/>
        <v>90.892180462089442</v>
      </c>
      <c r="D290">
        <v>34.201074692677899</v>
      </c>
      <c r="E290">
        <f t="shared" si="13"/>
        <v>35.050452756275924</v>
      </c>
      <c r="F290">
        <f t="shared" si="14"/>
        <v>35.285976317120834</v>
      </c>
      <c r="H290">
        <v>90.480009592237096</v>
      </c>
    </row>
    <row r="291" spans="1:8" x14ac:dyDescent="0.35">
      <c r="A291" t="s">
        <v>309</v>
      </c>
      <c r="B291">
        <v>90.561156916424196</v>
      </c>
      <c r="C291">
        <f t="shared" si="12"/>
        <v>90.814996231361235</v>
      </c>
      <c r="D291">
        <v>34.403486905825503</v>
      </c>
      <c r="E291">
        <f t="shared" si="13"/>
        <v>34.944085835071178</v>
      </c>
      <c r="F291">
        <f t="shared" si="14"/>
        <v>35.071602456861797</v>
      </c>
      <c r="H291">
        <v>90.561156916424196</v>
      </c>
    </row>
    <row r="292" spans="1:8" x14ac:dyDescent="0.35">
      <c r="A292" t="s">
        <v>310</v>
      </c>
      <c r="B292">
        <v>90.564777020323504</v>
      </c>
      <c r="C292">
        <f t="shared" si="12"/>
        <v>91.024186425335856</v>
      </c>
      <c r="D292">
        <v>33.855690507900697</v>
      </c>
      <c r="E292">
        <f t="shared" si="13"/>
        <v>34.939340647105119</v>
      </c>
      <c r="F292">
        <f t="shared" si="14"/>
        <v>35.062047868618436</v>
      </c>
      <c r="H292">
        <v>90.564777020323504</v>
      </c>
    </row>
    <row r="293" spans="1:8" x14ac:dyDescent="0.35">
      <c r="A293" t="s">
        <v>311</v>
      </c>
      <c r="B293">
        <v>90.342717699030302</v>
      </c>
      <c r="C293">
        <f t="shared" si="12"/>
        <v>91.217405713347716</v>
      </c>
      <c r="D293">
        <v>33.351948487343698</v>
      </c>
      <c r="E293">
        <f t="shared" si="13"/>
        <v>35.230413292659186</v>
      </c>
      <c r="F293">
        <f t="shared" si="14"/>
        <v>35.649549070922788</v>
      </c>
      <c r="H293">
        <v>90.342717699030302</v>
      </c>
    </row>
    <row r="294" spans="1:8" x14ac:dyDescent="0.35">
      <c r="A294" t="s">
        <v>312</v>
      </c>
      <c r="B294">
        <v>90.048105630418206</v>
      </c>
      <c r="C294">
        <f t="shared" si="12"/>
        <v>91.413953619088517</v>
      </c>
      <c r="D294">
        <v>32.841713263601797</v>
      </c>
      <c r="E294">
        <f t="shared" si="13"/>
        <v>35.616587193055175</v>
      </c>
      <c r="F294">
        <f t="shared" si="14"/>
        <v>36.433474994675919</v>
      </c>
      <c r="H294">
        <v>90.048105630418206</v>
      </c>
    </row>
    <row r="295" spans="1:8" x14ac:dyDescent="0.35">
      <c r="A295" t="s">
        <v>313</v>
      </c>
      <c r="B295">
        <v>89.722116520992699</v>
      </c>
      <c r="C295">
        <f t="shared" si="12"/>
        <v>91.553894857469601</v>
      </c>
      <c r="D295">
        <v>32.4797632307071</v>
      </c>
      <c r="E295">
        <f t="shared" si="13"/>
        <v>36.043889735230437</v>
      </c>
      <c r="F295">
        <f t="shared" si="14"/>
        <v>37.306891159534302</v>
      </c>
      <c r="H295">
        <v>89.722116520992699</v>
      </c>
    </row>
    <row r="296" spans="1:8" x14ac:dyDescent="0.35">
      <c r="A296" t="s">
        <v>314</v>
      </c>
      <c r="B296">
        <v>89.751224861728005</v>
      </c>
      <c r="C296">
        <f t="shared" si="12"/>
        <v>91.699715039851469</v>
      </c>
      <c r="D296">
        <v>32.103782964479898</v>
      </c>
      <c r="E296">
        <f t="shared" si="13"/>
        <v>36.00573487779787</v>
      </c>
      <c r="F296">
        <f t="shared" si="14"/>
        <v>37.228643783887236</v>
      </c>
      <c r="H296">
        <v>89.751224861728005</v>
      </c>
    </row>
    <row r="297" spans="1:8" x14ac:dyDescent="0.35">
      <c r="A297" t="s">
        <v>315</v>
      </c>
      <c r="B297">
        <v>89.899557903191393</v>
      </c>
      <c r="C297">
        <f t="shared" si="12"/>
        <v>91.840157363719726</v>
      </c>
      <c r="D297">
        <v>31.742797573479098</v>
      </c>
      <c r="E297">
        <f t="shared" si="13"/>
        <v>35.811301739164513</v>
      </c>
      <c r="F297">
        <f t="shared" si="14"/>
        <v>36.830690414462644</v>
      </c>
      <c r="H297">
        <v>89.899557903191393</v>
      </c>
    </row>
    <row r="298" spans="1:8" x14ac:dyDescent="0.35">
      <c r="A298" t="s">
        <v>316</v>
      </c>
      <c r="B298">
        <v>90.388702205323298</v>
      </c>
      <c r="C298">
        <f t="shared" si="12"/>
        <v>91.981030535185354</v>
      </c>
      <c r="D298">
        <v>31.381812182478299</v>
      </c>
      <c r="E298">
        <f t="shared" si="13"/>
        <v>35.170137363581986</v>
      </c>
      <c r="F298">
        <f t="shared" si="14"/>
        <v>35.527651107160793</v>
      </c>
      <c r="H298">
        <v>90.388702205323298</v>
      </c>
    </row>
    <row r="299" spans="1:8" x14ac:dyDescent="0.35">
      <c r="A299" t="s">
        <v>317</v>
      </c>
      <c r="B299">
        <v>91.437635516391197</v>
      </c>
      <c r="C299">
        <f t="shared" si="12"/>
        <v>93.794689688001711</v>
      </c>
      <c r="D299">
        <v>26.831183762971801</v>
      </c>
      <c r="E299">
        <f t="shared" si="13"/>
        <v>33.795208393772185</v>
      </c>
      <c r="F299">
        <f t="shared" si="14"/>
        <v>32.780383507351914</v>
      </c>
      <c r="H299">
        <v>91.437635516391197</v>
      </c>
    </row>
    <row r="300" spans="1:8" x14ac:dyDescent="0.35">
      <c r="A300" t="s">
        <v>318</v>
      </c>
      <c r="B300">
        <v>89.803152054952903</v>
      </c>
      <c r="C300">
        <f t="shared" si="12"/>
        <v>90.771058969526663</v>
      </c>
      <c r="D300">
        <v>34.518864171282701</v>
      </c>
      <c r="E300">
        <f t="shared" si="13"/>
        <v>35.937669347289415</v>
      </c>
      <c r="F300">
        <f t="shared" si="14"/>
        <v>37.089182034486576</v>
      </c>
      <c r="H300">
        <v>89.803152054952903</v>
      </c>
    </row>
    <row r="301" spans="1:8" x14ac:dyDescent="0.35">
      <c r="A301" t="s">
        <v>319</v>
      </c>
      <c r="B301">
        <v>86.860509257952799</v>
      </c>
      <c r="C301">
        <f t="shared" si="12"/>
        <v>90.497732046111935</v>
      </c>
      <c r="D301">
        <v>35.2391245748125</v>
      </c>
      <c r="E301">
        <f t="shared" si="13"/>
        <v>39.794849576677414</v>
      </c>
      <c r="F301">
        <f t="shared" si="14"/>
        <v>45.255303206903534</v>
      </c>
      <c r="H301">
        <v>86.860509257952799</v>
      </c>
    </row>
    <row r="302" spans="1:8" x14ac:dyDescent="0.35">
      <c r="A302" t="s">
        <v>320</v>
      </c>
      <c r="B302">
        <v>87.007552285003399</v>
      </c>
      <c r="C302">
        <f t="shared" si="12"/>
        <v>90.294219855198037</v>
      </c>
      <c r="D302">
        <v>35.778244035441197</v>
      </c>
      <c r="E302">
        <f t="shared" si="13"/>
        <v>39.602107373176821</v>
      </c>
      <c r="F302">
        <f t="shared" si="14"/>
        <v>44.834133296019061</v>
      </c>
      <c r="H302">
        <v>87.007552285003399</v>
      </c>
    </row>
    <row r="303" spans="1:8" x14ac:dyDescent="0.35">
      <c r="A303" t="s">
        <v>321</v>
      </c>
      <c r="B303">
        <v>86.334039915870093</v>
      </c>
      <c r="C303">
        <f t="shared" si="12"/>
        <v>90.231384156851291</v>
      </c>
      <c r="D303">
        <v>35.945191989545997</v>
      </c>
      <c r="E303">
        <f t="shared" si="13"/>
        <v>40.484939158644522</v>
      </c>
      <c r="F303">
        <f t="shared" si="14"/>
        <v>46.775013747233466</v>
      </c>
      <c r="H303">
        <v>86.334039915870093</v>
      </c>
    </row>
    <row r="304" spans="1:8" x14ac:dyDescent="0.35">
      <c r="A304" t="s">
        <v>322</v>
      </c>
      <c r="B304">
        <v>86.623050389057695</v>
      </c>
      <c r="C304">
        <f t="shared" si="12"/>
        <v>89.175257568743064</v>
      </c>
      <c r="D304">
        <v>38.786420794270299</v>
      </c>
      <c r="E304">
        <f t="shared" si="13"/>
        <v>40.106107761098833</v>
      </c>
      <c r="F304">
        <f t="shared" si="14"/>
        <v>45.938466896010326</v>
      </c>
      <c r="H304">
        <v>86.623050389057695</v>
      </c>
    </row>
    <row r="305" spans="1:8" x14ac:dyDescent="0.35">
      <c r="A305" t="s">
        <v>323</v>
      </c>
      <c r="B305">
        <v>87.077584013442504</v>
      </c>
      <c r="C305">
        <f t="shared" si="12"/>
        <v>89.714285612223691</v>
      </c>
      <c r="D305">
        <v>37.327950427753798</v>
      </c>
      <c r="E305">
        <f t="shared" si="13"/>
        <v>39.510310639084409</v>
      </c>
      <c r="F305">
        <f t="shared" si="14"/>
        <v>44.634044049944457</v>
      </c>
      <c r="H305">
        <v>87.077584013442504</v>
      </c>
    </row>
    <row r="306" spans="1:8" x14ac:dyDescent="0.35">
      <c r="A306" t="s">
        <v>324</v>
      </c>
      <c r="B306">
        <v>88.158722282920706</v>
      </c>
      <c r="C306">
        <f t="shared" si="12"/>
        <v>90.15645961049087</v>
      </c>
      <c r="D306">
        <v>36.144562939614801</v>
      </c>
      <c r="E306">
        <f t="shared" si="13"/>
        <v>38.093167803223608</v>
      </c>
      <c r="F306">
        <f t="shared" si="14"/>
        <v>41.585434490336901</v>
      </c>
      <c r="H306">
        <v>88.158722282920706</v>
      </c>
    </row>
    <row r="307" spans="1:8" x14ac:dyDescent="0.35">
      <c r="A307" t="s">
        <v>325</v>
      </c>
      <c r="B307">
        <v>89.314101215929995</v>
      </c>
      <c r="C307">
        <f t="shared" si="12"/>
        <v>90.68859657689579</v>
      </c>
      <c r="D307">
        <v>34.735708502413402</v>
      </c>
      <c r="E307">
        <f t="shared" si="13"/>
        <v>36.578711212570461</v>
      </c>
      <c r="F307">
        <f t="shared" si="14"/>
        <v>38.409062557965719</v>
      </c>
      <c r="H307">
        <v>89.314101215929995</v>
      </c>
    </row>
    <row r="308" spans="1:8" x14ac:dyDescent="0.35">
      <c r="A308" t="s">
        <v>326</v>
      </c>
      <c r="B308">
        <v>90.831437670124402</v>
      </c>
      <c r="C308">
        <f t="shared" si="12"/>
        <v>91.17379490961838</v>
      </c>
      <c r="D308">
        <v>33.465459648726799</v>
      </c>
      <c r="E308">
        <f t="shared" si="13"/>
        <v>34.589805125017165</v>
      </c>
      <c r="F308">
        <f t="shared" si="14"/>
        <v>34.360341129617403</v>
      </c>
      <c r="H308">
        <v>90.831437670124402</v>
      </c>
    </row>
    <row r="309" spans="1:8" x14ac:dyDescent="0.35">
      <c r="A309" t="s">
        <v>327</v>
      </c>
      <c r="B309">
        <v>91.994349007718895</v>
      </c>
      <c r="C309">
        <f t="shared" si="12"/>
        <v>91.620283903958082</v>
      </c>
      <c r="D309">
        <v>32.308438444707399</v>
      </c>
      <c r="E309">
        <f t="shared" si="13"/>
        <v>33.065475150453665</v>
      </c>
      <c r="F309">
        <f t="shared" si="14"/>
        <v>31.347740998735464</v>
      </c>
      <c r="H309">
        <v>91.994349007718895</v>
      </c>
    </row>
    <row r="310" spans="1:8" x14ac:dyDescent="0.35">
      <c r="A310" t="s">
        <v>328</v>
      </c>
      <c r="B310">
        <v>92.905637563827597</v>
      </c>
      <c r="C310">
        <f t="shared" si="12"/>
        <v>92.012627070346468</v>
      </c>
      <c r="D310">
        <v>31.300998297678699</v>
      </c>
      <c r="E310">
        <f t="shared" si="13"/>
        <v>31.870969243901431</v>
      </c>
      <c r="F310">
        <f t="shared" si="14"/>
        <v>29.039692540816237</v>
      </c>
      <c r="H310">
        <v>92.905637563827597</v>
      </c>
    </row>
    <row r="311" spans="1:8" x14ac:dyDescent="0.35">
      <c r="A311" t="s">
        <v>329</v>
      </c>
      <c r="B311">
        <v>93.466027509616197</v>
      </c>
      <c r="C311">
        <f t="shared" si="12"/>
        <v>92.339094118693325</v>
      </c>
      <c r="D311">
        <v>30.469237327995899</v>
      </c>
      <c r="E311">
        <f t="shared" si="13"/>
        <v>31.136416948989122</v>
      </c>
      <c r="F311">
        <f t="shared" si="14"/>
        <v>27.642723740368176</v>
      </c>
      <c r="H311">
        <v>93.466027509616197</v>
      </c>
    </row>
    <row r="312" spans="1:8" x14ac:dyDescent="0.35">
      <c r="A312" t="s">
        <v>330</v>
      </c>
      <c r="B312">
        <v>91.665399161967997</v>
      </c>
      <c r="C312">
        <f t="shared" si="12"/>
        <v>92.457519513661964</v>
      </c>
      <c r="D312">
        <v>30.168969211969401</v>
      </c>
      <c r="E312">
        <f t="shared" si="13"/>
        <v>33.496658589634293</v>
      </c>
      <c r="F312">
        <f t="shared" si="14"/>
        <v>32.192154808709205</v>
      </c>
      <c r="H312">
        <v>91.665399161967997</v>
      </c>
    </row>
    <row r="313" spans="1:8" x14ac:dyDescent="0.35">
      <c r="A313" t="s">
        <v>331</v>
      </c>
      <c r="B313">
        <v>89.958823353056502</v>
      </c>
      <c r="C313">
        <f t="shared" si="12"/>
        <v>91.704670102358477</v>
      </c>
      <c r="D313">
        <v>32.0910279215949</v>
      </c>
      <c r="E313">
        <f t="shared" si="13"/>
        <v>35.73361731150019</v>
      </c>
      <c r="F313">
        <f t="shared" si="14"/>
        <v>36.672057797905858</v>
      </c>
      <c r="H313">
        <v>89.958823353056502</v>
      </c>
    </row>
    <row r="314" spans="1:8" x14ac:dyDescent="0.35">
      <c r="A314" t="s">
        <v>332</v>
      </c>
      <c r="B314">
        <v>88.177280541414902</v>
      </c>
      <c r="C314">
        <f t="shared" si="12"/>
        <v>91.793503097621084</v>
      </c>
      <c r="D314">
        <v>31.862592664967799</v>
      </c>
      <c r="E314">
        <f t="shared" si="13"/>
        <v>38.068841864707167</v>
      </c>
      <c r="F314">
        <f t="shared" si="14"/>
        <v>41.533756281042415</v>
      </c>
      <c r="H314">
        <v>88.177280541414902</v>
      </c>
    </row>
    <row r="315" spans="1:8" x14ac:dyDescent="0.35">
      <c r="A315" t="s">
        <v>333</v>
      </c>
      <c r="B315">
        <v>89.095482398248393</v>
      </c>
      <c r="C315">
        <f t="shared" si="12"/>
        <v>91.951127313028266</v>
      </c>
      <c r="D315">
        <v>31.4583462654731</v>
      </c>
      <c r="E315">
        <f t="shared" si="13"/>
        <v>36.865274088021501</v>
      </c>
      <c r="F315">
        <f t="shared" si="14"/>
        <v>39.003770926995166</v>
      </c>
      <c r="H315">
        <v>89.095482398248393</v>
      </c>
    </row>
    <row r="316" spans="1:8" x14ac:dyDescent="0.35">
      <c r="A316" t="s">
        <v>334</v>
      </c>
      <c r="B316">
        <v>89.986502884175806</v>
      </c>
      <c r="C316">
        <f t="shared" si="12"/>
        <v>92.105958870614117</v>
      </c>
      <c r="D316">
        <v>31.062609024766999</v>
      </c>
      <c r="E316">
        <f t="shared" si="13"/>
        <v>35.697335320257167</v>
      </c>
      <c r="F316">
        <f t="shared" si="14"/>
        <v>36.598041081748072</v>
      </c>
      <c r="H316">
        <v>89.986502884175806</v>
      </c>
    </row>
    <row r="317" spans="1:8" x14ac:dyDescent="0.35">
      <c r="A317" t="s">
        <v>335</v>
      </c>
      <c r="B317">
        <v>90.303669265259003</v>
      </c>
      <c r="C317">
        <f t="shared" si="12"/>
        <v>92.132823482896384</v>
      </c>
      <c r="D317">
        <v>30.994080608836001</v>
      </c>
      <c r="E317">
        <f t="shared" si="13"/>
        <v>35.28159750260977</v>
      </c>
      <c r="F317">
        <f t="shared" si="14"/>
        <v>35.753158026465947</v>
      </c>
      <c r="H317">
        <v>90.303669265259003</v>
      </c>
    </row>
    <row r="318" spans="1:8" x14ac:dyDescent="0.35">
      <c r="A318" t="s">
        <v>336</v>
      </c>
      <c r="B318">
        <v>89.563480550436097</v>
      </c>
      <c r="C318">
        <f t="shared" si="12"/>
        <v>91.439708023192793</v>
      </c>
      <c r="D318">
        <v>32.7750177828378</v>
      </c>
      <c r="E318">
        <f t="shared" si="13"/>
        <v>36.251827827453013</v>
      </c>
      <c r="F318">
        <f t="shared" si="14"/>
        <v>37.734221198417117</v>
      </c>
      <c r="H318">
        <v>89.563480550436097</v>
      </c>
    </row>
    <row r="319" spans="1:8" x14ac:dyDescent="0.35">
      <c r="A319" t="s">
        <v>337</v>
      </c>
      <c r="B319">
        <v>88.038139651378003</v>
      </c>
      <c r="C319">
        <f t="shared" si="12"/>
        <v>91.714698114972549</v>
      </c>
      <c r="D319">
        <v>32.065218593262003</v>
      </c>
      <c r="E319">
        <f t="shared" si="13"/>
        <v>38.251226043546986</v>
      </c>
      <c r="F319">
        <f t="shared" si="14"/>
        <v>41.921745309004386</v>
      </c>
      <c r="H319">
        <v>88.038139651378003</v>
      </c>
    </row>
    <row r="320" spans="1:8" x14ac:dyDescent="0.35">
      <c r="A320" t="s">
        <v>338</v>
      </c>
      <c r="B320">
        <v>87.889780585003507</v>
      </c>
      <c r="C320">
        <f t="shared" si="12"/>
        <v>90.663316145131148</v>
      </c>
      <c r="D320">
        <v>34.802265302004301</v>
      </c>
      <c r="E320">
        <f t="shared" si="13"/>
        <v>38.445693295315891</v>
      </c>
      <c r="F320">
        <f t="shared" si="14"/>
        <v>42.336792118038979</v>
      </c>
      <c r="H320">
        <v>87.889780585003507</v>
      </c>
    </row>
    <row r="321" spans="1:8" x14ac:dyDescent="0.35">
      <c r="A321" t="s">
        <v>339</v>
      </c>
      <c r="B321">
        <v>87.616971900883996</v>
      </c>
      <c r="C321">
        <f t="shared" si="12"/>
        <v>90.186145362153667</v>
      </c>
      <c r="D321">
        <v>36.065530825288597</v>
      </c>
      <c r="E321">
        <f t="shared" si="13"/>
        <v>38.803287585680955</v>
      </c>
      <c r="F321">
        <f t="shared" si="14"/>
        <v>43.103665732874965</v>
      </c>
      <c r="H321">
        <v>87.616971900883996</v>
      </c>
    </row>
    <row r="322" spans="1:8" x14ac:dyDescent="0.35">
      <c r="A322" t="s">
        <v>340</v>
      </c>
      <c r="B322">
        <v>87.717039321251804</v>
      </c>
      <c r="C322">
        <f t="shared" si="12"/>
        <v>90.687215738707778</v>
      </c>
      <c r="D322">
        <v>34.739342932042398</v>
      </c>
      <c r="E322">
        <f t="shared" si="13"/>
        <v>38.672120433540691</v>
      </c>
      <c r="F322">
        <f t="shared" si="14"/>
        <v>42.821819181844702</v>
      </c>
      <c r="H322">
        <v>87.717039321251804</v>
      </c>
    </row>
    <row r="323" spans="1:8" x14ac:dyDescent="0.35">
      <c r="A323" t="s">
        <v>341</v>
      </c>
      <c r="B323">
        <v>87.686486674955205</v>
      </c>
      <c r="C323">
        <f t="shared" si="12"/>
        <v>90.922239007363601</v>
      </c>
      <c r="D323">
        <v>34.122340470902699</v>
      </c>
      <c r="E323">
        <f t="shared" si="13"/>
        <v>38.712168469058582</v>
      </c>
      <c r="F323">
        <f t="shared" si="14"/>
        <v>42.907804523803222</v>
      </c>
      <c r="H323">
        <v>87.686486674955205</v>
      </c>
    </row>
    <row r="324" spans="1:8" x14ac:dyDescent="0.35">
      <c r="A324" t="s">
        <v>342</v>
      </c>
      <c r="B324">
        <v>87.476956155188205</v>
      </c>
      <c r="C324">
        <f t="shared" si="12"/>
        <v>90.781151874439161</v>
      </c>
      <c r="D324">
        <v>34.492350777914901</v>
      </c>
      <c r="E324">
        <f t="shared" si="13"/>
        <v>38.986818514630741</v>
      </c>
      <c r="F324">
        <f t="shared" si="14"/>
        <v>43.499111744662031</v>
      </c>
      <c r="H324">
        <v>87.476956155188205</v>
      </c>
    </row>
    <row r="325" spans="1:8" x14ac:dyDescent="0.35">
      <c r="A325" t="s">
        <v>343</v>
      </c>
      <c r="B325">
        <v>87.978055238440007</v>
      </c>
      <c r="C325">
        <f t="shared" si="12"/>
        <v>90.954682954178779</v>
      </c>
      <c r="D325">
        <v>34.037416416620601</v>
      </c>
      <c r="E325">
        <f t="shared" si="13"/>
        <v>38.329983958002344</v>
      </c>
      <c r="F325">
        <f t="shared" si="14"/>
        <v>42.089667786243226</v>
      </c>
      <c r="H325">
        <v>87.978055238440007</v>
      </c>
    </row>
    <row r="326" spans="1:8" x14ac:dyDescent="0.35">
      <c r="A326" t="s">
        <v>344</v>
      </c>
      <c r="B326">
        <v>88.687524146795297</v>
      </c>
      <c r="C326">
        <f t="shared" si="12"/>
        <v>89.821947714531007</v>
      </c>
      <c r="D326">
        <v>37.0387419568141</v>
      </c>
      <c r="E326">
        <f t="shared" si="13"/>
        <v>37.400020780187049</v>
      </c>
      <c r="F326">
        <f t="shared" si="14"/>
        <v>40.121379518565355</v>
      </c>
      <c r="H326">
        <v>88.687524146795297</v>
      </c>
    </row>
    <row r="327" spans="1:8" x14ac:dyDescent="0.35">
      <c r="A327" t="s">
        <v>345</v>
      </c>
      <c r="B327">
        <v>88.655823883556806</v>
      </c>
      <c r="C327">
        <f t="shared" si="12"/>
        <v>90.037469625463061</v>
      </c>
      <c r="D327">
        <v>36.461872022930798</v>
      </c>
      <c r="E327">
        <f t="shared" si="13"/>
        <v>37.441573097972466</v>
      </c>
      <c r="F327">
        <f t="shared" si="14"/>
        <v>40.208653601137598</v>
      </c>
      <c r="H327">
        <v>88.655823883556806</v>
      </c>
    </row>
    <row r="328" spans="1:8" x14ac:dyDescent="0.35">
      <c r="A328" t="s">
        <v>346</v>
      </c>
      <c r="B328">
        <v>88.498225924719407</v>
      </c>
      <c r="C328">
        <f t="shared" si="12"/>
        <v>90.399658119635689</v>
      </c>
      <c r="D328">
        <v>35.498626930236597</v>
      </c>
      <c r="E328">
        <f t="shared" si="13"/>
        <v>37.648150577114421</v>
      </c>
      <c r="F328">
        <f t="shared" si="14"/>
        <v>40.643465057438874</v>
      </c>
      <c r="H328">
        <v>88.498225924719407</v>
      </c>
    </row>
    <row r="329" spans="1:8" x14ac:dyDescent="0.35">
      <c r="A329" t="s">
        <v>347</v>
      </c>
      <c r="B329">
        <v>88.731055926016097</v>
      </c>
      <c r="C329">
        <f t="shared" ref="C329:C392" si="15">$B$2/(1+$B$4*((D329/100)/$B$3))</f>
        <v>90.237727350348791</v>
      </c>
      <c r="D329">
        <v>35.928328229430001</v>
      </c>
      <c r="E329">
        <f t="shared" ref="E329:E392" si="16" xml:space="preserve"> (117.22 - B329)/0.7629</f>
        <v>37.342959855792245</v>
      </c>
      <c r="F329">
        <f t="shared" ref="F329:F392" si="17" xml:space="preserve"> ((($B$3 *($B$2-B329))/($B$4*B329)))*100</f>
        <v>40.001633671137917</v>
      </c>
      <c r="G329">
        <v>0</v>
      </c>
      <c r="H329">
        <v>88.731055926016097</v>
      </c>
    </row>
    <row r="330" spans="1:8" x14ac:dyDescent="0.35">
      <c r="A330" t="s">
        <v>348</v>
      </c>
      <c r="B330">
        <v>89.122158956828997</v>
      </c>
      <c r="C330">
        <f t="shared" si="15"/>
        <v>90.540342836849234</v>
      </c>
      <c r="D330">
        <v>35.126552158502001</v>
      </c>
      <c r="E330">
        <f t="shared" si="16"/>
        <v>36.830306780929348</v>
      </c>
      <c r="F330">
        <f t="shared" si="17"/>
        <v>38.931046443575717</v>
      </c>
      <c r="G330">
        <v>0</v>
      </c>
      <c r="H330">
        <v>89.122158956828997</v>
      </c>
    </row>
    <row r="331" spans="1:8" x14ac:dyDescent="0.35">
      <c r="A331" t="s">
        <v>349</v>
      </c>
      <c r="B331">
        <v>90.019176542797993</v>
      </c>
      <c r="C331">
        <f t="shared" si="15"/>
        <v>90.924372910494895</v>
      </c>
      <c r="D331">
        <v>34.1167529843746</v>
      </c>
      <c r="E331">
        <f t="shared" si="16"/>
        <v>35.654507087694334</v>
      </c>
      <c r="F331">
        <f t="shared" si="17"/>
        <v>36.510728348886502</v>
      </c>
      <c r="G331">
        <v>0</v>
      </c>
      <c r="H331">
        <v>90.019176542797993</v>
      </c>
    </row>
    <row r="332" spans="1:8" x14ac:dyDescent="0.35">
      <c r="A332" t="s">
        <v>350</v>
      </c>
      <c r="B332">
        <v>90.905842183238505</v>
      </c>
      <c r="C332">
        <f t="shared" si="15"/>
        <v>91.26648999051055</v>
      </c>
      <c r="D332">
        <v>33.224320606064701</v>
      </c>
      <c r="E332">
        <f t="shared" si="16"/>
        <v>34.492276598193072</v>
      </c>
      <c r="F332">
        <f t="shared" si="17"/>
        <v>34.165283240075013</v>
      </c>
      <c r="G332">
        <v>0</v>
      </c>
      <c r="H332">
        <v>90.905842183238505</v>
      </c>
    </row>
    <row r="333" spans="1:8" x14ac:dyDescent="0.35">
      <c r="A333" t="s">
        <v>351</v>
      </c>
      <c r="B333">
        <v>91.525410322728305</v>
      </c>
      <c r="C333">
        <f t="shared" si="15"/>
        <v>91.538716625349153</v>
      </c>
      <c r="D333">
        <v>32.518967356221502</v>
      </c>
      <c r="E333">
        <f t="shared" si="16"/>
        <v>33.680154249930126</v>
      </c>
      <c r="F333">
        <f t="shared" si="17"/>
        <v>32.553347138106155</v>
      </c>
      <c r="G333">
        <v>0</v>
      </c>
      <c r="H333">
        <v>91.525410322728305</v>
      </c>
    </row>
    <row r="334" spans="1:8" x14ac:dyDescent="0.35">
      <c r="A334" t="s">
        <v>352</v>
      </c>
      <c r="B334">
        <v>91.697303773784299</v>
      </c>
      <c r="C334">
        <f t="shared" si="15"/>
        <v>91.912259312870034</v>
      </c>
      <c r="D334">
        <v>31.557899166655702</v>
      </c>
      <c r="E334">
        <f t="shared" si="16"/>
        <v>33.454838414229521</v>
      </c>
      <c r="F334">
        <f t="shared" si="17"/>
        <v>32.109990408434328</v>
      </c>
      <c r="G334">
        <v>0</v>
      </c>
      <c r="H334">
        <v>91.697303773784299</v>
      </c>
    </row>
    <row r="335" spans="1:8" x14ac:dyDescent="0.35">
      <c r="A335" t="s">
        <v>353</v>
      </c>
      <c r="B335">
        <v>91.578184955813597</v>
      </c>
      <c r="C335">
        <f t="shared" si="15"/>
        <v>92.2913008080682</v>
      </c>
      <c r="D335">
        <v>30.590635727977698</v>
      </c>
      <c r="E335">
        <f t="shared" si="16"/>
        <v>33.610977905605452</v>
      </c>
      <c r="F335">
        <f t="shared" si="17"/>
        <v>32.417050943344591</v>
      </c>
      <c r="G335">
        <v>0</v>
      </c>
      <c r="H335">
        <v>91.578184955813597</v>
      </c>
    </row>
    <row r="336" spans="1:8" x14ac:dyDescent="0.35">
      <c r="A336" t="s">
        <v>354</v>
      </c>
      <c r="B336">
        <v>92.091797531248304</v>
      </c>
      <c r="C336">
        <f t="shared" si="15"/>
        <v>92.607493126946764</v>
      </c>
      <c r="D336">
        <v>29.7898125302466</v>
      </c>
      <c r="E336">
        <f t="shared" si="16"/>
        <v>32.93774081629531</v>
      </c>
      <c r="F336">
        <f t="shared" si="17"/>
        <v>31.098749002198105</v>
      </c>
      <c r="G336">
        <v>0</v>
      </c>
      <c r="H336">
        <v>92.091797531248304</v>
      </c>
    </row>
    <row r="337" spans="1:8" x14ac:dyDescent="0.35">
      <c r="A337" t="s">
        <v>355</v>
      </c>
      <c r="B337">
        <v>92.248662198188498</v>
      </c>
      <c r="C337">
        <f t="shared" si="15"/>
        <v>92.852789332507015</v>
      </c>
      <c r="D337">
        <v>29.1723054063017</v>
      </c>
      <c r="E337">
        <f t="shared" si="16"/>
        <v>32.732124527213919</v>
      </c>
      <c r="F337">
        <f t="shared" si="17"/>
        <v>30.699046994471729</v>
      </c>
      <c r="G337">
        <v>0</v>
      </c>
      <c r="H337">
        <v>92.248662198188498</v>
      </c>
    </row>
    <row r="338" spans="1:8" x14ac:dyDescent="0.35">
      <c r="A338" t="s">
        <v>356</v>
      </c>
      <c r="B338">
        <v>92.579203240048699</v>
      </c>
      <c r="C338">
        <f t="shared" si="15"/>
        <v>92.943618234376586</v>
      </c>
      <c r="D338">
        <v>28.944480207266501</v>
      </c>
      <c r="E338">
        <f t="shared" si="16"/>
        <v>32.298855367612134</v>
      </c>
      <c r="F338">
        <f t="shared" si="17"/>
        <v>29.861239770247483</v>
      </c>
      <c r="G338">
        <v>0</v>
      </c>
      <c r="H338">
        <v>92.579203240048699</v>
      </c>
    </row>
    <row r="339" spans="1:8" x14ac:dyDescent="0.35">
      <c r="A339" t="s">
        <v>357</v>
      </c>
      <c r="B339">
        <v>92.517183619141406</v>
      </c>
      <c r="C339">
        <f t="shared" si="15"/>
        <v>93.09581864372295</v>
      </c>
      <c r="D339">
        <v>28.5637140906992</v>
      </c>
      <c r="E339">
        <f t="shared" si="16"/>
        <v>32.380149929032108</v>
      </c>
      <c r="F339">
        <f t="shared" si="17"/>
        <v>30.017981808351625</v>
      </c>
      <c r="G339">
        <v>0</v>
      </c>
      <c r="H339">
        <v>92.517183619141406</v>
      </c>
    </row>
    <row r="340" spans="1:8" x14ac:dyDescent="0.35">
      <c r="A340" t="s">
        <v>358</v>
      </c>
      <c r="B340">
        <v>93.208079920369997</v>
      </c>
      <c r="C340">
        <f t="shared" si="15"/>
        <v>93.187210788427834</v>
      </c>
      <c r="D340">
        <v>28.3356722144595</v>
      </c>
      <c r="E340">
        <f t="shared" si="16"/>
        <v>31.474531497745446</v>
      </c>
      <c r="F340">
        <f t="shared" si="17"/>
        <v>28.283662228687088</v>
      </c>
      <c r="G340">
        <v>0</v>
      </c>
      <c r="H340">
        <v>93.208079920369997</v>
      </c>
    </row>
    <row r="341" spans="1:8" x14ac:dyDescent="0.35">
      <c r="A341" t="s">
        <v>359</v>
      </c>
      <c r="B341">
        <v>93.184259469806406</v>
      </c>
      <c r="C341">
        <f t="shared" si="15"/>
        <v>93.371615272315154</v>
      </c>
      <c r="D341">
        <v>27.8769048488621</v>
      </c>
      <c r="E341">
        <f t="shared" si="16"/>
        <v>31.505755053340664</v>
      </c>
      <c r="F341">
        <f t="shared" si="17"/>
        <v>28.343029361764028</v>
      </c>
      <c r="G341">
        <v>0</v>
      </c>
      <c r="H341">
        <v>93.184259469806406</v>
      </c>
    </row>
    <row r="342" spans="1:8" x14ac:dyDescent="0.35">
      <c r="A342" t="s">
        <v>360</v>
      </c>
      <c r="B342">
        <v>93.138041913362599</v>
      </c>
      <c r="C342">
        <f t="shared" si="15"/>
        <v>93.458230950309897</v>
      </c>
      <c r="D342">
        <v>27.662044485460701</v>
      </c>
      <c r="E342">
        <f t="shared" si="16"/>
        <v>31.566336461708481</v>
      </c>
      <c r="F342">
        <f t="shared" si="17"/>
        <v>28.458302878694084</v>
      </c>
      <c r="G342">
        <v>0</v>
      </c>
      <c r="H342">
        <v>93.138041913362599</v>
      </c>
    </row>
    <row r="343" spans="1:8" x14ac:dyDescent="0.35">
      <c r="A343" t="s">
        <v>361</v>
      </c>
      <c r="B343">
        <v>92.820813515024099</v>
      </c>
      <c r="C343">
        <f t="shared" si="15"/>
        <v>93.59390759397985</v>
      </c>
      <c r="D343">
        <v>27.326281992673099</v>
      </c>
      <c r="E343">
        <f t="shared" si="16"/>
        <v>31.982155570816488</v>
      </c>
      <c r="F343">
        <f t="shared" si="17"/>
        <v>29.252616133056584</v>
      </c>
      <c r="G343">
        <v>0</v>
      </c>
      <c r="H343">
        <v>92.820813515024099</v>
      </c>
    </row>
    <row r="344" spans="1:8" x14ac:dyDescent="0.35">
      <c r="A344" t="s">
        <v>362</v>
      </c>
      <c r="B344">
        <v>93.042736167391695</v>
      </c>
      <c r="C344">
        <f t="shared" si="15"/>
        <v>93.569788196208961</v>
      </c>
      <c r="D344">
        <v>27.385899725779801</v>
      </c>
      <c r="E344">
        <f t="shared" si="16"/>
        <v>31.691262069220478</v>
      </c>
      <c r="F344">
        <f t="shared" si="17"/>
        <v>28.696371267587839</v>
      </c>
      <c r="G344">
        <v>0</v>
      </c>
      <c r="H344">
        <v>93.042736167391695</v>
      </c>
    </row>
    <row r="345" spans="1:8" x14ac:dyDescent="0.35">
      <c r="A345" t="s">
        <v>363</v>
      </c>
      <c r="B345">
        <v>93.244909272545001</v>
      </c>
      <c r="C345">
        <f t="shared" si="15"/>
        <v>92.708400804948241</v>
      </c>
      <c r="D345">
        <v>29.5353925470143</v>
      </c>
      <c r="E345">
        <f t="shared" si="16"/>
        <v>31.426256032841785</v>
      </c>
      <c r="F345">
        <f t="shared" si="17"/>
        <v>28.191933027381239</v>
      </c>
      <c r="G345">
        <v>0</v>
      </c>
      <c r="H345">
        <v>93.244909272545001</v>
      </c>
    </row>
    <row r="346" spans="1:8" x14ac:dyDescent="0.35">
      <c r="A346" t="s">
        <v>364</v>
      </c>
      <c r="B346">
        <v>88.481953743391301</v>
      </c>
      <c r="C346">
        <f t="shared" si="15"/>
        <v>90.835301285768836</v>
      </c>
      <c r="D346">
        <v>34.350204460009799</v>
      </c>
      <c r="E346">
        <f t="shared" si="16"/>
        <v>37.66947995360951</v>
      </c>
      <c r="F346">
        <f t="shared" si="17"/>
        <v>40.688448090124595</v>
      </c>
      <c r="G346">
        <v>0</v>
      </c>
      <c r="H346">
        <v>88.481953743391301</v>
      </c>
    </row>
    <row r="347" spans="1:8" x14ac:dyDescent="0.35">
      <c r="A347" t="s">
        <v>365</v>
      </c>
      <c r="B347">
        <v>88.894600481385893</v>
      </c>
      <c r="C347">
        <f t="shared" si="15"/>
        <v>90.700463221702989</v>
      </c>
      <c r="D347">
        <v>34.704479509313899</v>
      </c>
      <c r="E347">
        <f t="shared" si="16"/>
        <v>37.128587650562466</v>
      </c>
      <c r="F347">
        <f t="shared" si="17"/>
        <v>39.552808419627297</v>
      </c>
      <c r="G347">
        <v>0</v>
      </c>
      <c r="H347">
        <v>88.894600481385893</v>
      </c>
    </row>
    <row r="348" spans="1:8" x14ac:dyDescent="0.35">
      <c r="A348" t="s">
        <v>366</v>
      </c>
      <c r="B348">
        <v>89.133575523998502</v>
      </c>
      <c r="C348">
        <f t="shared" si="15"/>
        <v>91.429947564446735</v>
      </c>
      <c r="D348">
        <v>32.800289756108803</v>
      </c>
      <c r="E348">
        <f t="shared" si="16"/>
        <v>36.815342084154537</v>
      </c>
      <c r="F348">
        <f t="shared" si="17"/>
        <v>38.899936391790241</v>
      </c>
      <c r="G348">
        <v>0</v>
      </c>
      <c r="H348">
        <v>89.133575523998502</v>
      </c>
    </row>
    <row r="349" spans="1:8" x14ac:dyDescent="0.35">
      <c r="A349" t="s">
        <v>367</v>
      </c>
      <c r="B349">
        <v>90.044216441129095</v>
      </c>
      <c r="C349">
        <f t="shared" si="15"/>
        <v>92.095460698659693</v>
      </c>
      <c r="D349">
        <v>31.089399471392699</v>
      </c>
      <c r="E349">
        <f t="shared" si="16"/>
        <v>35.621685094862897</v>
      </c>
      <c r="F349">
        <f t="shared" si="17"/>
        <v>36.443857947999447</v>
      </c>
      <c r="G349">
        <v>0</v>
      </c>
      <c r="H349">
        <v>90.044216441129095</v>
      </c>
    </row>
    <row r="350" spans="1:8" x14ac:dyDescent="0.35">
      <c r="A350" t="s">
        <v>368</v>
      </c>
      <c r="B350">
        <v>91.099302674558203</v>
      </c>
      <c r="C350">
        <f t="shared" si="15"/>
        <v>92.536042158429836</v>
      </c>
      <c r="D350">
        <v>29.9702984372367</v>
      </c>
      <c r="E350">
        <f t="shared" si="16"/>
        <v>34.238690949589454</v>
      </c>
      <c r="F350">
        <f t="shared" si="17"/>
        <v>33.659601043471518</v>
      </c>
      <c r="G350">
        <v>2.2050113999999999E-2</v>
      </c>
      <c r="H350">
        <v>91.099302674558203</v>
      </c>
    </row>
    <row r="351" spans="1:8" x14ac:dyDescent="0.35">
      <c r="A351" t="s">
        <v>369</v>
      </c>
      <c r="B351">
        <v>91.927876720529696</v>
      </c>
      <c r="C351">
        <f t="shared" si="15"/>
        <v>93.044860546795817</v>
      </c>
      <c r="D351">
        <v>28.691059373047299</v>
      </c>
      <c r="E351">
        <f t="shared" si="16"/>
        <v>33.152606212439771</v>
      </c>
      <c r="F351">
        <f t="shared" si="17"/>
        <v>31.51788806580479</v>
      </c>
      <c r="G351">
        <v>4.4100228999999998E-2</v>
      </c>
      <c r="H351">
        <v>91.927876720529696</v>
      </c>
    </row>
    <row r="352" spans="1:8" x14ac:dyDescent="0.35">
      <c r="A352" t="s">
        <v>370</v>
      </c>
      <c r="B352">
        <v>93.544076112532593</v>
      </c>
      <c r="C352">
        <f t="shared" si="15"/>
        <v>94.276459906996379</v>
      </c>
      <c r="D352">
        <v>25.651812184132002</v>
      </c>
      <c r="E352">
        <f t="shared" si="16"/>
        <v>31.034111793770357</v>
      </c>
      <c r="F352">
        <f t="shared" si="17"/>
        <v>27.449488076518247</v>
      </c>
      <c r="G352">
        <v>6.6150343E-2</v>
      </c>
      <c r="H352">
        <v>93.544076112532593</v>
      </c>
    </row>
    <row r="353" spans="1:8" x14ac:dyDescent="0.35">
      <c r="A353" t="s">
        <v>371</v>
      </c>
      <c r="B353">
        <v>94.665946814513205</v>
      </c>
      <c r="C353">
        <f t="shared" si="15"/>
        <v>94.279427212004222</v>
      </c>
      <c r="D353">
        <v>25.644585580873201</v>
      </c>
      <c r="E353">
        <f t="shared" si="16"/>
        <v>29.563577382994879</v>
      </c>
      <c r="F353">
        <f t="shared" si="17"/>
        <v>24.707124966517025</v>
      </c>
      <c r="G353">
        <v>8.8200457999999995E-2</v>
      </c>
      <c r="H353">
        <v>94.665946814513205</v>
      </c>
    </row>
    <row r="354" spans="1:8" x14ac:dyDescent="0.35">
      <c r="A354" t="s">
        <v>372</v>
      </c>
      <c r="B354">
        <v>92.197418722156996</v>
      </c>
      <c r="C354">
        <f t="shared" si="15"/>
        <v>94.254761802904852</v>
      </c>
      <c r="D354">
        <v>25.704669784903</v>
      </c>
      <c r="E354">
        <f t="shared" si="16"/>
        <v>32.799293849577928</v>
      </c>
      <c r="F354">
        <f t="shared" si="17"/>
        <v>30.829469328404418</v>
      </c>
      <c r="G354">
        <v>0.11025057200000001</v>
      </c>
      <c r="H354">
        <v>92.197418722156996</v>
      </c>
    </row>
    <row r="355" spans="1:8" x14ac:dyDescent="0.35">
      <c r="A355" t="s">
        <v>373</v>
      </c>
      <c r="B355">
        <v>92.733535645691902</v>
      </c>
      <c r="C355">
        <f t="shared" si="15"/>
        <v>94.328579166403543</v>
      </c>
      <c r="D355">
        <v>25.524946577219801</v>
      </c>
      <c r="E355">
        <f t="shared" si="16"/>
        <v>32.096558335703364</v>
      </c>
      <c r="F355">
        <f t="shared" si="17"/>
        <v>29.472105846445007</v>
      </c>
      <c r="G355">
        <v>0.132300687</v>
      </c>
      <c r="H355">
        <v>92.733535645691902</v>
      </c>
    </row>
    <row r="356" spans="1:8" x14ac:dyDescent="0.35">
      <c r="A356" t="s">
        <v>374</v>
      </c>
      <c r="B356">
        <v>93.299148177001399</v>
      </c>
      <c r="C356">
        <f t="shared" si="15"/>
        <v>94.388644132326633</v>
      </c>
      <c r="D356">
        <v>25.378913774904198</v>
      </c>
      <c r="E356">
        <f t="shared" si="16"/>
        <v>31.355160339492201</v>
      </c>
      <c r="F356">
        <f t="shared" si="17"/>
        <v>28.056974502031384</v>
      </c>
      <c r="G356">
        <v>0.15435080100000001</v>
      </c>
      <c r="H356">
        <v>93.299148177001399</v>
      </c>
    </row>
    <row r="357" spans="1:8" x14ac:dyDescent="0.35">
      <c r="A357" t="s">
        <v>375</v>
      </c>
      <c r="B357">
        <v>94.536960736998296</v>
      </c>
      <c r="C357">
        <f t="shared" si="15"/>
        <v>94.44496250985199</v>
      </c>
      <c r="D357">
        <v>25.242158586146701</v>
      </c>
      <c r="E357">
        <f t="shared" si="16"/>
        <v>29.732650757637572</v>
      </c>
      <c r="F357">
        <f t="shared" si="17"/>
        <v>25.019114224873679</v>
      </c>
      <c r="G357">
        <v>0.17640091599999999</v>
      </c>
      <c r="H357">
        <v>94.536960736998296</v>
      </c>
    </row>
    <row r="358" spans="1:8" x14ac:dyDescent="0.35">
      <c r="A358" t="s">
        <v>376</v>
      </c>
      <c r="B358">
        <v>96.189267560924606</v>
      </c>
      <c r="C358">
        <f t="shared" si="15"/>
        <v>94.517029759208086</v>
      </c>
      <c r="D358">
        <v>25.067398879416999</v>
      </c>
      <c r="E358">
        <f t="shared" si="16"/>
        <v>27.566827158310911</v>
      </c>
      <c r="F358">
        <f t="shared" si="17"/>
        <v>21.085836004410211</v>
      </c>
      <c r="G358">
        <v>0.19845103</v>
      </c>
      <c r="H358">
        <v>96.189267560924606</v>
      </c>
    </row>
    <row r="359" spans="1:8" x14ac:dyDescent="0.35">
      <c r="A359" t="s">
        <v>377</v>
      </c>
      <c r="B359">
        <v>98.206833102678402</v>
      </c>
      <c r="C359">
        <f t="shared" si="15"/>
        <v>94.583050902023473</v>
      </c>
      <c r="D359">
        <v>24.907534436572998</v>
      </c>
      <c r="E359">
        <f t="shared" si="16"/>
        <v>24.922226893854496</v>
      </c>
      <c r="F359">
        <f t="shared" si="17"/>
        <v>16.462541569772725</v>
      </c>
      <c r="G359">
        <v>0.22050114500000001</v>
      </c>
      <c r="H359">
        <v>98.206833102678402</v>
      </c>
    </row>
    <row r="360" spans="1:8" x14ac:dyDescent="0.35">
      <c r="A360" t="s">
        <v>378</v>
      </c>
      <c r="B360">
        <v>97.368186090897893</v>
      </c>
      <c r="C360">
        <f t="shared" si="15"/>
        <v>94.625553653576375</v>
      </c>
      <c r="D360">
        <v>24.8047357611104</v>
      </c>
      <c r="E360">
        <f t="shared" si="16"/>
        <v>26.021515151529826</v>
      </c>
      <c r="F360">
        <f t="shared" si="17"/>
        <v>18.361050492726331</v>
      </c>
      <c r="G360">
        <v>0.24255125899999999</v>
      </c>
      <c r="H360">
        <v>97.368186090897893</v>
      </c>
    </row>
    <row r="361" spans="1:8" x14ac:dyDescent="0.35">
      <c r="A361" t="s">
        <v>379</v>
      </c>
      <c r="B361">
        <v>97.058323360595594</v>
      </c>
      <c r="C361">
        <f t="shared" si="15"/>
        <v>94.61470515231423</v>
      </c>
      <c r="D361">
        <v>24.830965556009001</v>
      </c>
      <c r="E361">
        <f t="shared" si="16"/>
        <v>26.427679432958978</v>
      </c>
      <c r="F361">
        <f t="shared" si="17"/>
        <v>19.070810792792827</v>
      </c>
      <c r="G361">
        <v>0.264601374</v>
      </c>
      <c r="H361">
        <v>97.058323360595594</v>
      </c>
    </row>
    <row r="362" spans="1:8" x14ac:dyDescent="0.35">
      <c r="A362" t="s">
        <v>380</v>
      </c>
      <c r="B362">
        <v>95.755312777065797</v>
      </c>
      <c r="C362">
        <f t="shared" si="15"/>
        <v>94.662528705398657</v>
      </c>
      <c r="D362">
        <v>24.7153816619062</v>
      </c>
      <c r="E362">
        <f t="shared" si="16"/>
        <v>28.13564978756613</v>
      </c>
      <c r="F362">
        <f t="shared" si="17"/>
        <v>22.105711619499097</v>
      </c>
      <c r="G362">
        <v>0.28665148800000001</v>
      </c>
      <c r="H362">
        <v>95.755312777065797</v>
      </c>
    </row>
    <row r="363" spans="1:8" x14ac:dyDescent="0.35">
      <c r="A363" t="s">
        <v>381</v>
      </c>
      <c r="B363">
        <v>96.855821210384605</v>
      </c>
      <c r="C363">
        <f t="shared" si="15"/>
        <v>94.706178551660784</v>
      </c>
      <c r="D363">
        <v>24.609987020952701</v>
      </c>
      <c r="E363">
        <f t="shared" si="16"/>
        <v>26.69311677757949</v>
      </c>
      <c r="F363">
        <f t="shared" si="17"/>
        <v>19.537108576414056</v>
      </c>
      <c r="G363">
        <v>0.30870160299999999</v>
      </c>
      <c r="H363">
        <v>96.855821210384605</v>
      </c>
    </row>
    <row r="364" spans="1:8" x14ac:dyDescent="0.35">
      <c r="A364" t="s">
        <v>382</v>
      </c>
      <c r="B364">
        <v>95.565330515737003</v>
      </c>
      <c r="C364">
        <f t="shared" si="15"/>
        <v>94.731510978471547</v>
      </c>
      <c r="D364">
        <v>24.548865205684098</v>
      </c>
      <c r="E364">
        <f t="shared" si="16"/>
        <v>28.384676214789614</v>
      </c>
      <c r="F364">
        <f t="shared" si="17"/>
        <v>22.555120895353088</v>
      </c>
      <c r="G364">
        <v>0.330751717</v>
      </c>
      <c r="H364">
        <v>95.565330515737003</v>
      </c>
    </row>
    <row r="365" spans="1:8" x14ac:dyDescent="0.35">
      <c r="A365" t="s">
        <v>383</v>
      </c>
      <c r="B365">
        <v>94.332144972745795</v>
      </c>
      <c r="C365">
        <f t="shared" si="15"/>
        <v>94.506829185541534</v>
      </c>
      <c r="D365">
        <v>25.092118600356699</v>
      </c>
      <c r="E365">
        <f t="shared" si="16"/>
        <v>30.001120759279335</v>
      </c>
      <c r="F365">
        <f t="shared" si="17"/>
        <v>25.516272026809805</v>
      </c>
      <c r="G365">
        <v>0.35280183100000001</v>
      </c>
      <c r="H365">
        <v>94.332144972745795</v>
      </c>
    </row>
    <row r="366" spans="1:8" x14ac:dyDescent="0.35">
      <c r="A366" t="s">
        <v>384</v>
      </c>
      <c r="B366">
        <v>92.654768622631806</v>
      </c>
      <c r="C366">
        <f t="shared" si="15"/>
        <v>92.329112420158481</v>
      </c>
      <c r="D366">
        <v>30.494581167153999</v>
      </c>
      <c r="E366">
        <f t="shared" si="16"/>
        <v>32.199805187269881</v>
      </c>
      <c r="F366">
        <f t="shared" si="17"/>
        <v>29.670547145947424</v>
      </c>
      <c r="G366">
        <v>0.37485194599999999</v>
      </c>
      <c r="H366">
        <v>92.654768622631806</v>
      </c>
    </row>
    <row r="367" spans="1:8" x14ac:dyDescent="0.35">
      <c r="A367" t="s">
        <v>385</v>
      </c>
      <c r="B367">
        <v>92.809903337080101</v>
      </c>
      <c r="C367">
        <f t="shared" si="15"/>
        <v>92.620771622888412</v>
      </c>
      <c r="D367">
        <v>29.756301592032699</v>
      </c>
      <c r="E367">
        <f t="shared" si="16"/>
        <v>31.996456498780834</v>
      </c>
      <c r="F367">
        <f t="shared" si="17"/>
        <v>29.280030887985053</v>
      </c>
      <c r="G367">
        <v>0.39690206</v>
      </c>
      <c r="H367">
        <v>92.809903337080101</v>
      </c>
    </row>
    <row r="368" spans="1:8" x14ac:dyDescent="0.35">
      <c r="A368" t="s">
        <v>386</v>
      </c>
      <c r="B368">
        <v>91.932959796892405</v>
      </c>
      <c r="C368">
        <f t="shared" si="15"/>
        <v>92.125428906563641</v>
      </c>
      <c r="D368">
        <v>31.0129393030074</v>
      </c>
      <c r="E368">
        <f t="shared" si="16"/>
        <v>33.145943378041153</v>
      </c>
      <c r="F368">
        <f t="shared" si="17"/>
        <v>31.50486838349973</v>
      </c>
      <c r="G368">
        <v>0.41895217499999998</v>
      </c>
      <c r="H368">
        <v>91.932959796892405</v>
      </c>
    </row>
    <row r="369" spans="1:8" x14ac:dyDescent="0.35">
      <c r="A369" t="s">
        <v>387</v>
      </c>
      <c r="B369">
        <v>91.187886603887804</v>
      </c>
      <c r="C369">
        <f t="shared" si="15"/>
        <v>92.089102386262908</v>
      </c>
      <c r="D369">
        <v>31.105628316753201</v>
      </c>
      <c r="E369">
        <f t="shared" si="16"/>
        <v>34.122576217213521</v>
      </c>
      <c r="F369">
        <f t="shared" si="17"/>
        <v>33.42876960285502</v>
      </c>
      <c r="G369">
        <v>0.44100228899999999</v>
      </c>
      <c r="H369">
        <v>91.187886603887804</v>
      </c>
    </row>
    <row r="370" spans="1:8" x14ac:dyDescent="0.35">
      <c r="A370" t="s">
        <v>388</v>
      </c>
      <c r="B370">
        <v>91.187886603887804</v>
      </c>
      <c r="C370">
        <f t="shared" si="15"/>
        <v>92.294517694485833</v>
      </c>
      <c r="D370">
        <v>30.582460661745898</v>
      </c>
      <c r="E370">
        <f t="shared" si="16"/>
        <v>34.122576217213521</v>
      </c>
      <c r="F370">
        <f t="shared" si="17"/>
        <v>33.42876960285502</v>
      </c>
      <c r="G370">
        <v>0.46305240399999997</v>
      </c>
      <c r="H370">
        <v>91.187886603887804</v>
      </c>
    </row>
    <row r="371" spans="1:8" x14ac:dyDescent="0.35">
      <c r="A371" t="s">
        <v>389</v>
      </c>
      <c r="B371">
        <v>90.930464249934701</v>
      </c>
      <c r="C371">
        <f t="shared" si="15"/>
        <v>91.79126836810687</v>
      </c>
      <c r="D371">
        <v>31.868333880808699</v>
      </c>
      <c r="E371">
        <f t="shared" si="16"/>
        <v>34.460002293964209</v>
      </c>
      <c r="F371">
        <f t="shared" si="17"/>
        <v>34.100804651083209</v>
      </c>
      <c r="G371">
        <v>0.48510251799999998</v>
      </c>
      <c r="H371">
        <v>90.930464249934701</v>
      </c>
    </row>
    <row r="372" spans="1:8" x14ac:dyDescent="0.35">
      <c r="A372" t="s">
        <v>390</v>
      </c>
      <c r="B372">
        <v>90.540474481035204</v>
      </c>
      <c r="C372">
        <f t="shared" si="15"/>
        <v>90.786584129894095</v>
      </c>
      <c r="D372">
        <v>34.478083042584601</v>
      </c>
      <c r="E372">
        <f t="shared" si="16"/>
        <v>34.971196118711227</v>
      </c>
      <c r="F372">
        <f t="shared" si="17"/>
        <v>35.126204535098523</v>
      </c>
      <c r="G372">
        <v>0.50715263300000002</v>
      </c>
      <c r="H372">
        <v>90.540474481035204</v>
      </c>
    </row>
    <row r="373" spans="1:8" x14ac:dyDescent="0.35">
      <c r="A373" t="s">
        <v>391</v>
      </c>
      <c r="B373">
        <v>90.540474481035204</v>
      </c>
      <c r="C373">
        <f t="shared" si="15"/>
        <v>89.959445509583375</v>
      </c>
      <c r="D373">
        <v>36.670393613875802</v>
      </c>
      <c r="E373">
        <f t="shared" si="16"/>
        <v>34.971196118711227</v>
      </c>
      <c r="F373">
        <f t="shared" si="17"/>
        <v>35.126204535098523</v>
      </c>
      <c r="G373">
        <v>0.52920274700000003</v>
      </c>
      <c r="H373">
        <v>90.540474481035204</v>
      </c>
    </row>
    <row r="374" spans="1:8" x14ac:dyDescent="0.35">
      <c r="A374" t="s">
        <v>392</v>
      </c>
      <c r="B374">
        <v>91.700890388738401</v>
      </c>
      <c r="C374">
        <f t="shared" si="15"/>
        <v>89.928802881232144</v>
      </c>
      <c r="D374">
        <v>36.752385835974501</v>
      </c>
      <c r="E374">
        <f t="shared" si="16"/>
        <v>33.450137123163714</v>
      </c>
      <c r="F374">
        <f t="shared" si="17"/>
        <v>32.100757322853994</v>
      </c>
      <c r="G374">
        <v>0.55125286200000001</v>
      </c>
      <c r="H374">
        <v>91.700890388738401</v>
      </c>
    </row>
    <row r="375" spans="1:8" x14ac:dyDescent="0.35">
      <c r="A375" t="s">
        <v>393</v>
      </c>
      <c r="B375">
        <v>91.279753308598998</v>
      </c>
      <c r="C375">
        <f t="shared" si="15"/>
        <v>90.074304754941267</v>
      </c>
      <c r="D375">
        <v>36.363554659059503</v>
      </c>
      <c r="E375">
        <f t="shared" si="16"/>
        <v>34.002158462971558</v>
      </c>
      <c r="F375">
        <f t="shared" si="17"/>
        <v>33.189857167720831</v>
      </c>
      <c r="G375">
        <v>0.62943115800000005</v>
      </c>
      <c r="H375">
        <v>91.279753308598998</v>
      </c>
    </row>
    <row r="376" spans="1:8" x14ac:dyDescent="0.35">
      <c r="A376" t="s">
        <v>394</v>
      </c>
      <c r="B376">
        <v>90.857174218345804</v>
      </c>
      <c r="C376">
        <f t="shared" si="15"/>
        <v>90.433516529717821</v>
      </c>
      <c r="D376">
        <v>35.408974394312402</v>
      </c>
      <c r="E376">
        <f t="shared" si="16"/>
        <v>34.556069972020175</v>
      </c>
      <c r="F376">
        <f t="shared" si="17"/>
        <v>34.29283439362576</v>
      </c>
      <c r="G376">
        <v>0.86396604700000001</v>
      </c>
      <c r="H376">
        <v>90.857174218345804</v>
      </c>
    </row>
    <row r="377" spans="1:8" x14ac:dyDescent="0.35">
      <c r="A377" t="s">
        <v>395</v>
      </c>
      <c r="B377">
        <v>90.536140475912205</v>
      </c>
      <c r="C377">
        <f t="shared" si="15"/>
        <v>90.200717685457079</v>
      </c>
      <c r="D377">
        <v>36.0267540933433</v>
      </c>
      <c r="E377">
        <f t="shared" si="16"/>
        <v>34.976877079679895</v>
      </c>
      <c r="F377">
        <f t="shared" si="17"/>
        <v>35.137649564224269</v>
      </c>
      <c r="G377">
        <v>0.94214434300000005</v>
      </c>
      <c r="H377">
        <v>90.536140475912205</v>
      </c>
    </row>
    <row r="378" spans="1:8" x14ac:dyDescent="0.35">
      <c r="A378" t="s">
        <v>396</v>
      </c>
      <c r="B378">
        <v>90.259980389787899</v>
      </c>
      <c r="C378">
        <f t="shared" si="15"/>
        <v>90.511723015897715</v>
      </c>
      <c r="D378">
        <v>35.202150482981899</v>
      </c>
      <c r="E378">
        <f t="shared" si="16"/>
        <v>35.338864346850308</v>
      </c>
      <c r="F378">
        <f t="shared" si="17"/>
        <v>35.869185933706014</v>
      </c>
      <c r="G378">
        <v>1.020322639</v>
      </c>
      <c r="H378">
        <v>90.259980389787899</v>
      </c>
    </row>
    <row r="379" spans="1:8" x14ac:dyDescent="0.35">
      <c r="A379" t="s">
        <v>397</v>
      </c>
      <c r="B379">
        <v>90.106837566112006</v>
      </c>
      <c r="C379">
        <f t="shared" si="15"/>
        <v>90.97715384975433</v>
      </c>
      <c r="D379">
        <v>33.978632949764602</v>
      </c>
      <c r="E379">
        <f t="shared" si="16"/>
        <v>35.539602089248909</v>
      </c>
      <c r="F379">
        <f t="shared" si="17"/>
        <v>36.276787545399422</v>
      </c>
      <c r="G379">
        <v>1.0985009349999999</v>
      </c>
      <c r="H379">
        <v>90.106837566112006</v>
      </c>
    </row>
    <row r="380" spans="1:8" x14ac:dyDescent="0.35">
      <c r="A380" t="s">
        <v>398</v>
      </c>
      <c r="B380">
        <v>90.285311021201693</v>
      </c>
      <c r="C380">
        <f t="shared" si="15"/>
        <v>91.014403680776581</v>
      </c>
      <c r="D380">
        <v>33.881251988418803</v>
      </c>
      <c r="E380">
        <f t="shared" si="16"/>
        <v>35.305661264645835</v>
      </c>
      <c r="F380">
        <f t="shared" si="17"/>
        <v>35.801899748453494</v>
      </c>
      <c r="G380">
        <v>1.176679231</v>
      </c>
      <c r="H380">
        <v>90.285311021201693</v>
      </c>
    </row>
    <row r="381" spans="1:8" x14ac:dyDescent="0.35">
      <c r="A381" t="s">
        <v>399</v>
      </c>
      <c r="B381">
        <v>90.132588170227095</v>
      </c>
      <c r="C381">
        <f t="shared" si="15"/>
        <v>91.091301500423398</v>
      </c>
      <c r="D381">
        <v>33.680472559087697</v>
      </c>
      <c r="E381">
        <f t="shared" si="16"/>
        <v>35.505848511958192</v>
      </c>
      <c r="F381">
        <f t="shared" si="17"/>
        <v>36.208153427399694</v>
      </c>
      <c r="G381">
        <v>1.2548575280000001</v>
      </c>
      <c r="H381">
        <v>90.132588170227095</v>
      </c>
    </row>
    <row r="382" spans="1:8" x14ac:dyDescent="0.35">
      <c r="A382" t="s">
        <v>400</v>
      </c>
      <c r="B382">
        <v>91.224769878188795</v>
      </c>
      <c r="C382">
        <f t="shared" si="15"/>
        <v>91.151755987508778</v>
      </c>
      <c r="D382">
        <v>33.522864355579301</v>
      </c>
      <c r="E382">
        <f t="shared" si="16"/>
        <v>34.074230071845854</v>
      </c>
      <c r="F382">
        <f t="shared" si="17"/>
        <v>33.332791587305913</v>
      </c>
      <c r="G382">
        <v>1.333035824</v>
      </c>
      <c r="H382">
        <v>91.224769878188795</v>
      </c>
    </row>
    <row r="383" spans="1:8" x14ac:dyDescent="0.35">
      <c r="A383" t="s">
        <v>401</v>
      </c>
      <c r="B383">
        <v>91.567717665916106</v>
      </c>
      <c r="C383">
        <f t="shared" si="15"/>
        <v>91.2566062820448</v>
      </c>
      <c r="D383">
        <v>33.250008972594699</v>
      </c>
      <c r="E383">
        <f t="shared" si="16"/>
        <v>33.624698301328998</v>
      </c>
      <c r="F383">
        <f t="shared" si="17"/>
        <v>32.444071360889268</v>
      </c>
      <c r="G383">
        <v>1.4112141199999999</v>
      </c>
      <c r="H383">
        <v>91.567717665916106</v>
      </c>
    </row>
    <row r="384" spans="1:8" x14ac:dyDescent="0.35">
      <c r="A384" t="s">
        <v>402</v>
      </c>
      <c r="B384">
        <v>93.226674705982802</v>
      </c>
      <c r="C384">
        <f t="shared" si="15"/>
        <v>91.383471003689593</v>
      </c>
      <c r="D384">
        <v>32.920701844085499</v>
      </c>
      <c r="E384">
        <f t="shared" si="16"/>
        <v>31.450157679928164</v>
      </c>
      <c r="F384">
        <f t="shared" si="17"/>
        <v>28.237339978811082</v>
      </c>
      <c r="G384">
        <v>1.4893924160000001</v>
      </c>
      <c r="H384">
        <v>93.226674705982802</v>
      </c>
    </row>
    <row r="385" spans="1:8" x14ac:dyDescent="0.35">
      <c r="A385" t="s">
        <v>403</v>
      </c>
      <c r="B385">
        <v>93.024895916720297</v>
      </c>
      <c r="C385">
        <f t="shared" si="15"/>
        <v>91.493216167787295</v>
      </c>
      <c r="D385">
        <v>32.6365692391377</v>
      </c>
      <c r="E385">
        <f t="shared" si="16"/>
        <v>31.714646851854372</v>
      </c>
      <c r="F385">
        <f t="shared" si="17"/>
        <v>28.740989412612617</v>
      </c>
      <c r="G385">
        <v>0</v>
      </c>
      <c r="H385">
        <v>93.024895916720297</v>
      </c>
    </row>
    <row r="386" spans="1:8" x14ac:dyDescent="0.35">
      <c r="A386" t="s">
        <v>404</v>
      </c>
      <c r="B386">
        <v>92.556138660769903</v>
      </c>
      <c r="C386">
        <f t="shared" si="15"/>
        <v>91.390752552769143</v>
      </c>
      <c r="D386">
        <v>32.901828619733003</v>
      </c>
      <c r="E386">
        <f t="shared" si="16"/>
        <v>32.329088136361378</v>
      </c>
      <c r="F386">
        <f t="shared" si="17"/>
        <v>29.919506292195635</v>
      </c>
      <c r="G386">
        <v>0</v>
      </c>
      <c r="H386">
        <v>92.556138660769903</v>
      </c>
    </row>
    <row r="387" spans="1:8" x14ac:dyDescent="0.35">
      <c r="A387" t="s">
        <v>405</v>
      </c>
      <c r="B387">
        <v>91.452917344981898</v>
      </c>
      <c r="C387">
        <f t="shared" si="15"/>
        <v>91.02876778631834</v>
      </c>
      <c r="D387">
        <v>33.843721689773297</v>
      </c>
      <c r="E387">
        <f t="shared" si="16"/>
        <v>33.775177159546601</v>
      </c>
      <c r="F387">
        <f t="shared" si="17"/>
        <v>32.740824535315269</v>
      </c>
      <c r="G387">
        <v>0</v>
      </c>
      <c r="H387">
        <v>91.452917344981898</v>
      </c>
    </row>
    <row r="388" spans="1:8" x14ac:dyDescent="0.35">
      <c r="A388" t="s">
        <v>406</v>
      </c>
      <c r="B388">
        <v>91.437113142573196</v>
      </c>
      <c r="C388">
        <f t="shared" si="15"/>
        <v>91.030277218483164</v>
      </c>
      <c r="D388">
        <v>33.8397785579551</v>
      </c>
      <c r="E388">
        <f t="shared" si="16"/>
        <v>33.795893114991223</v>
      </c>
      <c r="F388">
        <f t="shared" si="17"/>
        <v>32.781735972657266</v>
      </c>
      <c r="G388">
        <v>0</v>
      </c>
      <c r="H388">
        <v>91.437113142573196</v>
      </c>
    </row>
    <row r="389" spans="1:8" x14ac:dyDescent="0.35">
      <c r="A389" t="s">
        <v>407</v>
      </c>
      <c r="B389">
        <v>91.403378970908193</v>
      </c>
      <c r="C389">
        <f t="shared" si="15"/>
        <v>90.830731727097074</v>
      </c>
      <c r="D389">
        <v>34.362193350928102</v>
      </c>
      <c r="E389">
        <f t="shared" si="16"/>
        <v>33.840111455094778</v>
      </c>
      <c r="F389">
        <f t="shared" si="17"/>
        <v>32.869109027117965</v>
      </c>
      <c r="G389">
        <v>0</v>
      </c>
      <c r="H389">
        <v>91.403378970908193</v>
      </c>
    </row>
    <row r="390" spans="1:8" x14ac:dyDescent="0.35">
      <c r="A390" t="s">
        <v>408</v>
      </c>
      <c r="B390">
        <v>90.909854744549804</v>
      </c>
      <c r="C390">
        <f t="shared" si="15"/>
        <v>90.154018079712685</v>
      </c>
      <c r="D390">
        <v>36.151065321793602</v>
      </c>
      <c r="E390">
        <f t="shared" si="16"/>
        <v>34.487016981845841</v>
      </c>
      <c r="F390">
        <f t="shared" si="17"/>
        <v>34.154773036026242</v>
      </c>
      <c r="G390">
        <v>0</v>
      </c>
      <c r="H390">
        <v>90.909854744549804</v>
      </c>
    </row>
    <row r="391" spans="1:8" x14ac:dyDescent="0.35">
      <c r="A391" t="s">
        <v>409</v>
      </c>
      <c r="B391">
        <v>90.862665955683795</v>
      </c>
      <c r="C391">
        <f t="shared" si="15"/>
        <v>90.549536989023409</v>
      </c>
      <c r="D391">
        <v>35.102276247107497</v>
      </c>
      <c r="E391">
        <f t="shared" si="16"/>
        <v>34.54887146980758</v>
      </c>
      <c r="F391">
        <f t="shared" si="17"/>
        <v>34.278434566394708</v>
      </c>
      <c r="G391">
        <v>0</v>
      </c>
      <c r="H391">
        <v>90.862665955683795</v>
      </c>
    </row>
    <row r="392" spans="1:8" x14ac:dyDescent="0.35">
      <c r="A392" t="s">
        <v>410</v>
      </c>
      <c r="B392">
        <v>91.821672151572102</v>
      </c>
      <c r="C392">
        <f t="shared" si="15"/>
        <v>90.744151480049695</v>
      </c>
      <c r="D392">
        <v>34.589577186762</v>
      </c>
      <c r="E392">
        <f t="shared" si="16"/>
        <v>33.291817863976796</v>
      </c>
      <c r="F392">
        <f t="shared" si="17"/>
        <v>31.790247860887057</v>
      </c>
      <c r="G392">
        <v>0</v>
      </c>
      <c r="H392">
        <v>91.821672151572102</v>
      </c>
    </row>
    <row r="393" spans="1:8" x14ac:dyDescent="0.35">
      <c r="A393" t="s">
        <v>411</v>
      </c>
      <c r="B393">
        <v>92.880262641201796</v>
      </c>
      <c r="C393">
        <f t="shared" ref="C393:C414" si="18">$B$2/(1+$B$4*((D393/100)/$B$3))</f>
        <v>90.740975621130374</v>
      </c>
      <c r="D393">
        <v>34.597926126721703</v>
      </c>
      <c r="E393">
        <f t="shared" ref="E393:E414" si="19" xml:space="preserve"> (117.22 - B393)/0.7629</f>
        <v>31.904230382485519</v>
      </c>
      <c r="F393">
        <f t="shared" ref="F393:F414" si="20" xml:space="preserve"> ((($B$3 *($B$2-B393))/($B$4*B393)))*100</f>
        <v>29.103347383410096</v>
      </c>
      <c r="G393">
        <v>0</v>
      </c>
      <c r="H393">
        <v>92.880262641201796</v>
      </c>
    </row>
    <row r="394" spans="1:8" x14ac:dyDescent="0.35">
      <c r="A394" t="s">
        <v>412</v>
      </c>
      <c r="B394">
        <v>93.075313683334798</v>
      </c>
      <c r="C394">
        <f t="shared" si="18"/>
        <v>90.575143370698996</v>
      </c>
      <c r="D394">
        <v>35.034692047449397</v>
      </c>
      <c r="E394">
        <f t="shared" si="19"/>
        <v>31.648559859306857</v>
      </c>
      <c r="F394">
        <f t="shared" si="20"/>
        <v>28.614939622473422</v>
      </c>
      <c r="G394">
        <v>0</v>
      </c>
      <c r="H394">
        <v>93.075313683334798</v>
      </c>
    </row>
    <row r="395" spans="1:8" x14ac:dyDescent="0.35">
      <c r="A395" t="s">
        <v>413</v>
      </c>
      <c r="B395">
        <v>92.678274802482406</v>
      </c>
      <c r="C395">
        <f t="shared" si="18"/>
        <v>90.685994526556186</v>
      </c>
      <c r="D395">
        <v>34.742557310828197</v>
      </c>
      <c r="E395">
        <f t="shared" si="19"/>
        <v>32.168993573885949</v>
      </c>
      <c r="F395">
        <f t="shared" si="20"/>
        <v>29.61129166018684</v>
      </c>
      <c r="G395">
        <v>0</v>
      </c>
      <c r="H395">
        <v>92.678274802482406</v>
      </c>
    </row>
    <row r="396" spans="1:8" x14ac:dyDescent="0.35">
      <c r="A396" t="s">
        <v>414</v>
      </c>
      <c r="B396">
        <v>93.078260606357006</v>
      </c>
      <c r="C396">
        <f t="shared" si="18"/>
        <v>90.808607069647366</v>
      </c>
      <c r="D396">
        <v>34.420257618638402</v>
      </c>
      <c r="E396">
        <f t="shared" si="19"/>
        <v>31.644697068610554</v>
      </c>
      <c r="F396">
        <f t="shared" si="20"/>
        <v>28.607576224919168</v>
      </c>
      <c r="G396">
        <v>0</v>
      </c>
      <c r="H396">
        <v>93.078260606357006</v>
      </c>
    </row>
    <row r="397" spans="1:8" x14ac:dyDescent="0.35">
      <c r="A397" t="s">
        <v>415</v>
      </c>
      <c r="B397">
        <v>93.3586230008803</v>
      </c>
      <c r="C397">
        <f t="shared" si="18"/>
        <v>90.945598136437809</v>
      </c>
      <c r="D397">
        <v>34.0611903858197</v>
      </c>
      <c r="E397">
        <f t="shared" si="19"/>
        <v>31.277201466928428</v>
      </c>
      <c r="F397">
        <f t="shared" si="20"/>
        <v>27.909168090487711</v>
      </c>
      <c r="G397">
        <v>0</v>
      </c>
      <c r="H397">
        <v>93.3586230008803</v>
      </c>
    </row>
    <row r="398" spans="1:8" x14ac:dyDescent="0.35">
      <c r="A398" t="s">
        <v>416</v>
      </c>
      <c r="B398">
        <v>92.825209211582404</v>
      </c>
      <c r="C398">
        <f t="shared" si="18"/>
        <v>91.073978464452054</v>
      </c>
      <c r="D398">
        <v>33.7256732440419</v>
      </c>
      <c r="E398">
        <f t="shared" si="19"/>
        <v>31.976393745468073</v>
      </c>
      <c r="F398">
        <f t="shared" si="20"/>
        <v>29.241572585076831</v>
      </c>
      <c r="G398">
        <v>0</v>
      </c>
      <c r="H398">
        <v>92.825209211582404</v>
      </c>
    </row>
    <row r="399" spans="1:8" x14ac:dyDescent="0.35">
      <c r="A399" t="s">
        <v>417</v>
      </c>
      <c r="B399">
        <v>91.657559153081095</v>
      </c>
      <c r="C399">
        <f t="shared" si="18"/>
        <v>90.739743611418518</v>
      </c>
      <c r="D399">
        <v>34.601165085075202</v>
      </c>
      <c r="E399">
        <f t="shared" si="19"/>
        <v>33.50693517750544</v>
      </c>
      <c r="F399">
        <f t="shared" si="20"/>
        <v>32.212354050040773</v>
      </c>
      <c r="G399">
        <v>0</v>
      </c>
      <c r="H399">
        <v>91.657559153081095</v>
      </c>
    </row>
    <row r="400" spans="1:8" x14ac:dyDescent="0.35">
      <c r="A400" t="s">
        <v>418</v>
      </c>
      <c r="B400">
        <v>90.958142906558507</v>
      </c>
      <c r="C400">
        <f t="shared" si="18"/>
        <v>90.818606727936782</v>
      </c>
      <c r="D400">
        <v>34.394010868605399</v>
      </c>
      <c r="E400">
        <f t="shared" si="19"/>
        <v>34.423721448999203</v>
      </c>
      <c r="F400">
        <f t="shared" si="20"/>
        <v>34.028363350400333</v>
      </c>
      <c r="G400">
        <v>0</v>
      </c>
      <c r="H400">
        <v>90.958142906558507</v>
      </c>
    </row>
    <row r="401" spans="1:8" x14ac:dyDescent="0.35">
      <c r="A401" t="s">
        <v>419</v>
      </c>
      <c r="B401">
        <v>91.158984657268704</v>
      </c>
      <c r="C401">
        <f t="shared" si="18"/>
        <v>90.837049166524721</v>
      </c>
      <c r="D401">
        <v>34.345618963715999</v>
      </c>
      <c r="E401">
        <f t="shared" si="19"/>
        <v>34.160460535759988</v>
      </c>
      <c r="F401">
        <f t="shared" si="20"/>
        <v>33.504032804591837</v>
      </c>
      <c r="G401">
        <v>0</v>
      </c>
      <c r="H401">
        <v>91.158984657268704</v>
      </c>
    </row>
    <row r="402" spans="1:8" x14ac:dyDescent="0.35">
      <c r="A402" t="s">
        <v>420</v>
      </c>
      <c r="B402">
        <v>91.422786677936799</v>
      </c>
      <c r="C402">
        <f t="shared" si="18"/>
        <v>90.906970871682219</v>
      </c>
      <c r="D402">
        <v>34.162326743897999</v>
      </c>
      <c r="E402">
        <f t="shared" si="19"/>
        <v>33.814672069816751</v>
      </c>
      <c r="F402">
        <f t="shared" si="20"/>
        <v>32.818834297167562</v>
      </c>
      <c r="G402">
        <v>0</v>
      </c>
      <c r="H402">
        <v>91.422786677936799</v>
      </c>
    </row>
    <row r="403" spans="1:8" x14ac:dyDescent="0.35">
      <c r="A403" t="s">
        <v>421</v>
      </c>
      <c r="B403">
        <v>91.028729533056904</v>
      </c>
      <c r="C403">
        <f t="shared" si="18"/>
        <v>90.441858906085884</v>
      </c>
      <c r="D403">
        <v>35.386895205924603</v>
      </c>
      <c r="E403">
        <f t="shared" si="19"/>
        <v>34.331197361309599</v>
      </c>
      <c r="F403">
        <f t="shared" si="20"/>
        <v>33.843821621536001</v>
      </c>
      <c r="G403">
        <v>0</v>
      </c>
      <c r="H403">
        <v>91.028729533056904</v>
      </c>
    </row>
    <row r="404" spans="1:8" x14ac:dyDescent="0.35">
      <c r="A404" t="s">
        <v>422</v>
      </c>
      <c r="B404">
        <v>90.675749900499895</v>
      </c>
      <c r="C404">
        <f t="shared" si="18"/>
        <v>90.139043157525663</v>
      </c>
      <c r="D404">
        <v>36.190954837889102</v>
      </c>
      <c r="E404">
        <f t="shared" si="19"/>
        <v>34.793878751474772</v>
      </c>
      <c r="F404">
        <f t="shared" si="20"/>
        <v>34.769525821248678</v>
      </c>
      <c r="G404">
        <v>0</v>
      </c>
      <c r="H404">
        <v>90.675749900499895</v>
      </c>
    </row>
    <row r="405" spans="1:8" x14ac:dyDescent="0.35">
      <c r="A405" t="s">
        <v>423</v>
      </c>
      <c r="B405">
        <v>90.518657433349205</v>
      </c>
      <c r="C405">
        <f t="shared" si="18"/>
        <v>90.386949361746545</v>
      </c>
      <c r="D405">
        <v>35.532295356270701</v>
      </c>
      <c r="E405">
        <f t="shared" si="19"/>
        <v>34.999793638289148</v>
      </c>
      <c r="F405">
        <f t="shared" si="20"/>
        <v>35.183829057056421</v>
      </c>
      <c r="G405">
        <v>0</v>
      </c>
      <c r="H405">
        <v>90.518657433349205</v>
      </c>
    </row>
    <row r="406" spans="1:8" x14ac:dyDescent="0.35">
      <c r="A406" t="s">
        <v>424</v>
      </c>
      <c r="B406">
        <v>90.430762862047402</v>
      </c>
      <c r="C406">
        <f t="shared" si="18"/>
        <v>90.223747856093254</v>
      </c>
      <c r="D406">
        <v>35.965496698396599</v>
      </c>
      <c r="E406">
        <f t="shared" si="19"/>
        <v>35.115004768583823</v>
      </c>
      <c r="F406">
        <f t="shared" si="20"/>
        <v>35.416263229615822</v>
      </c>
      <c r="G406">
        <v>0</v>
      </c>
      <c r="H406">
        <v>90.430762862047402</v>
      </c>
    </row>
    <row r="407" spans="1:8" x14ac:dyDescent="0.35">
      <c r="A407" t="s">
        <v>425</v>
      </c>
      <c r="B407">
        <v>90.257741707434604</v>
      </c>
      <c r="C407">
        <f t="shared" si="18"/>
        <v>90.052427602982775</v>
      </c>
      <c r="D407">
        <v>36.421937693637197</v>
      </c>
      <c r="E407">
        <f t="shared" si="19"/>
        <v>35.341798784330045</v>
      </c>
      <c r="F407">
        <f t="shared" si="20"/>
        <v>35.87513439996782</v>
      </c>
      <c r="G407">
        <v>0</v>
      </c>
      <c r="H407">
        <v>90.257741707434604</v>
      </c>
    </row>
    <row r="408" spans="1:8" x14ac:dyDescent="0.35">
      <c r="A408" t="s">
        <v>426</v>
      </c>
      <c r="B408">
        <v>91.302401394171895</v>
      </c>
      <c r="C408">
        <f t="shared" si="18"/>
        <v>89.977065108781829</v>
      </c>
      <c r="D408">
        <v>36.6232731391963</v>
      </c>
      <c r="E408">
        <f t="shared" si="19"/>
        <v>33.972471629083891</v>
      </c>
      <c r="F408">
        <f t="shared" si="20"/>
        <v>33.131031473109708</v>
      </c>
      <c r="G408">
        <v>0</v>
      </c>
      <c r="H408">
        <v>91.302401394171895</v>
      </c>
    </row>
    <row r="409" spans="1:8" x14ac:dyDescent="0.35">
      <c r="A409" t="s">
        <v>427</v>
      </c>
      <c r="B409">
        <v>92.431374885741803</v>
      </c>
      <c r="C409">
        <f t="shared" si="18"/>
        <v>89.792574770337737</v>
      </c>
      <c r="D409">
        <v>37.1175765465319</v>
      </c>
      <c r="E409">
        <f t="shared" si="19"/>
        <v>32.492626968486299</v>
      </c>
      <c r="F409">
        <f t="shared" si="20"/>
        <v>30.235192850616833</v>
      </c>
      <c r="G409">
        <v>0</v>
      </c>
      <c r="H409">
        <v>92.431374885741803</v>
      </c>
    </row>
    <row r="410" spans="1:8" x14ac:dyDescent="0.35">
      <c r="A410" t="s">
        <v>428</v>
      </c>
      <c r="B410">
        <v>93.039400042436299</v>
      </c>
      <c r="C410">
        <f t="shared" si="18"/>
        <v>90.034142307956401</v>
      </c>
      <c r="D410">
        <v>36.470756992747397</v>
      </c>
      <c r="E410">
        <f t="shared" si="19"/>
        <v>31.695635021056102</v>
      </c>
      <c r="F410">
        <f t="shared" si="20"/>
        <v>28.704713555204052</v>
      </c>
      <c r="G410">
        <v>0</v>
      </c>
      <c r="H410">
        <v>93.039400042436299</v>
      </c>
    </row>
    <row r="411" spans="1:8" x14ac:dyDescent="0.35">
      <c r="A411" t="s">
        <v>429</v>
      </c>
      <c r="B411">
        <v>94.4870980493818</v>
      </c>
      <c r="C411">
        <f t="shared" si="18"/>
        <v>90.235589969638994</v>
      </c>
      <c r="D411">
        <v>35.934010319308598</v>
      </c>
      <c r="E411">
        <f t="shared" si="19"/>
        <v>29.79801015941565</v>
      </c>
      <c r="F411">
        <f t="shared" si="20"/>
        <v>25.139949507221253</v>
      </c>
      <c r="G411">
        <v>0</v>
      </c>
      <c r="H411">
        <v>94.4870980493818</v>
      </c>
    </row>
    <row r="412" spans="1:8" x14ac:dyDescent="0.35">
      <c r="A412" t="s">
        <v>430</v>
      </c>
      <c r="B412">
        <v>95.283105547060401</v>
      </c>
      <c r="C412">
        <f t="shared" si="18"/>
        <v>90.533052318613599</v>
      </c>
      <c r="D412">
        <v>35.145805287817602</v>
      </c>
      <c r="E412">
        <f t="shared" si="19"/>
        <v>28.754613255917679</v>
      </c>
      <c r="F412">
        <f t="shared" si="20"/>
        <v>23.226041899755977</v>
      </c>
      <c r="G412">
        <v>0</v>
      </c>
      <c r="H412">
        <v>95.283105547060401</v>
      </c>
    </row>
    <row r="413" spans="1:8" x14ac:dyDescent="0.35">
      <c r="A413" t="s">
        <v>431</v>
      </c>
      <c r="B413">
        <v>94.769532488572096</v>
      </c>
      <c r="C413">
        <f t="shared" si="18"/>
        <v>90.680603929900869</v>
      </c>
      <c r="D413">
        <v>34.756747050838399</v>
      </c>
      <c r="E413">
        <f t="shared" si="19"/>
        <v>29.427798546897236</v>
      </c>
      <c r="F413">
        <f t="shared" si="20"/>
        <v>24.457188629839084</v>
      </c>
      <c r="G413">
        <v>0</v>
      </c>
      <c r="H413">
        <v>94.769532488572096</v>
      </c>
    </row>
    <row r="414" spans="1:8" x14ac:dyDescent="0.35">
      <c r="A414" t="s">
        <v>432</v>
      </c>
      <c r="B414">
        <v>93.584660215296296</v>
      </c>
      <c r="C414">
        <f t="shared" si="18"/>
        <v>90.566105919437646</v>
      </c>
      <c r="D414">
        <v>35.058540679219703</v>
      </c>
      <c r="E414">
        <f t="shared" si="19"/>
        <v>30.980914647665095</v>
      </c>
      <c r="F414">
        <f t="shared" si="20"/>
        <v>27.349135803053493</v>
      </c>
      <c r="G414">
        <v>0</v>
      </c>
      <c r="H414">
        <v>93.584660215296296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CE2F-1FAA-474A-9C53-F2D5911EFD4B}">
  <dimension ref="A1:N10"/>
  <sheetViews>
    <sheetView workbookViewId="0">
      <selection activeCell="B3" sqref="B3"/>
    </sheetView>
  </sheetViews>
  <sheetFormatPr defaultRowHeight="14.5" x14ac:dyDescent="0.35"/>
  <sheetData>
    <row r="1" spans="1:14" x14ac:dyDescent="0.35">
      <c r="A1" t="s">
        <v>16</v>
      </c>
      <c r="D1" t="s">
        <v>17</v>
      </c>
      <c r="G1" t="s">
        <v>18</v>
      </c>
      <c r="J1" t="s">
        <v>20</v>
      </c>
      <c r="M1" t="s">
        <v>19</v>
      </c>
    </row>
    <row r="2" spans="1:14" x14ac:dyDescent="0.35">
      <c r="A2" t="s">
        <v>14</v>
      </c>
      <c r="B2" t="s">
        <v>15</v>
      </c>
      <c r="D2" t="s">
        <v>14</v>
      </c>
      <c r="E2" t="s">
        <v>15</v>
      </c>
      <c r="G2" t="s">
        <v>14</v>
      </c>
      <c r="H2" t="s">
        <v>15</v>
      </c>
      <c r="J2" t="s">
        <v>14</v>
      </c>
      <c r="K2" t="s">
        <v>15</v>
      </c>
      <c r="M2" t="s">
        <v>14</v>
      </c>
      <c r="N2" t="s">
        <v>15</v>
      </c>
    </row>
    <row r="3" spans="1:14" x14ac:dyDescent="0.35">
      <c r="A3">
        <v>0</v>
      </c>
      <c r="B3">
        <v>0.68</v>
      </c>
      <c r="D3">
        <v>0</v>
      </c>
      <c r="E3">
        <v>0.66</v>
      </c>
      <c r="G3">
        <v>0</v>
      </c>
      <c r="H3">
        <v>0.66</v>
      </c>
      <c r="J3">
        <v>0</v>
      </c>
      <c r="K3">
        <v>0.54</v>
      </c>
      <c r="M3">
        <v>0</v>
      </c>
      <c r="N3">
        <v>0.65</v>
      </c>
    </row>
    <row r="4" spans="1:14" x14ac:dyDescent="0.35">
      <c r="A4">
        <v>2E-3</v>
      </c>
      <c r="B4">
        <v>0.75</v>
      </c>
      <c r="D4">
        <v>2E-3</v>
      </c>
      <c r="E4">
        <v>0.75</v>
      </c>
      <c r="G4">
        <v>2E-3</v>
      </c>
      <c r="H4">
        <v>0.78</v>
      </c>
      <c r="J4">
        <v>2E-3</v>
      </c>
      <c r="K4">
        <v>0.68</v>
      </c>
      <c r="M4">
        <v>2E-3</v>
      </c>
      <c r="N4">
        <v>0.75</v>
      </c>
    </row>
    <row r="5" spans="1:14" x14ac:dyDescent="0.35">
      <c r="A5">
        <v>4.0000000000000001E-3</v>
      </c>
      <c r="B5">
        <v>0.77</v>
      </c>
      <c r="D5">
        <v>4.0000000000000001E-3</v>
      </c>
      <c r="E5">
        <v>0.78</v>
      </c>
      <c r="G5">
        <v>4.0000000000000001E-3</v>
      </c>
      <c r="H5">
        <v>0.84</v>
      </c>
      <c r="J5">
        <v>4.0000000000000001E-3</v>
      </c>
      <c r="K5">
        <v>0.76</v>
      </c>
      <c r="M5">
        <v>4.0000000000000001E-3</v>
      </c>
      <c r="N5">
        <v>0.8</v>
      </c>
    </row>
    <row r="6" spans="1:14" x14ac:dyDescent="0.35">
      <c r="A6">
        <v>6.0000000000000001E-3</v>
      </c>
      <c r="B6">
        <v>0.76</v>
      </c>
      <c r="D6">
        <v>6.0000000000000001E-3</v>
      </c>
      <c r="E6">
        <v>0.77</v>
      </c>
      <c r="G6">
        <v>6.0000000000000001E-3</v>
      </c>
      <c r="H6">
        <v>0.85</v>
      </c>
      <c r="J6">
        <v>6.0000000000000001E-3</v>
      </c>
      <c r="K6">
        <v>0.8</v>
      </c>
      <c r="M6">
        <v>6.0000000000000001E-3</v>
      </c>
      <c r="N6">
        <v>0.81</v>
      </c>
    </row>
    <row r="7" spans="1:14" x14ac:dyDescent="0.35">
      <c r="A7">
        <v>8.0000000000000002E-3</v>
      </c>
      <c r="B7">
        <v>0.73</v>
      </c>
      <c r="D7">
        <v>8.0000000000000002E-3</v>
      </c>
      <c r="E7">
        <v>0.75</v>
      </c>
      <c r="G7">
        <v>8.0000000000000002E-3</v>
      </c>
      <c r="H7">
        <v>0.84</v>
      </c>
      <c r="J7">
        <v>8.0000000000000002E-3</v>
      </c>
      <c r="K7">
        <v>0.80979999999999996</v>
      </c>
      <c r="M7">
        <v>8.0000000000000002E-3</v>
      </c>
      <c r="N7">
        <v>0.79</v>
      </c>
    </row>
    <row r="8" spans="1:14" x14ac:dyDescent="0.35">
      <c r="A8">
        <v>0.01</v>
      </c>
      <c r="B8">
        <v>0.7</v>
      </c>
      <c r="D8">
        <v>0.01</v>
      </c>
      <c r="E8">
        <v>0.72</v>
      </c>
      <c r="G8">
        <v>0.01</v>
      </c>
      <c r="H8">
        <v>0.82</v>
      </c>
      <c r="J8">
        <v>0.01</v>
      </c>
      <c r="K8">
        <v>0.80649999999999999</v>
      </c>
      <c r="M8">
        <v>0.01</v>
      </c>
      <c r="N8">
        <v>0.77</v>
      </c>
    </row>
    <row r="9" spans="1:14" x14ac:dyDescent="0.35">
      <c r="A9">
        <v>1.4999999999999999E-2</v>
      </c>
      <c r="B9">
        <v>0.62</v>
      </c>
      <c r="D9">
        <v>1.4999999999999999E-2</v>
      </c>
      <c r="E9">
        <v>0.64</v>
      </c>
      <c r="G9">
        <v>1.4999999999999999E-2</v>
      </c>
      <c r="H9">
        <v>0.76</v>
      </c>
      <c r="J9">
        <v>1.4999999999999999E-2</v>
      </c>
      <c r="K9">
        <v>0.77</v>
      </c>
      <c r="M9">
        <v>1.4999999999999999E-2</v>
      </c>
      <c r="N9">
        <v>0.71</v>
      </c>
    </row>
    <row r="10" spans="1:14" x14ac:dyDescent="0.35">
      <c r="A10">
        <v>0.02</v>
      </c>
      <c r="B10">
        <v>0.55000000000000004</v>
      </c>
      <c r="D10">
        <v>0.02</v>
      </c>
      <c r="E10">
        <v>0.57999999999999996</v>
      </c>
      <c r="G10">
        <v>0.02</v>
      </c>
      <c r="H10">
        <v>0.7</v>
      </c>
      <c r="J10">
        <v>0.02</v>
      </c>
      <c r="K10">
        <v>0.73</v>
      </c>
      <c r="M10">
        <v>0.02</v>
      </c>
      <c r="N10">
        <v>0.65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selhausen_SM_Kdose_daily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2023-09-04T15:01:05Z</dcterms:created>
  <dcterms:modified xsi:type="dcterms:W3CDTF">2026-10-26T14:08:11Z</dcterms:modified>
</cp:coreProperties>
</file>