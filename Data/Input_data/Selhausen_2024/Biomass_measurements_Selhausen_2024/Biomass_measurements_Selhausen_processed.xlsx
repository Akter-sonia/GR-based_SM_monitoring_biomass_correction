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D:\Data\Selhausen_2024\Biomass_measurements_Selhausen_2024\"/>
    </mc:Choice>
  </mc:AlternateContent>
  <xr:revisionPtr revIDLastSave="0" documentId="13_ncr:1_{CC9E2C17-DE2C-4E6F-AF54-613245F429D0}" xr6:coauthVersionLast="47" xr6:coauthVersionMax="47" xr10:uidLastSave="{00000000-0000-0000-0000-000000000000}"/>
  <bookViews>
    <workbookView xWindow="28680" yWindow="-120" windowWidth="29040" windowHeight="17640" activeTab="2" xr2:uid="{95DD6E43-AB44-4979-8B2F-B2ABF8B64ACD}"/>
  </bookViews>
  <sheets>
    <sheet name="Sheet1" sheetId="1" r:id="rId1"/>
    <sheet name="processed" sheetId="2" r:id="rId2"/>
    <sheet name="plot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8" i="3" l="1"/>
  <c r="D19" i="3"/>
  <c r="D17" i="3"/>
  <c r="D16" i="3"/>
  <c r="D15" i="3"/>
  <c r="D3" i="3"/>
  <c r="D4" i="3"/>
  <c r="D5" i="3"/>
  <c r="D6" i="3"/>
  <c r="D2" i="3"/>
  <c r="M46" i="1" l="1"/>
  <c r="F16" i="3"/>
  <c r="F17" i="3"/>
  <c r="F18" i="3"/>
  <c r="F19" i="3"/>
  <c r="F15" i="3"/>
  <c r="E16" i="3"/>
  <c r="E17" i="3"/>
  <c r="E18" i="3"/>
  <c r="E19" i="3"/>
  <c r="E15" i="3"/>
  <c r="AG25" i="2"/>
  <c r="AG20" i="2"/>
  <c r="AG15" i="2"/>
  <c r="AG7" i="2"/>
  <c r="AG2" i="2"/>
  <c r="AF25" i="2"/>
  <c r="AF20" i="2"/>
  <c r="AF15" i="2"/>
  <c r="AF7" i="2"/>
  <c r="AF2" i="2"/>
  <c r="AC3" i="2"/>
  <c r="AC4" i="2"/>
  <c r="AC5" i="2"/>
  <c r="AC7" i="2"/>
  <c r="AC8" i="2"/>
  <c r="AC9" i="2"/>
  <c r="AC10" i="2"/>
  <c r="AC11" i="2"/>
  <c r="AC12" i="2"/>
  <c r="AC13" i="2"/>
  <c r="AC15" i="2"/>
  <c r="AC16" i="2"/>
  <c r="AC17" i="2"/>
  <c r="AC18" i="2"/>
  <c r="AC20" i="2"/>
  <c r="AC21" i="2"/>
  <c r="AC22" i="2"/>
  <c r="AC23" i="2"/>
  <c r="AC25" i="2"/>
  <c r="AC26" i="2"/>
  <c r="AC27" i="2"/>
  <c r="AC28" i="2"/>
  <c r="AC2" i="2"/>
  <c r="AB3" i="2"/>
  <c r="AB4" i="2"/>
  <c r="AB5" i="2"/>
  <c r="AB7" i="2"/>
  <c r="AB8" i="2"/>
  <c r="AB9" i="2"/>
  <c r="AB10" i="2"/>
  <c r="AB11" i="2"/>
  <c r="AB12" i="2"/>
  <c r="AB13" i="2"/>
  <c r="AB15" i="2"/>
  <c r="AB16" i="2"/>
  <c r="AB17" i="2"/>
  <c r="AB18" i="2"/>
  <c r="AB20" i="2"/>
  <c r="AB21" i="2"/>
  <c r="AB22" i="2"/>
  <c r="AB23" i="2"/>
  <c r="AB25" i="2"/>
  <c r="AB26" i="2"/>
  <c r="AB27" i="2"/>
  <c r="AB28" i="2"/>
  <c r="AB2" i="2"/>
  <c r="C16" i="3"/>
  <c r="C17" i="3"/>
  <c r="C18" i="3"/>
  <c r="C19" i="3"/>
  <c r="C15" i="3"/>
  <c r="B16" i="3"/>
  <c r="B17" i="3"/>
  <c r="B18" i="3"/>
  <c r="B19" i="3"/>
  <c r="B15" i="3"/>
  <c r="W28" i="2"/>
  <c r="W3" i="2"/>
  <c r="W4" i="2"/>
  <c r="W5" i="2"/>
  <c r="W7" i="2"/>
  <c r="W8" i="2"/>
  <c r="W9" i="2"/>
  <c r="W10" i="2"/>
  <c r="W11" i="2"/>
  <c r="W12" i="2"/>
  <c r="W13" i="2"/>
  <c r="W15" i="2"/>
  <c r="W16" i="2"/>
  <c r="W17" i="2"/>
  <c r="W18" i="2"/>
  <c r="W20" i="2"/>
  <c r="W21" i="2"/>
  <c r="W22" i="2"/>
  <c r="W23" i="2"/>
  <c r="W25" i="2"/>
  <c r="W26" i="2"/>
  <c r="W27" i="2"/>
  <c r="W2" i="2"/>
  <c r="V28" i="2"/>
  <c r="V3" i="2"/>
  <c r="V4" i="2"/>
  <c r="V5" i="2"/>
  <c r="V7" i="2"/>
  <c r="V8" i="2"/>
  <c r="V9" i="2"/>
  <c r="V10" i="2"/>
  <c r="V11" i="2"/>
  <c r="V12" i="2"/>
  <c r="V13" i="2"/>
  <c r="V15" i="2"/>
  <c r="V16" i="2"/>
  <c r="V17" i="2"/>
  <c r="V18" i="2"/>
  <c r="V20" i="2"/>
  <c r="V21" i="2"/>
  <c r="V22" i="2"/>
  <c r="V23" i="2"/>
  <c r="V25" i="2"/>
  <c r="V26" i="2"/>
  <c r="V27" i="2"/>
  <c r="V2" i="2"/>
  <c r="G4" i="2" l="1"/>
  <c r="G26" i="2"/>
  <c r="G28" i="2"/>
  <c r="G27" i="2"/>
  <c r="G25" i="2"/>
  <c r="G23" i="2"/>
  <c r="G22" i="2"/>
  <c r="G21" i="2"/>
  <c r="G20" i="2"/>
  <c r="G18" i="2"/>
  <c r="G17" i="2"/>
  <c r="G16" i="2"/>
  <c r="G12" i="2"/>
  <c r="G10" i="2"/>
  <c r="G8" i="2"/>
  <c r="G7" i="2"/>
  <c r="G15" i="2"/>
  <c r="G13" i="2"/>
  <c r="G11" i="2"/>
  <c r="G9" i="2"/>
  <c r="G5" i="2"/>
  <c r="G3" i="2"/>
  <c r="G2" i="2"/>
  <c r="E28" i="2"/>
  <c r="E27" i="2"/>
  <c r="E26" i="2"/>
  <c r="X26" i="2" s="1"/>
  <c r="Y26" i="2" s="1"/>
  <c r="E25" i="2"/>
  <c r="E23" i="2"/>
  <c r="E22" i="2"/>
  <c r="E21" i="2"/>
  <c r="X21" i="2" s="1"/>
  <c r="Y21" i="2" s="1"/>
  <c r="E20" i="2"/>
  <c r="E18" i="2"/>
  <c r="E17" i="2"/>
  <c r="E16" i="2"/>
  <c r="E15" i="2"/>
  <c r="X15" i="2" s="1"/>
  <c r="Y15" i="2" s="1"/>
  <c r="E13" i="2"/>
  <c r="E12" i="2"/>
  <c r="X12" i="2" s="1"/>
  <c r="Y12" i="2" s="1"/>
  <c r="E11" i="2"/>
  <c r="E10" i="2"/>
  <c r="E9" i="2"/>
  <c r="E8" i="2"/>
  <c r="X8" i="2" s="1"/>
  <c r="Y8" i="2" s="1"/>
  <c r="E7" i="2"/>
  <c r="X7" i="2" s="1"/>
  <c r="Y7" i="2" s="1"/>
  <c r="E5" i="2"/>
  <c r="E4" i="2"/>
  <c r="E3" i="2"/>
  <c r="X3" i="2" s="1"/>
  <c r="Y3" i="2" s="1"/>
  <c r="E2" i="2"/>
  <c r="Z80" i="1"/>
  <c r="Y86" i="1"/>
  <c r="Y80" i="1"/>
  <c r="Y81" i="1"/>
  <c r="Y84" i="1"/>
  <c r="Y85" i="1"/>
  <c r="Y88" i="1"/>
  <c r="Y89" i="1"/>
  <c r="Y90" i="1" s="1"/>
  <c r="Y92" i="1"/>
  <c r="Y95" i="1" s="1"/>
  <c r="Y93" i="1"/>
  <c r="Y94" i="1"/>
  <c r="Y79" i="1"/>
  <c r="Y82" i="1" s="1"/>
  <c r="T88" i="1"/>
  <c r="T89" i="1"/>
  <c r="S90" i="1"/>
  <c r="S80" i="1"/>
  <c r="S84" i="1"/>
  <c r="S88" i="1"/>
  <c r="S89" i="1"/>
  <c r="S92" i="1"/>
  <c r="S94" i="1" s="1"/>
  <c r="S93" i="1"/>
  <c r="S79" i="1"/>
  <c r="S81" i="1" s="1"/>
  <c r="N92" i="1"/>
  <c r="M80" i="1"/>
  <c r="M84" i="1"/>
  <c r="M86" i="1" s="1"/>
  <c r="AB84" i="1" s="1"/>
  <c r="M85" i="1"/>
  <c r="M88" i="1"/>
  <c r="M90" i="1" s="1"/>
  <c r="M89" i="1"/>
  <c r="M92" i="1"/>
  <c r="M94" i="1" s="1"/>
  <c r="M93" i="1"/>
  <c r="M79" i="1"/>
  <c r="M81" i="1" s="1"/>
  <c r="W93" i="1"/>
  <c r="Z93" i="1" s="1"/>
  <c r="W94" i="1"/>
  <c r="Z94" i="1" s="1"/>
  <c r="W92" i="1"/>
  <c r="W95" i="1" s="1"/>
  <c r="Q93" i="1"/>
  <c r="T93" i="1" s="1"/>
  <c r="Q92" i="1"/>
  <c r="Q94" i="1" s="1"/>
  <c r="T94" i="1" s="1"/>
  <c r="K94" i="1"/>
  <c r="N94" i="1" s="1"/>
  <c r="K93" i="1"/>
  <c r="N93" i="1" s="1"/>
  <c r="K92" i="1"/>
  <c r="W89" i="1"/>
  <c r="Z89" i="1" s="1"/>
  <c r="W88" i="1"/>
  <c r="Z88" i="1" s="1"/>
  <c r="Q89" i="1"/>
  <c r="Q88" i="1"/>
  <c r="Q90" i="1" s="1"/>
  <c r="T90" i="1" s="1"/>
  <c r="K89" i="1"/>
  <c r="N89" i="1" s="1"/>
  <c r="K88" i="1"/>
  <c r="K90" i="1" s="1"/>
  <c r="W85" i="1"/>
  <c r="Z85" i="1" s="1"/>
  <c r="W84" i="1"/>
  <c r="Q84" i="1"/>
  <c r="T84" i="1" s="1"/>
  <c r="K85" i="1"/>
  <c r="N85" i="1" s="1"/>
  <c r="K84" i="1"/>
  <c r="N84" i="1" s="1"/>
  <c r="W81" i="1"/>
  <c r="Z81" i="1" s="1"/>
  <c r="W80" i="1"/>
  <c r="W79" i="1"/>
  <c r="Z79" i="1" s="1"/>
  <c r="Q80" i="1"/>
  <c r="T80" i="1" s="1"/>
  <c r="Q79" i="1"/>
  <c r="Q81" i="1" s="1"/>
  <c r="K80" i="1"/>
  <c r="N80" i="1" s="1"/>
  <c r="K79" i="1"/>
  <c r="N79" i="1" s="1"/>
  <c r="W37" i="1"/>
  <c r="Y37" i="1"/>
  <c r="Y18" i="1"/>
  <c r="Z18" i="1" s="1"/>
  <c r="Y21" i="1"/>
  <c r="Z21" i="1" s="1"/>
  <c r="Y24" i="1"/>
  <c r="Z24" i="1" s="1"/>
  <c r="Y27" i="1"/>
  <c r="Z27" i="1" s="1"/>
  <c r="Y30" i="1"/>
  <c r="Z30" i="1" s="1"/>
  <c r="Y33" i="1"/>
  <c r="Z33" i="1" s="1"/>
  <c r="Y38" i="1"/>
  <c r="Y42" i="1"/>
  <c r="Y43" i="1"/>
  <c r="Y44" i="1"/>
  <c r="Y45" i="1"/>
  <c r="Y49" i="1"/>
  <c r="Y50" i="1"/>
  <c r="Y51" i="1"/>
  <c r="Y54" i="1"/>
  <c r="Y55" i="1"/>
  <c r="Y60" i="1"/>
  <c r="Y61" i="1"/>
  <c r="Y64" i="1"/>
  <c r="Y65" i="1"/>
  <c r="Y68" i="1"/>
  <c r="Y69" i="1"/>
  <c r="Y72" i="1"/>
  <c r="Y73" i="1"/>
  <c r="W18" i="1"/>
  <c r="W21" i="1"/>
  <c r="W24" i="1"/>
  <c r="W27" i="1"/>
  <c r="W30" i="1"/>
  <c r="W33" i="1"/>
  <c r="W38" i="1"/>
  <c r="Z38" i="1" s="1"/>
  <c r="W42" i="1"/>
  <c r="W43" i="1"/>
  <c r="Z43" i="1" s="1"/>
  <c r="W44" i="1"/>
  <c r="Z44" i="1" s="1"/>
  <c r="W45" i="1"/>
  <c r="Z45" i="1" s="1"/>
  <c r="W49" i="1"/>
  <c r="W50" i="1"/>
  <c r="Z50" i="1" s="1"/>
  <c r="W51" i="1"/>
  <c r="Z51" i="1" s="1"/>
  <c r="W54" i="1"/>
  <c r="Z54" i="1" s="1"/>
  <c r="W55" i="1"/>
  <c r="Z55" i="1" s="1"/>
  <c r="W60" i="1"/>
  <c r="W61" i="1"/>
  <c r="W64" i="1"/>
  <c r="W65" i="1"/>
  <c r="W68" i="1"/>
  <c r="W69" i="1"/>
  <c r="W72" i="1"/>
  <c r="W73" i="1"/>
  <c r="Y15" i="1"/>
  <c r="Z15" i="1" s="1"/>
  <c r="W15" i="1"/>
  <c r="S18" i="1"/>
  <c r="S21" i="1"/>
  <c r="S24" i="1"/>
  <c r="S27" i="1"/>
  <c r="S30" i="1"/>
  <c r="S33" i="1"/>
  <c r="S37" i="1"/>
  <c r="S38" i="1"/>
  <c r="S42" i="1"/>
  <c r="S43" i="1"/>
  <c r="S49" i="1"/>
  <c r="S54" i="1"/>
  <c r="S60" i="1"/>
  <c r="S64" i="1"/>
  <c r="S68" i="1"/>
  <c r="S72" i="1"/>
  <c r="Q18" i="1"/>
  <c r="T18" i="1" s="1"/>
  <c r="Q21" i="1"/>
  <c r="T21" i="1" s="1"/>
  <c r="Q24" i="1"/>
  <c r="T24" i="1" s="1"/>
  <c r="Q27" i="1"/>
  <c r="T27" i="1" s="1"/>
  <c r="Q30" i="1"/>
  <c r="T30" i="1" s="1"/>
  <c r="Q33" i="1"/>
  <c r="T33" i="1" s="1"/>
  <c r="Q37" i="1"/>
  <c r="T37" i="1" s="1"/>
  <c r="Q38" i="1"/>
  <c r="T38" i="1" s="1"/>
  <c r="Q42" i="1"/>
  <c r="T42" i="1" s="1"/>
  <c r="Q43" i="1"/>
  <c r="Q49" i="1"/>
  <c r="T49" i="1" s="1"/>
  <c r="Q54" i="1"/>
  <c r="T54" i="1" s="1"/>
  <c r="Q60" i="1"/>
  <c r="T60" i="1" s="1"/>
  <c r="Q64" i="1"/>
  <c r="Q68" i="1"/>
  <c r="Q72" i="1"/>
  <c r="S15" i="1"/>
  <c r="Q15" i="1"/>
  <c r="T15" i="1" s="1"/>
  <c r="M18" i="1"/>
  <c r="M21" i="1"/>
  <c r="M24" i="1"/>
  <c r="M27" i="1"/>
  <c r="M30" i="1"/>
  <c r="M33" i="1"/>
  <c r="M37" i="1"/>
  <c r="M38" i="1"/>
  <c r="M42" i="1"/>
  <c r="M43" i="1"/>
  <c r="M49" i="1"/>
  <c r="M54" i="1"/>
  <c r="M60" i="1"/>
  <c r="M61" i="1"/>
  <c r="M64" i="1"/>
  <c r="M68" i="1"/>
  <c r="M72" i="1"/>
  <c r="M73" i="1"/>
  <c r="K18" i="1"/>
  <c r="K21" i="1"/>
  <c r="K24" i="1"/>
  <c r="K27" i="1"/>
  <c r="K30" i="1"/>
  <c r="K33" i="1"/>
  <c r="K37" i="1"/>
  <c r="K38" i="1"/>
  <c r="K42" i="1"/>
  <c r="K43" i="1"/>
  <c r="K49" i="1"/>
  <c r="K54" i="1"/>
  <c r="K60" i="1"/>
  <c r="K61" i="1"/>
  <c r="K64" i="1"/>
  <c r="K68" i="1"/>
  <c r="K72" i="1"/>
  <c r="K73" i="1"/>
  <c r="M15" i="1"/>
  <c r="AB15" i="1" s="1"/>
  <c r="K15" i="1"/>
  <c r="Y5" i="1"/>
  <c r="Y8" i="1"/>
  <c r="Y11" i="1"/>
  <c r="Y3" i="1"/>
  <c r="W5" i="1"/>
  <c r="W8" i="1"/>
  <c r="W11" i="1"/>
  <c r="W3" i="1"/>
  <c r="M5" i="1"/>
  <c r="AB5" i="1" s="1"/>
  <c r="M8" i="1"/>
  <c r="AB8" i="1" s="1"/>
  <c r="M11" i="1"/>
  <c r="AB11" i="1" s="1"/>
  <c r="M3" i="1"/>
  <c r="K5" i="1"/>
  <c r="K8" i="1"/>
  <c r="K11" i="1"/>
  <c r="AA11" i="1" s="1"/>
  <c r="K3" i="1"/>
  <c r="X5" i="2" l="1"/>
  <c r="Y5" i="2" s="1"/>
  <c r="Z5" i="2" s="1"/>
  <c r="X25" i="2"/>
  <c r="Y25" i="2" s="1"/>
  <c r="X16" i="2"/>
  <c r="Y16" i="2" s="1"/>
  <c r="AA16" i="2" s="1"/>
  <c r="X9" i="2"/>
  <c r="Y9" i="2" s="1"/>
  <c r="X27" i="2"/>
  <c r="Y27" i="2" s="1"/>
  <c r="X10" i="2"/>
  <c r="Y10" i="2" s="1"/>
  <c r="AA10" i="2" s="1"/>
  <c r="AA26" i="2"/>
  <c r="Z26" i="2"/>
  <c r="X17" i="2"/>
  <c r="Y17" i="2" s="1"/>
  <c r="Z9" i="2"/>
  <c r="AA9" i="2"/>
  <c r="X18" i="2"/>
  <c r="Y18" i="2" s="1"/>
  <c r="X28" i="2"/>
  <c r="Y28" i="2" s="1"/>
  <c r="Z15" i="2"/>
  <c r="AA15" i="2"/>
  <c r="AA27" i="2"/>
  <c r="Z27" i="2"/>
  <c r="Z10" i="2"/>
  <c r="X20" i="2"/>
  <c r="Y20" i="2" s="1"/>
  <c r="Z16" i="2"/>
  <c r="AA8" i="2"/>
  <c r="Z8" i="2"/>
  <c r="X2" i="2"/>
  <c r="Y2" i="2" s="1"/>
  <c r="X11" i="2"/>
  <c r="Y11" i="2" s="1"/>
  <c r="Z21" i="2"/>
  <c r="AA21" i="2"/>
  <c r="Z25" i="2"/>
  <c r="AA25" i="2"/>
  <c r="Z12" i="2"/>
  <c r="AA12" i="2"/>
  <c r="X22" i="2"/>
  <c r="Y22" i="2" s="1"/>
  <c r="AA7" i="2"/>
  <c r="Z7" i="2"/>
  <c r="Z3" i="2"/>
  <c r="AA3" i="2"/>
  <c r="X4" i="2"/>
  <c r="Y4" i="2" s="1"/>
  <c r="X13" i="2"/>
  <c r="Y13" i="2" s="1"/>
  <c r="X23" i="2"/>
  <c r="Y23" i="2" s="1"/>
  <c r="AB88" i="1"/>
  <c r="N90" i="1"/>
  <c r="Z95" i="1"/>
  <c r="AC92" i="1" s="1"/>
  <c r="AA92" i="1"/>
  <c r="T81" i="1"/>
  <c r="AB79" i="1"/>
  <c r="AA88" i="1"/>
  <c r="AB92" i="1"/>
  <c r="W90" i="1"/>
  <c r="Z90" i="1" s="1"/>
  <c r="T92" i="1"/>
  <c r="Z92" i="1"/>
  <c r="W86" i="1"/>
  <c r="Z86" i="1" s="1"/>
  <c r="N88" i="1"/>
  <c r="T79" i="1"/>
  <c r="Z84" i="1"/>
  <c r="AB3" i="1"/>
  <c r="K81" i="1"/>
  <c r="K39" i="1"/>
  <c r="M74" i="1"/>
  <c r="W70" i="1"/>
  <c r="Y70" i="1"/>
  <c r="AB68" i="1" s="1"/>
  <c r="AB30" i="1"/>
  <c r="W82" i="1"/>
  <c r="Z82" i="1" s="1"/>
  <c r="K86" i="1"/>
  <c r="AB18" i="1"/>
  <c r="W52" i="1"/>
  <c r="AA49" i="1" s="1"/>
  <c r="N54" i="1"/>
  <c r="N27" i="1"/>
  <c r="AC27" i="1" s="1"/>
  <c r="M62" i="1"/>
  <c r="S39" i="1"/>
  <c r="W62" i="1"/>
  <c r="AA60" i="1" s="1"/>
  <c r="Y46" i="1"/>
  <c r="AA3" i="1"/>
  <c r="W46" i="1"/>
  <c r="K74" i="1"/>
  <c r="K46" i="1"/>
  <c r="W74" i="1"/>
  <c r="W39" i="1"/>
  <c r="AA68" i="1"/>
  <c r="AA33" i="1"/>
  <c r="K62" i="1"/>
  <c r="M39" i="1"/>
  <c r="S46" i="1"/>
  <c r="W66" i="1"/>
  <c r="Y66" i="1"/>
  <c r="AB64" i="1" s="1"/>
  <c r="Z61" i="1"/>
  <c r="Q46" i="1"/>
  <c r="T39" i="1"/>
  <c r="Z60" i="1"/>
  <c r="Z37" i="1"/>
  <c r="Z39" i="1" s="1"/>
  <c r="Y62" i="1"/>
  <c r="T43" i="1"/>
  <c r="T46" i="1" s="1"/>
  <c r="Z73" i="1"/>
  <c r="W56" i="1"/>
  <c r="AA54" i="1" s="1"/>
  <c r="Z72" i="1"/>
  <c r="Z49" i="1"/>
  <c r="Z52" i="1" s="1"/>
  <c r="Z69" i="1"/>
  <c r="Q39" i="1"/>
  <c r="Z42" i="1"/>
  <c r="Z46" i="1" s="1"/>
  <c r="Y74" i="1"/>
  <c r="AB72" i="1" s="1"/>
  <c r="Z68" i="1"/>
  <c r="Z65" i="1"/>
  <c r="Z64" i="1"/>
  <c r="Y39" i="1"/>
  <c r="T68" i="1"/>
  <c r="T64" i="1"/>
  <c r="Z56" i="1"/>
  <c r="Y52" i="1"/>
  <c r="AB49" i="1" s="1"/>
  <c r="Z3" i="1"/>
  <c r="N15" i="1"/>
  <c r="AC15" i="1" s="1"/>
  <c r="AB33" i="1"/>
  <c r="N73" i="1"/>
  <c r="N43" i="1"/>
  <c r="N21" i="1"/>
  <c r="AC21" i="1" s="1"/>
  <c r="Y56" i="1"/>
  <c r="AB54" i="1" s="1"/>
  <c r="AA24" i="1"/>
  <c r="N5" i="1"/>
  <c r="Z5" i="1"/>
  <c r="AA18" i="1"/>
  <c r="N61" i="1"/>
  <c r="N60" i="1"/>
  <c r="N62" i="1" s="1"/>
  <c r="AA30" i="1"/>
  <c r="T72" i="1"/>
  <c r="N8" i="1"/>
  <c r="Z8" i="1"/>
  <c r="AB27" i="1"/>
  <c r="Z11" i="1"/>
  <c r="N72" i="1"/>
  <c r="N74" i="1" s="1"/>
  <c r="N42" i="1"/>
  <c r="N46" i="1" s="1"/>
  <c r="AB24" i="1"/>
  <c r="AB21" i="1"/>
  <c r="N68" i="1"/>
  <c r="N38" i="1"/>
  <c r="N18" i="1"/>
  <c r="AC18" i="1" s="1"/>
  <c r="N64" i="1"/>
  <c r="N37" i="1"/>
  <c r="N49" i="1"/>
  <c r="AC49" i="1" s="1"/>
  <c r="N24" i="1"/>
  <c r="AC24" i="1" s="1"/>
  <c r="AA21" i="1"/>
  <c r="AA27" i="1"/>
  <c r="N11" i="1"/>
  <c r="N33" i="1"/>
  <c r="AC33" i="1" s="1"/>
  <c r="AA8" i="1"/>
  <c r="AA5" i="1"/>
  <c r="AA15" i="1"/>
  <c r="N30" i="1"/>
  <c r="AC30" i="1" s="1"/>
  <c r="N3" i="1"/>
  <c r="AA5" i="2" l="1"/>
  <c r="AA28" i="2"/>
  <c r="Z28" i="2"/>
  <c r="AD25" i="2" s="1"/>
  <c r="AA20" i="2"/>
  <c r="Z20" i="2"/>
  <c r="AD20" i="2" s="1"/>
  <c r="Z18" i="2"/>
  <c r="AA18" i="2"/>
  <c r="Z11" i="2"/>
  <c r="AA11" i="2"/>
  <c r="Z22" i="2"/>
  <c r="AA22" i="2"/>
  <c r="Z2" i="2"/>
  <c r="AA2" i="2"/>
  <c r="AA17" i="2"/>
  <c r="AE15" i="2" s="1"/>
  <c r="Z17" i="2"/>
  <c r="AD15" i="2" s="1"/>
  <c r="AA23" i="2"/>
  <c r="Z23" i="2"/>
  <c r="AA13" i="2"/>
  <c r="AE7" i="2" s="1"/>
  <c r="Z13" i="2"/>
  <c r="AA4" i="2"/>
  <c r="Z4" i="2"/>
  <c r="AE25" i="2"/>
  <c r="Z74" i="1"/>
  <c r="AA79" i="1"/>
  <c r="N81" i="1"/>
  <c r="AC79" i="1" s="1"/>
  <c r="AC88" i="1"/>
  <c r="N86" i="1"/>
  <c r="AC84" i="1" s="1"/>
  <c r="AA84" i="1"/>
  <c r="Z62" i="1"/>
  <c r="AC60" i="1" s="1"/>
  <c r="AA37" i="1"/>
  <c r="Z70" i="1"/>
  <c r="AB37" i="1"/>
  <c r="N39" i="1"/>
  <c r="AC37" i="1" s="1"/>
  <c r="Z66" i="1"/>
  <c r="AC64" i="1" s="1"/>
  <c r="AB42" i="1"/>
  <c r="AA42" i="1"/>
  <c r="AA72" i="1"/>
  <c r="AC11" i="1"/>
  <c r="AB60" i="1"/>
  <c r="AA64" i="1"/>
  <c r="AC3" i="1"/>
  <c r="AC42" i="1"/>
  <c r="AC72" i="1"/>
  <c r="AC5" i="1"/>
  <c r="AC68" i="1"/>
  <c r="AC8" i="1"/>
  <c r="AD7" i="2" l="1"/>
  <c r="AE2" i="2"/>
  <c r="AD2" i="2"/>
  <c r="AE20" i="2"/>
  <c r="AC54" i="1"/>
</calcChain>
</file>

<file path=xl/sharedStrings.xml><?xml version="1.0" encoding="utf-8"?>
<sst xmlns="http://schemas.openxmlformats.org/spreadsheetml/2006/main" count="302" uniqueCount="154">
  <si>
    <t xml:space="preserve">Locations </t>
  </si>
  <si>
    <t>45 * 45</t>
  </si>
  <si>
    <t>40 * 43</t>
  </si>
  <si>
    <t>Plant heights (cm)</t>
  </si>
  <si>
    <t>Length (distance along the plants in cm)</t>
  </si>
  <si>
    <t>Point 1</t>
  </si>
  <si>
    <t>Tray</t>
  </si>
  <si>
    <t>Tray + beets</t>
  </si>
  <si>
    <t>Tray + leaves</t>
  </si>
  <si>
    <t>Width (row distance in cm)</t>
  </si>
  <si>
    <t>38 * 40</t>
  </si>
  <si>
    <t>45 * 44</t>
  </si>
  <si>
    <t>41 * 41</t>
  </si>
  <si>
    <t>40 * 36</t>
  </si>
  <si>
    <t>Wet weight of beets (g)</t>
  </si>
  <si>
    <t>Wet weight of leaves (g)</t>
  </si>
  <si>
    <t>Dry weight of beets (g)</t>
  </si>
  <si>
    <t>Dry weight of leaves (g)</t>
  </si>
  <si>
    <t>25, 17, 15, 16, 17, 14</t>
  </si>
  <si>
    <t>24, 18, 19, 20, 22, 18</t>
  </si>
  <si>
    <t>18, 16, 19, 16, 14, 18</t>
  </si>
  <si>
    <t>16, 27, 15, 18, 20, 20</t>
  </si>
  <si>
    <t>Date</t>
  </si>
  <si>
    <t>Co-ordinates</t>
  </si>
  <si>
    <t>SP-II_05-01</t>
  </si>
  <si>
    <t>SP-II_01-01</t>
  </si>
  <si>
    <t>SP-II_06-01</t>
  </si>
  <si>
    <t>SP-II_20-01</t>
  </si>
  <si>
    <t>SP-II_02-01</t>
  </si>
  <si>
    <t>SP-II_07-01</t>
  </si>
  <si>
    <t>SP-II_12-01</t>
  </si>
  <si>
    <t>Island 1</t>
  </si>
  <si>
    <t>Island 2</t>
  </si>
  <si>
    <t>Island 3</t>
  </si>
  <si>
    <t>50.865881,6.447329</t>
  </si>
  <si>
    <t>50.8662721, 6.4471024</t>
  </si>
  <si>
    <t>50.865932,6.446720</t>
  </si>
  <si>
    <t>50.86511, 6.44704</t>
  </si>
  <si>
    <t>50.86494, 6.44623</t>
  </si>
  <si>
    <t>50.86619, 6.44918</t>
  </si>
  <si>
    <t>50.86665, 6.44657</t>
  </si>
  <si>
    <t>38, 31, 39, 49, 36, 37</t>
  </si>
  <si>
    <t>27, 24, 23, 29, 34, 29</t>
  </si>
  <si>
    <t>45, 24, 39, 48, 39, 41</t>
  </si>
  <si>
    <t>42*42</t>
  </si>
  <si>
    <t>45*45</t>
  </si>
  <si>
    <t>39*39</t>
  </si>
  <si>
    <t>44*44</t>
  </si>
  <si>
    <t>41*40</t>
  </si>
  <si>
    <t>45, 45, 49, 50, 54, 50</t>
  </si>
  <si>
    <t>46, 44, 60, 49, 47, 45</t>
  </si>
  <si>
    <t>56*42</t>
  </si>
  <si>
    <t>46*46</t>
  </si>
  <si>
    <t>50, 42, 40, 49, 47, 54</t>
  </si>
  <si>
    <t>40*38</t>
  </si>
  <si>
    <t>42*41</t>
  </si>
  <si>
    <t>40, 48, 42, 40, 45, 51</t>
  </si>
  <si>
    <t>Wet weight of shoots (g)</t>
  </si>
  <si>
    <t>Tray + shoots</t>
  </si>
  <si>
    <t>shoots</t>
  </si>
  <si>
    <t>leaves</t>
  </si>
  <si>
    <t>Dry weight of shoots (g)</t>
  </si>
  <si>
    <t>50.86671, 6.44792</t>
  </si>
  <si>
    <t>50.86536, 6.44609</t>
  </si>
  <si>
    <t>50.86549, 6.44756</t>
  </si>
  <si>
    <t>SP-II_03-01</t>
  </si>
  <si>
    <t>SP-II_13-01</t>
  </si>
  <si>
    <t>SP-II_17-01</t>
  </si>
  <si>
    <t>SP-II_19-01</t>
  </si>
  <si>
    <t>59, 51, 54, 52, 59, 53</t>
  </si>
  <si>
    <t>41*42</t>
  </si>
  <si>
    <t>45*44</t>
  </si>
  <si>
    <t>48, 47, 45, 50, 52, 49</t>
  </si>
  <si>
    <t>40*40</t>
  </si>
  <si>
    <t>58, 58, 57, 61, 57, 57</t>
  </si>
  <si>
    <t>35*40</t>
  </si>
  <si>
    <t>47*46</t>
  </si>
  <si>
    <t>56, 53, 56, 59, 49, 44</t>
  </si>
  <si>
    <t>point 2</t>
  </si>
  <si>
    <t>Point 3</t>
  </si>
  <si>
    <t>point 4</t>
  </si>
  <si>
    <t>3 * 3</t>
  </si>
  <si>
    <t>3 * 2</t>
  </si>
  <si>
    <t>50.8666302, 6.447569</t>
  </si>
  <si>
    <t>50.866174, 6.446881</t>
  </si>
  <si>
    <t>61, 61, 58</t>
  </si>
  <si>
    <t>40 * 41</t>
  </si>
  <si>
    <t>39 *38</t>
  </si>
  <si>
    <t>45 *46</t>
  </si>
  <si>
    <t>44 * 45</t>
  </si>
  <si>
    <t>45 * 47</t>
  </si>
  <si>
    <t>43 *42</t>
  </si>
  <si>
    <t>50.86547, 6.4497</t>
  </si>
  <si>
    <t>50.86583, 6.44831</t>
  </si>
  <si>
    <t>50.86628, 6.4471</t>
  </si>
  <si>
    <t>50.86644, 6.44543</t>
  </si>
  <si>
    <t>50.865749,6.446998</t>
  </si>
  <si>
    <t>50.865855,6.447701</t>
  </si>
  <si>
    <t>beets</t>
  </si>
  <si>
    <t>biomass water_shoots</t>
  </si>
  <si>
    <t>biomass water_leaves</t>
  </si>
  <si>
    <t>biomass water_beets (g)</t>
  </si>
  <si>
    <t>Not seprerated from leaves</t>
  </si>
  <si>
    <t>Total wet biomass (g)</t>
  </si>
  <si>
    <t xml:space="preserve"> </t>
  </si>
  <si>
    <t>50.865858, 6.446575</t>
  </si>
  <si>
    <t>36*39</t>
  </si>
  <si>
    <t>42*46</t>
  </si>
  <si>
    <t>3*3</t>
  </si>
  <si>
    <t>Total no of plants</t>
  </si>
  <si>
    <t>No of plants sampled</t>
  </si>
  <si>
    <t>50.866201, 6.446997</t>
  </si>
  <si>
    <t>42*40</t>
  </si>
  <si>
    <t>42*45</t>
  </si>
  <si>
    <t>44*45</t>
  </si>
  <si>
    <t>41*46</t>
  </si>
  <si>
    <t>45*46</t>
  </si>
  <si>
    <t>50.865779, 6.447564</t>
  </si>
  <si>
    <t>50.865982, 6.448166</t>
  </si>
  <si>
    <t>Total dry biomass (g)</t>
  </si>
  <si>
    <t>Total biomass water content (g)</t>
  </si>
  <si>
    <t>(5.866179, 6.449412)</t>
  </si>
  <si>
    <t>Width av (cm)</t>
  </si>
  <si>
    <t>Length av (cm)</t>
  </si>
  <si>
    <t>Fresh beets (g)</t>
  </si>
  <si>
    <t>Dry beets (g)</t>
  </si>
  <si>
    <t>Fresh shoots (g)</t>
  </si>
  <si>
    <t>Dry shoots (g)</t>
  </si>
  <si>
    <t>Fresh leaves (g)</t>
  </si>
  <si>
    <t>Dry leaves (g)</t>
  </si>
  <si>
    <t>Total fresh biomass (g)</t>
  </si>
  <si>
    <t>Total fresh AG (g)</t>
  </si>
  <si>
    <t>Total dry AG (g)</t>
  </si>
  <si>
    <t>Area between plants (m2)</t>
  </si>
  <si>
    <t>Density of plants (plants/m2)</t>
  </si>
  <si>
    <t>Total fresh AG (g/m2)</t>
  </si>
  <si>
    <t>Total dry AG (g/m2)</t>
  </si>
  <si>
    <t>Average dry AG (g/m2)</t>
  </si>
  <si>
    <t>Fresh AG (g/m2)</t>
  </si>
  <si>
    <t>Dry AG (g/m2)</t>
  </si>
  <si>
    <t>Fresh AG (kg/m2)</t>
  </si>
  <si>
    <t>Dry AG (kg/m2)</t>
  </si>
  <si>
    <t>Total fresh BG (g/m2)</t>
  </si>
  <si>
    <t>Average fresh BG (g/m2)</t>
  </si>
  <si>
    <t>Average dry BG (g/m2)</t>
  </si>
  <si>
    <t>Avg fresh AG (g/m2)</t>
  </si>
  <si>
    <t>Fresh BG (g/m2)</t>
  </si>
  <si>
    <t>Fresh BG (kg/m2)</t>
  </si>
  <si>
    <t>Dry BG (kg/m2)</t>
  </si>
  <si>
    <t>Total dry BG (g/m2)</t>
  </si>
  <si>
    <t xml:space="preserve">                                          </t>
  </si>
  <si>
    <t>A factor of 1.5 (3/2) is used when calculating plant area to correct for the cascade effect, where plants located along the border are counted again during upscaling (while next grid is considered). This adjustment prevents overestimating the number of plants per square meter.</t>
  </si>
  <si>
    <t>Water content AG (g/m2)</t>
  </si>
  <si>
    <t>Water content AG (kg/m2)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</si>
</sst>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b/>
      <sz val="12"/>
      <color rgb="FFFF0000"/>
      <name val="Aptos Narrow"/>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15">
    <xf numFmtId="0" fontId="0" fillId="0" borderId="0" xfId="0"/>
    <xf numFmtId="14" fontId="0" fillId="0" borderId="0" xfId="0" applyNumberFormat="1"/>
    <xf numFmtId="0" fontId="1" fillId="0" borderId="0" xfId="0" applyFont="1"/>
    <xf numFmtId="0" fontId="1" fillId="0" borderId="0" xfId="0" applyFont="1" applyAlignment="1">
      <alignment wrapText="1"/>
    </xf>
    <xf numFmtId="2" fontId="0" fillId="0" borderId="0" xfId="0" applyNumberFormat="1"/>
    <xf numFmtId="0" fontId="1" fillId="0" borderId="0" xfId="0" applyFont="1" applyAlignment="1">
      <alignment horizontal="center"/>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center" vertical="center" wrapText="1"/>
    </xf>
    <xf numFmtId="0" fontId="2" fillId="0" borderId="5" xfId="0" applyFont="1" applyBorder="1" applyAlignment="1">
      <alignment horizontal="center" vertical="center" wrapText="1"/>
    </xf>
    <xf numFmtId="0" fontId="2" fillId="0" borderId="6" xfId="0" applyFont="1" applyBorder="1" applyAlignment="1">
      <alignment horizontal="center" vertical="center" wrapText="1"/>
    </xf>
    <xf numFmtId="0" fontId="2" fillId="0" borderId="7" xfId="0" applyFont="1" applyBorder="1" applyAlignment="1">
      <alignment horizontal="center" vertical="center" wrapText="1"/>
    </xf>
    <xf numFmtId="0" fontId="2" fillId="0" borderId="8"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smoothMarker"/>
        <c:varyColors val="0"/>
        <c:ser>
          <c:idx val="0"/>
          <c:order val="0"/>
          <c:tx>
            <c:strRef>
              <c:f>plots!$B$13</c:f>
              <c:strCache>
                <c:ptCount val="1"/>
                <c:pt idx="0">
                  <c:v>Fresh AG (kg/m2)</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plots!$A$14:$A$19</c:f>
              <c:numCache>
                <c:formatCode>m/d/yyyy</c:formatCode>
                <c:ptCount val="6"/>
                <c:pt idx="0">
                  <c:v>45413</c:v>
                </c:pt>
                <c:pt idx="1">
                  <c:v>45460</c:v>
                </c:pt>
                <c:pt idx="2">
                  <c:v>45482</c:v>
                </c:pt>
                <c:pt idx="3">
                  <c:v>45498</c:v>
                </c:pt>
                <c:pt idx="4">
                  <c:v>45510</c:v>
                </c:pt>
                <c:pt idx="5">
                  <c:v>45532</c:v>
                </c:pt>
              </c:numCache>
            </c:numRef>
          </c:xVal>
          <c:yVal>
            <c:numRef>
              <c:f>plots!$B$14:$B$19</c:f>
              <c:numCache>
                <c:formatCode>0.00</c:formatCode>
                <c:ptCount val="6"/>
                <c:pt idx="0" formatCode="General">
                  <c:v>0</c:v>
                </c:pt>
                <c:pt idx="1">
                  <c:v>0.57687594380339069</c:v>
                </c:pt>
                <c:pt idx="2">
                  <c:v>2.405038868762996</c:v>
                </c:pt>
                <c:pt idx="3">
                  <c:v>4.5924405056774349</c:v>
                </c:pt>
                <c:pt idx="4">
                  <c:v>6.2862873912911938</c:v>
                </c:pt>
                <c:pt idx="5">
                  <c:v>7.9556893002303077</c:v>
                </c:pt>
              </c:numCache>
            </c:numRef>
          </c:yVal>
          <c:smooth val="1"/>
          <c:extLst>
            <c:ext xmlns:c16="http://schemas.microsoft.com/office/drawing/2014/chart" uri="{C3380CC4-5D6E-409C-BE32-E72D297353CC}">
              <c16:uniqueId val="{00000000-A8CF-468B-A23C-735438F09B0B}"/>
            </c:ext>
          </c:extLst>
        </c:ser>
        <c:ser>
          <c:idx val="1"/>
          <c:order val="1"/>
          <c:tx>
            <c:strRef>
              <c:f>plots!$C$13</c:f>
              <c:strCache>
                <c:ptCount val="1"/>
                <c:pt idx="0">
                  <c:v>Dry AG (kg/m2)</c:v>
                </c:pt>
              </c:strCache>
            </c:strRef>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Ref>
              <c:f>plots!$A$14:$A$19</c:f>
              <c:numCache>
                <c:formatCode>m/d/yyyy</c:formatCode>
                <c:ptCount val="6"/>
                <c:pt idx="0">
                  <c:v>45413</c:v>
                </c:pt>
                <c:pt idx="1">
                  <c:v>45460</c:v>
                </c:pt>
                <c:pt idx="2">
                  <c:v>45482</c:v>
                </c:pt>
                <c:pt idx="3">
                  <c:v>45498</c:v>
                </c:pt>
                <c:pt idx="4">
                  <c:v>45510</c:v>
                </c:pt>
                <c:pt idx="5">
                  <c:v>45532</c:v>
                </c:pt>
              </c:numCache>
            </c:numRef>
          </c:xVal>
          <c:yVal>
            <c:numRef>
              <c:f>plots!$C$14:$C$19</c:f>
              <c:numCache>
                <c:formatCode>0.00</c:formatCode>
                <c:ptCount val="6"/>
                <c:pt idx="0" formatCode="General">
                  <c:v>0</c:v>
                </c:pt>
                <c:pt idx="1">
                  <c:v>5.7709644472945534E-2</c:v>
                </c:pt>
                <c:pt idx="2">
                  <c:v>0.3014943471725049</c:v>
                </c:pt>
                <c:pt idx="3">
                  <c:v>0.52283517611276364</c:v>
                </c:pt>
                <c:pt idx="4">
                  <c:v>0.70490582989141781</c:v>
                </c:pt>
                <c:pt idx="5">
                  <c:v>0.95441504975506719</c:v>
                </c:pt>
              </c:numCache>
            </c:numRef>
          </c:yVal>
          <c:smooth val="1"/>
          <c:extLst>
            <c:ext xmlns:c16="http://schemas.microsoft.com/office/drawing/2014/chart" uri="{C3380CC4-5D6E-409C-BE32-E72D297353CC}">
              <c16:uniqueId val="{00000001-A8CF-468B-A23C-735438F09B0B}"/>
            </c:ext>
          </c:extLst>
        </c:ser>
        <c:ser>
          <c:idx val="2"/>
          <c:order val="2"/>
          <c:tx>
            <c:strRef>
              <c:f>plots!$E$13</c:f>
              <c:strCache>
                <c:ptCount val="1"/>
                <c:pt idx="0">
                  <c:v>Fresh BG (kg/m2)</c:v>
                </c:pt>
              </c:strCache>
            </c:strRef>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Ref>
              <c:f>plots!$A$14:$A$19</c:f>
              <c:numCache>
                <c:formatCode>m/d/yyyy</c:formatCode>
                <c:ptCount val="6"/>
                <c:pt idx="0">
                  <c:v>45413</c:v>
                </c:pt>
                <c:pt idx="1">
                  <c:v>45460</c:v>
                </c:pt>
                <c:pt idx="2">
                  <c:v>45482</c:v>
                </c:pt>
                <c:pt idx="3">
                  <c:v>45498</c:v>
                </c:pt>
                <c:pt idx="4">
                  <c:v>45510</c:v>
                </c:pt>
                <c:pt idx="5">
                  <c:v>45532</c:v>
                </c:pt>
              </c:numCache>
            </c:numRef>
          </c:xVal>
          <c:yVal>
            <c:numRef>
              <c:f>plots!$E$14:$E$19</c:f>
              <c:numCache>
                <c:formatCode>0.00</c:formatCode>
                <c:ptCount val="6"/>
                <c:pt idx="0" formatCode="General">
                  <c:v>0</c:v>
                </c:pt>
                <c:pt idx="1">
                  <c:v>0.1254464151487972</c:v>
                </c:pt>
                <c:pt idx="2">
                  <c:v>1.0522294026557264</c:v>
                </c:pt>
                <c:pt idx="3">
                  <c:v>4.6456672073387262</c:v>
                </c:pt>
                <c:pt idx="4">
                  <c:v>8.1516597597353382</c:v>
                </c:pt>
                <c:pt idx="5">
                  <c:v>11.167290111789114</c:v>
                </c:pt>
              </c:numCache>
            </c:numRef>
          </c:yVal>
          <c:smooth val="1"/>
          <c:extLst>
            <c:ext xmlns:c16="http://schemas.microsoft.com/office/drawing/2014/chart" uri="{C3380CC4-5D6E-409C-BE32-E72D297353CC}">
              <c16:uniqueId val="{00000002-A8CF-468B-A23C-735438F09B0B}"/>
            </c:ext>
          </c:extLst>
        </c:ser>
        <c:ser>
          <c:idx val="3"/>
          <c:order val="3"/>
          <c:tx>
            <c:strRef>
              <c:f>plots!$F$13</c:f>
              <c:strCache>
                <c:ptCount val="1"/>
                <c:pt idx="0">
                  <c:v>Dry BG (kg/m2)</c:v>
                </c:pt>
              </c:strCache>
            </c:strRef>
          </c:tx>
          <c:spPr>
            <a:ln w="19050" cap="rnd">
              <a:solidFill>
                <a:schemeClr val="accent4"/>
              </a:solidFill>
              <a:round/>
            </a:ln>
            <a:effectLst/>
          </c:spPr>
          <c:marker>
            <c:symbol val="circle"/>
            <c:size val="5"/>
            <c:spPr>
              <a:solidFill>
                <a:schemeClr val="accent4"/>
              </a:solidFill>
              <a:ln w="9525">
                <a:solidFill>
                  <a:schemeClr val="accent4"/>
                </a:solidFill>
              </a:ln>
              <a:effectLst/>
            </c:spPr>
          </c:marker>
          <c:xVal>
            <c:numRef>
              <c:f>plots!$A$14:$A$19</c:f>
              <c:numCache>
                <c:formatCode>m/d/yyyy</c:formatCode>
                <c:ptCount val="6"/>
                <c:pt idx="0">
                  <c:v>45413</c:v>
                </c:pt>
                <c:pt idx="1">
                  <c:v>45460</c:v>
                </c:pt>
                <c:pt idx="2">
                  <c:v>45482</c:v>
                </c:pt>
                <c:pt idx="3">
                  <c:v>45498</c:v>
                </c:pt>
                <c:pt idx="4">
                  <c:v>45510</c:v>
                </c:pt>
                <c:pt idx="5">
                  <c:v>45532</c:v>
                </c:pt>
              </c:numCache>
            </c:numRef>
          </c:xVal>
          <c:yVal>
            <c:numRef>
              <c:f>plots!$F$14:$F$19</c:f>
              <c:numCache>
                <c:formatCode>0.00</c:formatCode>
                <c:ptCount val="6"/>
                <c:pt idx="0" formatCode="General">
                  <c:v>0</c:v>
                </c:pt>
                <c:pt idx="1">
                  <c:v>2.1943360321861706E-2</c:v>
                </c:pt>
                <c:pt idx="2">
                  <c:v>0.21347727577460446</c:v>
                </c:pt>
                <c:pt idx="3">
                  <c:v>1.089831926743605</c:v>
                </c:pt>
                <c:pt idx="4">
                  <c:v>1.7408306918755685</c:v>
                </c:pt>
                <c:pt idx="5">
                  <c:v>2.2667324248952752</c:v>
                </c:pt>
              </c:numCache>
            </c:numRef>
          </c:yVal>
          <c:smooth val="1"/>
          <c:extLst>
            <c:ext xmlns:c16="http://schemas.microsoft.com/office/drawing/2014/chart" uri="{C3380CC4-5D6E-409C-BE32-E72D297353CC}">
              <c16:uniqueId val="{00000003-A8CF-468B-A23C-735438F09B0B}"/>
            </c:ext>
          </c:extLst>
        </c:ser>
        <c:dLbls>
          <c:showLegendKey val="0"/>
          <c:showVal val="0"/>
          <c:showCatName val="0"/>
          <c:showSerName val="0"/>
          <c:showPercent val="0"/>
          <c:showBubbleSize val="0"/>
        </c:dLbls>
        <c:axId val="1472120912"/>
        <c:axId val="1446691104"/>
      </c:scatterChart>
      <c:valAx>
        <c:axId val="1472120912"/>
        <c:scaling>
          <c:orientation val="minMax"/>
          <c:max val="45551"/>
        </c:scaling>
        <c:delete val="0"/>
        <c:axPos val="b"/>
        <c:majorGridlines>
          <c:spPr>
            <a:ln w="9525" cap="flat" cmpd="sng" algn="ctr">
              <a:solidFill>
                <a:schemeClr val="tx1">
                  <a:lumMod val="15000"/>
                  <a:lumOff val="85000"/>
                </a:schemeClr>
              </a:solidFill>
              <a:round/>
            </a:ln>
            <a:effectLst/>
          </c:spPr>
        </c:majorGridlines>
        <c:numFmt formatCode="m/d/yyyy"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6691104"/>
        <c:crosses val="autoZero"/>
        <c:crossBetween val="midCat"/>
      </c:valAx>
      <c:valAx>
        <c:axId val="1446691104"/>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r>
                  <a:rPr lang="en-US" sz="1400" b="1"/>
                  <a:t>Biomass (kg/m2)</a:t>
                </a:r>
              </a:p>
            </c:rich>
          </c:tx>
          <c:overlay val="0"/>
          <c:spPr>
            <a:noFill/>
            <a:ln>
              <a:noFill/>
            </a:ln>
            <a:effectLst/>
          </c:spPr>
          <c:txPr>
            <a:bodyPr rot="-54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212091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444501</xdr:colOff>
      <xdr:row>3</xdr:row>
      <xdr:rowOff>76199</xdr:rowOff>
    </xdr:from>
    <xdr:to>
      <xdr:col>17</xdr:col>
      <xdr:colOff>123825</xdr:colOff>
      <xdr:row>26</xdr:row>
      <xdr:rowOff>114299</xdr:rowOff>
    </xdr:to>
    <xdr:graphicFrame macro="">
      <xdr:nvGraphicFramePr>
        <xdr:cNvPr id="3" name="Chart 2">
          <a:extLst>
            <a:ext uri="{FF2B5EF4-FFF2-40B4-BE49-F238E27FC236}">
              <a16:creationId xmlns:a16="http://schemas.microsoft.com/office/drawing/2014/main" id="{18D39FF5-8ED8-75D4-715A-FF719A3BA5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430FEF-EC53-4B04-81FC-6CEAAC4F5026}">
  <dimension ref="A1:AD95"/>
  <sheetViews>
    <sheetView workbookViewId="0">
      <pane xSplit="2" ySplit="2" topLeftCell="C15" activePane="bottomRight" state="frozen"/>
      <selection pane="topRight" activeCell="C1" sqref="C1"/>
      <selection pane="bottomLeft" activeCell="A3" sqref="A3"/>
      <selection pane="bottomRight" activeCell="N46" sqref="N46"/>
    </sheetView>
  </sheetViews>
  <sheetFormatPr defaultRowHeight="14.5" x14ac:dyDescent="0.35"/>
  <cols>
    <col min="1" max="1" width="10.453125" bestFit="1" customWidth="1"/>
    <col min="2" max="3" width="13.1796875" customWidth="1"/>
    <col min="4" max="4" width="11.54296875" customWidth="1"/>
    <col min="5" max="5" width="13" customWidth="1"/>
    <col min="9" max="9" width="12.453125" customWidth="1"/>
    <col min="10" max="11" width="17" customWidth="1"/>
    <col min="13" max="14" width="13.26953125" customWidth="1"/>
    <col min="16" max="23" width="13" customWidth="1"/>
    <col min="25" max="26" width="13.81640625" customWidth="1"/>
  </cols>
  <sheetData>
    <row r="1" spans="1:29" x14ac:dyDescent="0.35">
      <c r="A1" s="2" t="s">
        <v>22</v>
      </c>
      <c r="B1" s="2" t="s">
        <v>0</v>
      </c>
      <c r="C1" s="2" t="s">
        <v>23</v>
      </c>
      <c r="D1" s="2" t="s">
        <v>3</v>
      </c>
      <c r="E1" s="2" t="s">
        <v>4</v>
      </c>
      <c r="F1" s="2" t="s">
        <v>9</v>
      </c>
      <c r="G1" s="2" t="s">
        <v>109</v>
      </c>
      <c r="H1" s="2" t="s">
        <v>110</v>
      </c>
      <c r="I1" s="5" t="s">
        <v>14</v>
      </c>
      <c r="J1" s="5"/>
      <c r="K1" s="5"/>
      <c r="L1" s="5" t="s">
        <v>16</v>
      </c>
      <c r="M1" s="5"/>
      <c r="N1" s="2" t="s">
        <v>101</v>
      </c>
      <c r="O1" s="5" t="s">
        <v>57</v>
      </c>
      <c r="P1" s="5"/>
      <c r="Q1" s="5"/>
      <c r="R1" s="2" t="s">
        <v>61</v>
      </c>
      <c r="S1" s="2"/>
      <c r="T1" s="2" t="s">
        <v>99</v>
      </c>
      <c r="U1" s="5" t="s">
        <v>15</v>
      </c>
      <c r="V1" s="5"/>
      <c r="W1" s="5"/>
      <c r="X1" s="2" t="s">
        <v>17</v>
      </c>
      <c r="Y1" s="2"/>
      <c r="Z1" s="2" t="s">
        <v>100</v>
      </c>
      <c r="AA1" s="2" t="s">
        <v>103</v>
      </c>
      <c r="AB1" s="2" t="s">
        <v>119</v>
      </c>
      <c r="AC1" s="2" t="s">
        <v>120</v>
      </c>
    </row>
    <row r="2" spans="1:29" x14ac:dyDescent="0.35">
      <c r="A2" s="2"/>
      <c r="B2" s="2"/>
      <c r="C2" s="2"/>
      <c r="D2" s="2"/>
      <c r="E2" s="2"/>
      <c r="F2" s="2"/>
      <c r="G2" s="2"/>
      <c r="H2" s="2"/>
      <c r="I2" s="2" t="s">
        <v>6</v>
      </c>
      <c r="J2" s="2" t="s">
        <v>7</v>
      </c>
      <c r="K2" s="2" t="s">
        <v>98</v>
      </c>
      <c r="L2" s="2" t="s">
        <v>7</v>
      </c>
      <c r="M2" s="2" t="s">
        <v>98</v>
      </c>
      <c r="N2" s="2"/>
      <c r="O2" s="2" t="s">
        <v>6</v>
      </c>
      <c r="P2" s="2" t="s">
        <v>58</v>
      </c>
      <c r="Q2" s="2" t="s">
        <v>59</v>
      </c>
      <c r="R2" s="2" t="s">
        <v>58</v>
      </c>
      <c r="S2" s="2" t="s">
        <v>59</v>
      </c>
      <c r="T2" s="2"/>
      <c r="U2" s="2" t="s">
        <v>6</v>
      </c>
      <c r="V2" s="2" t="s">
        <v>8</v>
      </c>
      <c r="W2" s="2" t="s">
        <v>60</v>
      </c>
      <c r="X2" s="2" t="s">
        <v>8</v>
      </c>
      <c r="Y2" s="2" t="s">
        <v>60</v>
      </c>
    </row>
    <row r="3" spans="1:29" x14ac:dyDescent="0.35">
      <c r="B3" t="s">
        <v>5</v>
      </c>
      <c r="C3" t="s">
        <v>121</v>
      </c>
      <c r="D3" t="s">
        <v>18</v>
      </c>
      <c r="E3" t="s">
        <v>2</v>
      </c>
      <c r="F3" t="s">
        <v>1</v>
      </c>
      <c r="G3" t="s">
        <v>81</v>
      </c>
      <c r="H3">
        <v>6</v>
      </c>
      <c r="I3">
        <v>4.46</v>
      </c>
      <c r="J3">
        <v>51.8</v>
      </c>
      <c r="K3">
        <f xml:space="preserve"> J3-I3</f>
        <v>47.339999999999996</v>
      </c>
      <c r="L3">
        <v>12.71</v>
      </c>
      <c r="M3">
        <f>L3-I3</f>
        <v>8.25</v>
      </c>
      <c r="N3">
        <f xml:space="preserve"> K3-M3</f>
        <v>39.089999999999996</v>
      </c>
      <c r="U3">
        <v>36.4</v>
      </c>
      <c r="V3">
        <v>252.63</v>
      </c>
      <c r="W3">
        <f>V3-U3</f>
        <v>216.23</v>
      </c>
      <c r="X3">
        <v>58.71</v>
      </c>
      <c r="Y3">
        <f xml:space="preserve"> X3-U3</f>
        <v>22.310000000000002</v>
      </c>
      <c r="Z3">
        <f xml:space="preserve"> W3-Y3</f>
        <v>193.92</v>
      </c>
      <c r="AA3">
        <f xml:space="preserve"> K3+W3</f>
        <v>263.57</v>
      </c>
      <c r="AB3">
        <f xml:space="preserve"> M3+Y3</f>
        <v>30.560000000000002</v>
      </c>
      <c r="AC3">
        <f xml:space="preserve"> N3+Z3</f>
        <v>233.01</v>
      </c>
    </row>
    <row r="4" spans="1:29" x14ac:dyDescent="0.35">
      <c r="P4" t="s">
        <v>102</v>
      </c>
    </row>
    <row r="5" spans="1:29" x14ac:dyDescent="0.35">
      <c r="B5" t="s">
        <v>25</v>
      </c>
      <c r="C5" t="s">
        <v>64</v>
      </c>
      <c r="D5" t="s">
        <v>19</v>
      </c>
      <c r="E5" t="s">
        <v>10</v>
      </c>
      <c r="F5" t="s">
        <v>1</v>
      </c>
      <c r="G5" t="s">
        <v>81</v>
      </c>
      <c r="H5">
        <v>6</v>
      </c>
      <c r="I5">
        <v>4.47</v>
      </c>
      <c r="J5">
        <v>71.62</v>
      </c>
      <c r="K5">
        <f t="shared" ref="K5:K11" si="0" xml:space="preserve"> J5-I5</f>
        <v>67.150000000000006</v>
      </c>
      <c r="L5">
        <v>16.53</v>
      </c>
      <c r="M5">
        <f>L5-I5</f>
        <v>12.060000000000002</v>
      </c>
      <c r="N5">
        <f xml:space="preserve"> K5-M5</f>
        <v>55.09</v>
      </c>
      <c r="U5">
        <v>36.729999999999997</v>
      </c>
      <c r="V5">
        <v>337.31</v>
      </c>
      <c r="W5">
        <f t="shared" ref="W5:W11" si="1">V5-U5</f>
        <v>300.58</v>
      </c>
      <c r="X5">
        <v>66.19</v>
      </c>
      <c r="Y5">
        <f t="shared" ref="Y5:Y11" si="2" xml:space="preserve"> X5-U5</f>
        <v>29.46</v>
      </c>
      <c r="Z5">
        <f t="shared" ref="Z5:Z11" si="3" xml:space="preserve"> W5-Y5</f>
        <v>271.12</v>
      </c>
      <c r="AA5">
        <f xml:space="preserve"> K5+W5</f>
        <v>367.73</v>
      </c>
      <c r="AB5">
        <f xml:space="preserve"> M5+Y5</f>
        <v>41.52</v>
      </c>
      <c r="AC5">
        <f t="shared" ref="AC5:AC11" si="4" xml:space="preserve"> N5+Z5</f>
        <v>326.21000000000004</v>
      </c>
    </row>
    <row r="6" spans="1:29" x14ac:dyDescent="0.35">
      <c r="A6" s="1">
        <v>45460</v>
      </c>
    </row>
    <row r="8" spans="1:29" x14ac:dyDescent="0.35">
      <c r="B8" t="s">
        <v>26</v>
      </c>
      <c r="C8" t="s">
        <v>63</v>
      </c>
      <c r="D8" t="s">
        <v>20</v>
      </c>
      <c r="E8" t="s">
        <v>12</v>
      </c>
      <c r="F8" t="s">
        <v>11</v>
      </c>
      <c r="G8" t="s">
        <v>81</v>
      </c>
      <c r="H8">
        <v>6</v>
      </c>
      <c r="I8">
        <v>4.5</v>
      </c>
      <c r="J8">
        <v>40.57</v>
      </c>
      <c r="K8">
        <f t="shared" si="0"/>
        <v>36.07</v>
      </c>
      <c r="L8">
        <v>10.94</v>
      </c>
      <c r="M8">
        <f>L8-I8</f>
        <v>6.4399999999999995</v>
      </c>
      <c r="N8">
        <f xml:space="preserve"> K8-M8</f>
        <v>29.630000000000003</v>
      </c>
      <c r="U8">
        <v>36.79</v>
      </c>
      <c r="V8">
        <v>209.91</v>
      </c>
      <c r="W8">
        <f t="shared" si="1"/>
        <v>173.12</v>
      </c>
      <c r="X8">
        <v>55.4</v>
      </c>
      <c r="Y8">
        <f t="shared" si="2"/>
        <v>18.61</v>
      </c>
      <c r="Z8">
        <f t="shared" si="3"/>
        <v>154.51</v>
      </c>
      <c r="AA8">
        <f xml:space="preserve"> K8+W8</f>
        <v>209.19</v>
      </c>
      <c r="AB8">
        <f t="shared" ref="AB8:AB11" si="5" xml:space="preserve"> M8+Y8</f>
        <v>25.049999999999997</v>
      </c>
      <c r="AC8">
        <f t="shared" si="4"/>
        <v>184.14</v>
      </c>
    </row>
    <row r="11" spans="1:29" x14ac:dyDescent="0.35">
      <c r="B11" t="s">
        <v>27</v>
      </c>
      <c r="C11" t="s">
        <v>62</v>
      </c>
      <c r="D11" t="s">
        <v>21</v>
      </c>
      <c r="E11" t="s">
        <v>13</v>
      </c>
      <c r="F11" t="s">
        <v>1</v>
      </c>
      <c r="G11" t="s">
        <v>81</v>
      </c>
      <c r="H11">
        <v>6</v>
      </c>
      <c r="I11">
        <v>4.42</v>
      </c>
      <c r="J11">
        <v>54.9</v>
      </c>
      <c r="K11">
        <f t="shared" si="0"/>
        <v>50.48</v>
      </c>
      <c r="L11">
        <v>12.85</v>
      </c>
      <c r="M11">
        <f>L11-I11</f>
        <v>8.43</v>
      </c>
      <c r="N11">
        <f xml:space="preserve"> K11-M11</f>
        <v>42.05</v>
      </c>
      <c r="U11">
        <v>36.369999999999997</v>
      </c>
      <c r="V11">
        <v>271.06</v>
      </c>
      <c r="W11">
        <f t="shared" si="1"/>
        <v>234.69</v>
      </c>
      <c r="X11">
        <v>58.61</v>
      </c>
      <c r="Y11">
        <f t="shared" si="2"/>
        <v>22.240000000000002</v>
      </c>
      <c r="Z11">
        <f t="shared" si="3"/>
        <v>212.45</v>
      </c>
      <c r="AA11">
        <f xml:space="preserve"> K11+W11</f>
        <v>285.17</v>
      </c>
      <c r="AB11">
        <f t="shared" si="5"/>
        <v>30.67</v>
      </c>
      <c r="AC11">
        <f t="shared" si="4"/>
        <v>254.5</v>
      </c>
    </row>
    <row r="15" spans="1:29" x14ac:dyDescent="0.35">
      <c r="A15" s="1">
        <v>45482</v>
      </c>
      <c r="B15" t="s">
        <v>28</v>
      </c>
      <c r="C15" t="s">
        <v>37</v>
      </c>
      <c r="D15" t="s">
        <v>42</v>
      </c>
      <c r="E15" t="s">
        <v>46</v>
      </c>
      <c r="F15" t="s">
        <v>47</v>
      </c>
      <c r="G15" t="s">
        <v>81</v>
      </c>
      <c r="H15">
        <v>6</v>
      </c>
      <c r="I15">
        <v>9.73</v>
      </c>
      <c r="J15">
        <v>159.61000000000001</v>
      </c>
      <c r="K15">
        <f xml:space="preserve"> J15-I15</f>
        <v>149.88000000000002</v>
      </c>
      <c r="L15">
        <v>38.58</v>
      </c>
      <c r="M15">
        <f xml:space="preserve"> L15-I15</f>
        <v>28.849999999999998</v>
      </c>
      <c r="N15">
        <f>K15-M15</f>
        <v>121.03000000000003</v>
      </c>
      <c r="O15">
        <v>36.32</v>
      </c>
      <c r="P15">
        <v>181.47</v>
      </c>
      <c r="Q15">
        <f>P15-O15</f>
        <v>145.15</v>
      </c>
      <c r="R15">
        <v>51.15</v>
      </c>
      <c r="S15">
        <f>R15-O15</f>
        <v>14.829999999999998</v>
      </c>
      <c r="T15">
        <f>Q15-S15</f>
        <v>130.32</v>
      </c>
      <c r="U15">
        <v>36.700000000000003</v>
      </c>
      <c r="V15">
        <v>311.72000000000003</v>
      </c>
      <c r="W15">
        <f>V15-U15</f>
        <v>275.02000000000004</v>
      </c>
      <c r="X15">
        <v>69.94</v>
      </c>
      <c r="Y15">
        <f>X15-U15</f>
        <v>33.239999999999995</v>
      </c>
      <c r="Z15">
        <f>V15-Y15</f>
        <v>278.48</v>
      </c>
      <c r="AA15">
        <f xml:space="preserve"> K15+Q15+V15</f>
        <v>606.75</v>
      </c>
      <c r="AB15">
        <f xml:space="preserve"> M15+S15+Y15</f>
        <v>76.919999999999987</v>
      </c>
      <c r="AC15">
        <f xml:space="preserve"> N15+T15+Z15</f>
        <v>529.83000000000004</v>
      </c>
    </row>
    <row r="18" spans="2:29" x14ac:dyDescent="0.35">
      <c r="B18" t="s">
        <v>24</v>
      </c>
      <c r="C18" t="s">
        <v>38</v>
      </c>
      <c r="D18" t="s">
        <v>43</v>
      </c>
      <c r="E18" t="s">
        <v>54</v>
      </c>
      <c r="F18" t="s">
        <v>47</v>
      </c>
      <c r="G18" t="s">
        <v>81</v>
      </c>
      <c r="H18">
        <v>6</v>
      </c>
      <c r="I18">
        <v>16.8</v>
      </c>
      <c r="J18">
        <v>392.34</v>
      </c>
      <c r="K18">
        <f t="shared" ref="K18:K73" si="6" xml:space="preserve"> J18-I18</f>
        <v>375.53999999999996</v>
      </c>
      <c r="L18">
        <v>86.32</v>
      </c>
      <c r="M18">
        <f xml:space="preserve"> L18-I18</f>
        <v>69.52</v>
      </c>
      <c r="N18">
        <f>K18-M18</f>
        <v>306.02</v>
      </c>
      <c r="O18">
        <v>36.380000000000003</v>
      </c>
      <c r="P18">
        <v>344.63</v>
      </c>
      <c r="Q18">
        <f t="shared" ref="Q18:Q72" si="7">P18-O18</f>
        <v>308.25</v>
      </c>
      <c r="R18">
        <v>65.59</v>
      </c>
      <c r="S18">
        <f t="shared" ref="S18:S72" si="8">R18-O18</f>
        <v>29.21</v>
      </c>
      <c r="T18">
        <f t="shared" ref="T18:T72" si="9">Q18-S18</f>
        <v>279.04000000000002</v>
      </c>
      <c r="U18">
        <v>38.81</v>
      </c>
      <c r="V18">
        <v>540.97</v>
      </c>
      <c r="W18">
        <f t="shared" ref="W18:W73" si="10">V18-U18</f>
        <v>502.16</v>
      </c>
      <c r="X18">
        <v>96.15</v>
      </c>
      <c r="Y18">
        <f t="shared" ref="Y18:Y73" si="11">X18-U18</f>
        <v>57.34</v>
      </c>
      <c r="Z18">
        <f t="shared" ref="Z18:Z33" si="12">V18-Y18</f>
        <v>483.63</v>
      </c>
      <c r="AA18">
        <f xml:space="preserve"> K18+Q18+V18</f>
        <v>1224.76</v>
      </c>
      <c r="AB18">
        <f t="shared" ref="AB18:AB33" si="13" xml:space="preserve"> M18+S18+Y18</f>
        <v>156.07</v>
      </c>
      <c r="AC18">
        <f t="shared" ref="AC18:AC33" si="14" xml:space="preserve"> N18+T18+Z18</f>
        <v>1068.69</v>
      </c>
    </row>
    <row r="21" spans="2:29" x14ac:dyDescent="0.35">
      <c r="B21" t="s">
        <v>29</v>
      </c>
      <c r="C21" t="s">
        <v>39</v>
      </c>
      <c r="D21" t="s">
        <v>41</v>
      </c>
      <c r="E21" t="s">
        <v>44</v>
      </c>
      <c r="F21" t="s">
        <v>45</v>
      </c>
      <c r="G21" t="s">
        <v>81</v>
      </c>
      <c r="H21">
        <v>6</v>
      </c>
      <c r="I21">
        <v>9.6</v>
      </c>
      <c r="J21">
        <v>481.2</v>
      </c>
      <c r="K21">
        <f t="shared" si="6"/>
        <v>471.59999999999997</v>
      </c>
      <c r="L21">
        <v>104.13</v>
      </c>
      <c r="M21">
        <f xml:space="preserve"> L21-I21</f>
        <v>94.53</v>
      </c>
      <c r="N21">
        <f>K21-M21</f>
        <v>377.06999999999994</v>
      </c>
      <c r="O21">
        <v>36.299999999999997</v>
      </c>
      <c r="P21">
        <v>404.69</v>
      </c>
      <c r="Q21">
        <f t="shared" si="7"/>
        <v>368.39</v>
      </c>
      <c r="R21">
        <v>68.56</v>
      </c>
      <c r="S21">
        <f t="shared" si="8"/>
        <v>32.260000000000005</v>
      </c>
      <c r="T21">
        <f t="shared" si="9"/>
        <v>336.13</v>
      </c>
      <c r="U21">
        <v>36.24</v>
      </c>
      <c r="V21">
        <v>652.9</v>
      </c>
      <c r="W21">
        <f t="shared" si="10"/>
        <v>616.66</v>
      </c>
      <c r="X21">
        <v>101.95</v>
      </c>
      <c r="Y21">
        <f t="shared" si="11"/>
        <v>65.710000000000008</v>
      </c>
      <c r="Z21">
        <f t="shared" si="12"/>
        <v>587.18999999999994</v>
      </c>
      <c r="AA21">
        <f xml:space="preserve"> K21+Q21+V21</f>
        <v>1492.8899999999999</v>
      </c>
      <c r="AB21">
        <f t="shared" si="13"/>
        <v>192.5</v>
      </c>
      <c r="AC21">
        <f t="shared" si="14"/>
        <v>1300.3899999999999</v>
      </c>
    </row>
    <row r="24" spans="2:29" x14ac:dyDescent="0.35">
      <c r="B24" t="s">
        <v>30</v>
      </c>
      <c r="C24" t="s">
        <v>40</v>
      </c>
      <c r="D24" t="s">
        <v>56</v>
      </c>
      <c r="E24" t="s">
        <v>54</v>
      </c>
      <c r="F24" t="s">
        <v>55</v>
      </c>
      <c r="G24" t="s">
        <v>81</v>
      </c>
      <c r="H24">
        <v>6</v>
      </c>
      <c r="I24">
        <v>17.02</v>
      </c>
      <c r="J24">
        <v>433.48</v>
      </c>
      <c r="K24">
        <f t="shared" si="6"/>
        <v>416.46000000000004</v>
      </c>
      <c r="L24">
        <v>94.46</v>
      </c>
      <c r="M24">
        <f xml:space="preserve"> L24-I24</f>
        <v>77.44</v>
      </c>
      <c r="N24">
        <f>K24-M24</f>
        <v>339.02000000000004</v>
      </c>
      <c r="O24">
        <v>36.36</v>
      </c>
      <c r="P24">
        <v>545</v>
      </c>
      <c r="Q24">
        <f t="shared" si="7"/>
        <v>508.64</v>
      </c>
      <c r="R24">
        <v>81.5</v>
      </c>
      <c r="S24">
        <f t="shared" si="8"/>
        <v>45.14</v>
      </c>
      <c r="T24">
        <f t="shared" si="9"/>
        <v>463.5</v>
      </c>
      <c r="U24">
        <v>36.47</v>
      </c>
      <c r="V24">
        <v>586.48</v>
      </c>
      <c r="W24">
        <f t="shared" si="10"/>
        <v>550.01</v>
      </c>
      <c r="X24">
        <v>111.24</v>
      </c>
      <c r="Y24">
        <f t="shared" si="11"/>
        <v>74.77</v>
      </c>
      <c r="Z24">
        <f t="shared" si="12"/>
        <v>511.71000000000004</v>
      </c>
      <c r="AA24">
        <f xml:space="preserve"> K24+Q24+V24</f>
        <v>1511.58</v>
      </c>
      <c r="AB24">
        <f t="shared" si="13"/>
        <v>197.35</v>
      </c>
      <c r="AC24">
        <f t="shared" si="14"/>
        <v>1314.23</v>
      </c>
    </row>
    <row r="27" spans="2:29" x14ac:dyDescent="0.35">
      <c r="B27" t="s">
        <v>31</v>
      </c>
      <c r="C27" t="s">
        <v>34</v>
      </c>
      <c r="D27" t="s">
        <v>49</v>
      </c>
      <c r="E27" t="s">
        <v>48</v>
      </c>
      <c r="F27" t="s">
        <v>45</v>
      </c>
      <c r="G27" t="s">
        <v>81</v>
      </c>
      <c r="H27">
        <v>6</v>
      </c>
      <c r="I27">
        <v>16.87</v>
      </c>
      <c r="J27">
        <v>556.96</v>
      </c>
      <c r="K27">
        <f t="shared" si="6"/>
        <v>540.09</v>
      </c>
      <c r="L27">
        <v>130.96</v>
      </c>
      <c r="M27">
        <f xml:space="preserve"> L27-I27</f>
        <v>114.09</v>
      </c>
      <c r="N27">
        <f>K27-M27</f>
        <v>426</v>
      </c>
      <c r="O27">
        <v>37.200000000000003</v>
      </c>
      <c r="P27">
        <v>680.71</v>
      </c>
      <c r="Q27">
        <f t="shared" si="7"/>
        <v>643.51</v>
      </c>
      <c r="R27">
        <v>91.45</v>
      </c>
      <c r="S27">
        <f t="shared" si="8"/>
        <v>54.25</v>
      </c>
      <c r="T27">
        <f t="shared" si="9"/>
        <v>589.26</v>
      </c>
      <c r="U27">
        <v>36.51</v>
      </c>
      <c r="V27">
        <v>762.95</v>
      </c>
      <c r="W27">
        <f t="shared" si="10"/>
        <v>726.44</v>
      </c>
      <c r="X27">
        <v>203.06</v>
      </c>
      <c r="Y27">
        <f t="shared" si="11"/>
        <v>166.55</v>
      </c>
      <c r="Z27">
        <f t="shared" si="12"/>
        <v>596.40000000000009</v>
      </c>
      <c r="AA27">
        <f xml:space="preserve"> K27+Q27+V27</f>
        <v>1946.55</v>
      </c>
      <c r="AB27">
        <f t="shared" si="13"/>
        <v>334.89</v>
      </c>
      <c r="AC27">
        <f t="shared" si="14"/>
        <v>1611.66</v>
      </c>
    </row>
    <row r="30" spans="2:29" x14ac:dyDescent="0.35">
      <c r="B30" t="s">
        <v>32</v>
      </c>
      <c r="C30" t="s">
        <v>35</v>
      </c>
      <c r="D30" t="s">
        <v>50</v>
      </c>
      <c r="E30" t="s">
        <v>51</v>
      </c>
      <c r="F30" t="s">
        <v>52</v>
      </c>
      <c r="G30" t="s">
        <v>81</v>
      </c>
      <c r="H30">
        <v>6</v>
      </c>
      <c r="I30">
        <v>17.14</v>
      </c>
      <c r="J30">
        <v>719.24</v>
      </c>
      <c r="K30">
        <f t="shared" si="6"/>
        <v>702.1</v>
      </c>
      <c r="L30">
        <v>171.11</v>
      </c>
      <c r="M30">
        <f xml:space="preserve"> L30-I30</f>
        <v>153.97000000000003</v>
      </c>
      <c r="N30">
        <f>K30-M30</f>
        <v>548.13</v>
      </c>
      <c r="O30">
        <v>36.64</v>
      </c>
      <c r="P30">
        <v>741.72</v>
      </c>
      <c r="Q30">
        <f t="shared" si="7"/>
        <v>705.08</v>
      </c>
      <c r="R30">
        <v>97.54</v>
      </c>
      <c r="S30">
        <f t="shared" si="8"/>
        <v>60.900000000000006</v>
      </c>
      <c r="T30">
        <f t="shared" si="9"/>
        <v>644.18000000000006</v>
      </c>
      <c r="U30">
        <v>36.35</v>
      </c>
      <c r="V30">
        <v>813.85</v>
      </c>
      <c r="W30">
        <f t="shared" si="10"/>
        <v>777.5</v>
      </c>
      <c r="X30">
        <v>196.52</v>
      </c>
      <c r="Y30">
        <f t="shared" si="11"/>
        <v>160.17000000000002</v>
      </c>
      <c r="Z30">
        <f t="shared" si="12"/>
        <v>653.68000000000006</v>
      </c>
      <c r="AA30">
        <f xml:space="preserve"> K30+Q30+V30</f>
        <v>2221.0300000000002</v>
      </c>
      <c r="AB30">
        <f t="shared" si="13"/>
        <v>375.04000000000008</v>
      </c>
      <c r="AC30">
        <f t="shared" si="14"/>
        <v>1845.99</v>
      </c>
    </row>
    <row r="33" spans="1:29" x14ac:dyDescent="0.35">
      <c r="B33" t="s">
        <v>33</v>
      </c>
      <c r="C33" t="s">
        <v>36</v>
      </c>
      <c r="D33" t="s">
        <v>53</v>
      </c>
      <c r="E33" t="s">
        <v>45</v>
      </c>
      <c r="F33" t="s">
        <v>45</v>
      </c>
      <c r="G33" t="s">
        <v>81</v>
      </c>
      <c r="H33">
        <v>6</v>
      </c>
      <c r="I33">
        <v>16.87</v>
      </c>
      <c r="J33">
        <v>495.58</v>
      </c>
      <c r="K33">
        <f t="shared" si="6"/>
        <v>478.71</v>
      </c>
      <c r="L33">
        <v>118.38</v>
      </c>
      <c r="M33">
        <f xml:space="preserve"> L33-I33</f>
        <v>101.50999999999999</v>
      </c>
      <c r="N33">
        <f>K33-M33</f>
        <v>377.2</v>
      </c>
      <c r="O33">
        <v>36.39</v>
      </c>
      <c r="P33">
        <v>469.6</v>
      </c>
      <c r="Q33">
        <f t="shared" si="7"/>
        <v>433.21000000000004</v>
      </c>
      <c r="R33">
        <v>75.569999999999993</v>
      </c>
      <c r="S33">
        <f t="shared" si="8"/>
        <v>39.179999999999993</v>
      </c>
      <c r="T33">
        <f t="shared" si="9"/>
        <v>394.03000000000003</v>
      </c>
      <c r="U33">
        <v>36.700000000000003</v>
      </c>
      <c r="V33">
        <v>587.82000000000005</v>
      </c>
      <c r="W33">
        <f t="shared" si="10"/>
        <v>551.12</v>
      </c>
      <c r="X33">
        <v>101.3</v>
      </c>
      <c r="Y33">
        <f t="shared" si="11"/>
        <v>64.599999999999994</v>
      </c>
      <c r="Z33">
        <f t="shared" si="12"/>
        <v>523.22</v>
      </c>
      <c r="AA33">
        <f xml:space="preserve"> K33+Q33+V33</f>
        <v>1499.7400000000002</v>
      </c>
      <c r="AB33">
        <f t="shared" si="13"/>
        <v>205.29</v>
      </c>
      <c r="AC33">
        <f t="shared" si="14"/>
        <v>1294.45</v>
      </c>
    </row>
    <row r="37" spans="1:29" x14ac:dyDescent="0.35">
      <c r="A37" s="1">
        <v>45498</v>
      </c>
      <c r="B37" t="s">
        <v>65</v>
      </c>
      <c r="C37" t="s">
        <v>95</v>
      </c>
      <c r="D37" t="s">
        <v>69</v>
      </c>
      <c r="E37" t="s">
        <v>70</v>
      </c>
      <c r="F37" t="s">
        <v>45</v>
      </c>
      <c r="G37" t="s">
        <v>81</v>
      </c>
      <c r="H37">
        <v>6</v>
      </c>
      <c r="I37">
        <v>36.520000000000003</v>
      </c>
      <c r="J37">
        <v>1049.43</v>
      </c>
      <c r="K37">
        <f t="shared" si="6"/>
        <v>1012.9100000000001</v>
      </c>
      <c r="L37">
        <v>260.98</v>
      </c>
      <c r="M37">
        <f xml:space="preserve"> L37-I37</f>
        <v>224.46</v>
      </c>
      <c r="N37">
        <f>K37-M37</f>
        <v>788.45</v>
      </c>
      <c r="O37">
        <v>36.590000000000003</v>
      </c>
      <c r="P37">
        <v>587.78</v>
      </c>
      <c r="Q37">
        <f t="shared" si="7"/>
        <v>551.18999999999994</v>
      </c>
      <c r="R37">
        <v>95.43</v>
      </c>
      <c r="S37">
        <f t="shared" si="8"/>
        <v>58.84</v>
      </c>
      <c r="T37">
        <f t="shared" si="9"/>
        <v>492.34999999999991</v>
      </c>
      <c r="U37">
        <v>36.950000000000003</v>
      </c>
      <c r="V37">
        <v>327.96</v>
      </c>
      <c r="W37">
        <f>V37-U37</f>
        <v>291.01</v>
      </c>
      <c r="X37">
        <v>78.02</v>
      </c>
      <c r="Y37">
        <f>X37-U37</f>
        <v>41.069999999999993</v>
      </c>
      <c r="Z37">
        <f xml:space="preserve"> W37-Y37</f>
        <v>249.94</v>
      </c>
      <c r="AA37">
        <f xml:space="preserve"> K39+Q39+W39</f>
        <v>3445.54</v>
      </c>
      <c r="AB37">
        <f xml:space="preserve"> M39+S39+Y39</f>
        <v>590.78</v>
      </c>
      <c r="AC37">
        <f xml:space="preserve"> N39+T39+Z39</f>
        <v>2854.76</v>
      </c>
    </row>
    <row r="38" spans="1:29" x14ac:dyDescent="0.35">
      <c r="I38">
        <v>36.56</v>
      </c>
      <c r="J38">
        <v>860.07</v>
      </c>
      <c r="K38">
        <f t="shared" si="6"/>
        <v>823.51</v>
      </c>
      <c r="L38">
        <v>217.17</v>
      </c>
      <c r="M38">
        <f xml:space="preserve"> L38-I38</f>
        <v>180.60999999999999</v>
      </c>
      <c r="N38">
        <f>K38-M38</f>
        <v>642.9</v>
      </c>
      <c r="O38">
        <v>36.06</v>
      </c>
      <c r="P38">
        <v>498.53</v>
      </c>
      <c r="Q38">
        <f t="shared" si="7"/>
        <v>462.46999999999997</v>
      </c>
      <c r="R38">
        <v>81.31</v>
      </c>
      <c r="S38">
        <f t="shared" si="8"/>
        <v>45.25</v>
      </c>
      <c r="T38">
        <f t="shared" si="9"/>
        <v>417.21999999999997</v>
      </c>
      <c r="U38">
        <v>36.47</v>
      </c>
      <c r="V38">
        <v>340.92</v>
      </c>
      <c r="W38">
        <f t="shared" si="10"/>
        <v>304.45000000000005</v>
      </c>
      <c r="X38">
        <v>77.02</v>
      </c>
      <c r="Y38">
        <f t="shared" si="11"/>
        <v>40.549999999999997</v>
      </c>
      <c r="Z38">
        <f xml:space="preserve"> W38-Y38</f>
        <v>263.90000000000003</v>
      </c>
    </row>
    <row r="39" spans="1:29" x14ac:dyDescent="0.35">
      <c r="K39">
        <f>K37+K38</f>
        <v>1836.42</v>
      </c>
      <c r="M39">
        <f>M37+M38</f>
        <v>405.07</v>
      </c>
      <c r="N39">
        <f>N37+N38</f>
        <v>1431.35</v>
      </c>
      <c r="Q39">
        <f xml:space="preserve"> Q37+Q38</f>
        <v>1013.6599999999999</v>
      </c>
      <c r="S39">
        <f xml:space="preserve"> S37+S38</f>
        <v>104.09</v>
      </c>
      <c r="T39">
        <f xml:space="preserve"> T37+T38</f>
        <v>909.56999999999994</v>
      </c>
      <c r="W39">
        <f>W37+W38</f>
        <v>595.46</v>
      </c>
      <c r="Y39">
        <f xml:space="preserve"> Y37+Y38</f>
        <v>81.61999999999999</v>
      </c>
      <c r="Z39">
        <f>Z37+Z38</f>
        <v>513.84</v>
      </c>
    </row>
    <row r="42" spans="1:29" x14ac:dyDescent="0.35">
      <c r="B42" t="s">
        <v>66</v>
      </c>
      <c r="C42" t="s">
        <v>92</v>
      </c>
      <c r="D42" t="s">
        <v>77</v>
      </c>
      <c r="E42" t="s">
        <v>75</v>
      </c>
      <c r="F42" t="s">
        <v>76</v>
      </c>
      <c r="G42" t="s">
        <v>81</v>
      </c>
      <c r="H42">
        <v>6</v>
      </c>
      <c r="I42">
        <v>36.450000000000003</v>
      </c>
      <c r="J42">
        <v>1055.19</v>
      </c>
      <c r="K42">
        <f t="shared" si="6"/>
        <v>1018.74</v>
      </c>
      <c r="L42">
        <v>266.38</v>
      </c>
      <c r="M42">
        <f xml:space="preserve"> L42-I42</f>
        <v>229.93</v>
      </c>
      <c r="N42">
        <f>K42-M42</f>
        <v>788.81</v>
      </c>
      <c r="O42">
        <v>22.9</v>
      </c>
      <c r="P42">
        <v>528.17999999999995</v>
      </c>
      <c r="Q42">
        <f t="shared" si="7"/>
        <v>505.28</v>
      </c>
      <c r="R42">
        <v>73.739999999999995</v>
      </c>
      <c r="S42">
        <f t="shared" si="8"/>
        <v>50.839999999999996</v>
      </c>
      <c r="T42">
        <f t="shared" si="9"/>
        <v>454.44</v>
      </c>
      <c r="U42">
        <v>36.58</v>
      </c>
      <c r="V42">
        <v>342.14</v>
      </c>
      <c r="W42">
        <f t="shared" si="10"/>
        <v>305.56</v>
      </c>
      <c r="X42">
        <v>72.2</v>
      </c>
      <c r="Y42">
        <f t="shared" si="11"/>
        <v>35.620000000000005</v>
      </c>
      <c r="Z42">
        <f xml:space="preserve"> W42-Y42</f>
        <v>269.94</v>
      </c>
      <c r="AA42">
        <f xml:space="preserve"> K46+Q46+W46</f>
        <v>4284.3600000000006</v>
      </c>
      <c r="AB42">
        <f>M46+S46+Y46</f>
        <v>714.79</v>
      </c>
      <c r="AC42">
        <f>N46+T46+Z46</f>
        <v>3569.57</v>
      </c>
    </row>
    <row r="43" spans="1:29" x14ac:dyDescent="0.35">
      <c r="I43">
        <v>37.17</v>
      </c>
      <c r="J43">
        <v>1112.56</v>
      </c>
      <c r="K43">
        <f t="shared" si="6"/>
        <v>1075.3899999999999</v>
      </c>
      <c r="L43">
        <v>273.27</v>
      </c>
      <c r="M43">
        <f xml:space="preserve"> L43-I43</f>
        <v>236.09999999999997</v>
      </c>
      <c r="N43">
        <f>K43-M43</f>
        <v>839.29</v>
      </c>
      <c r="O43">
        <v>37.1</v>
      </c>
      <c r="P43">
        <v>580.82000000000005</v>
      </c>
      <c r="Q43">
        <f t="shared" si="7"/>
        <v>543.72</v>
      </c>
      <c r="R43">
        <v>95.48</v>
      </c>
      <c r="S43">
        <f t="shared" si="8"/>
        <v>58.38</v>
      </c>
      <c r="T43">
        <f t="shared" si="9"/>
        <v>485.34000000000003</v>
      </c>
      <c r="U43">
        <v>37.08</v>
      </c>
      <c r="V43">
        <v>319.85000000000002</v>
      </c>
      <c r="W43">
        <f t="shared" si="10"/>
        <v>282.77000000000004</v>
      </c>
      <c r="X43">
        <v>71.44</v>
      </c>
      <c r="Y43">
        <f t="shared" si="11"/>
        <v>34.36</v>
      </c>
      <c r="Z43">
        <f t="shared" ref="Z43:Z45" si="15" xml:space="preserve"> W43-Y43</f>
        <v>248.41000000000003</v>
      </c>
    </row>
    <row r="44" spans="1:29" x14ac:dyDescent="0.35">
      <c r="U44">
        <v>37.06</v>
      </c>
      <c r="V44">
        <v>302.74</v>
      </c>
      <c r="W44">
        <f t="shared" si="10"/>
        <v>265.68</v>
      </c>
      <c r="X44">
        <v>69.98</v>
      </c>
      <c r="Y44">
        <f t="shared" si="11"/>
        <v>32.92</v>
      </c>
      <c r="Z44">
        <f t="shared" si="15"/>
        <v>232.76</v>
      </c>
    </row>
    <row r="45" spans="1:29" x14ac:dyDescent="0.35">
      <c r="T45" t="s">
        <v>104</v>
      </c>
      <c r="U45">
        <v>37.08</v>
      </c>
      <c r="V45">
        <v>324.3</v>
      </c>
      <c r="W45">
        <f t="shared" si="10"/>
        <v>287.22000000000003</v>
      </c>
      <c r="X45">
        <v>73.72</v>
      </c>
      <c r="Y45">
        <f t="shared" si="11"/>
        <v>36.64</v>
      </c>
      <c r="Z45">
        <f t="shared" si="15"/>
        <v>250.58000000000004</v>
      </c>
    </row>
    <row r="46" spans="1:29" x14ac:dyDescent="0.35">
      <c r="K46">
        <f>K42+K43</f>
        <v>2094.13</v>
      </c>
      <c r="M46">
        <f>M42+M43</f>
        <v>466.03</v>
      </c>
      <c r="N46">
        <f xml:space="preserve"> N42+N43</f>
        <v>1628.1</v>
      </c>
      <c r="Q46">
        <f>Q42+Q43</f>
        <v>1049</v>
      </c>
      <c r="S46">
        <f>S42+S43</f>
        <v>109.22</v>
      </c>
      <c r="T46">
        <f xml:space="preserve"> T42+T43</f>
        <v>939.78</v>
      </c>
      <c r="W46">
        <f xml:space="preserve"> W42+W43+W44+W45</f>
        <v>1141.23</v>
      </c>
      <c r="Y46">
        <f xml:space="preserve"> Y42+Y43+Y44+Y45</f>
        <v>139.54000000000002</v>
      </c>
      <c r="Z46">
        <f>Z42+Z43+Z44+Z45</f>
        <v>1001.69</v>
      </c>
    </row>
    <row r="49" spans="1:30" x14ac:dyDescent="0.35">
      <c r="B49" t="s">
        <v>67</v>
      </c>
      <c r="C49" t="s">
        <v>93</v>
      </c>
      <c r="D49" t="s">
        <v>74</v>
      </c>
      <c r="E49" t="s">
        <v>73</v>
      </c>
      <c r="F49" t="s">
        <v>73</v>
      </c>
      <c r="G49" t="s">
        <v>81</v>
      </c>
      <c r="H49">
        <v>6</v>
      </c>
      <c r="I49">
        <v>38.44</v>
      </c>
      <c r="J49">
        <v>1798.23</v>
      </c>
      <c r="K49">
        <f t="shared" si="6"/>
        <v>1759.79</v>
      </c>
      <c r="L49">
        <v>430.63</v>
      </c>
      <c r="M49">
        <f xml:space="preserve"> L49-I49</f>
        <v>392.19</v>
      </c>
      <c r="N49">
        <f>K49-M49</f>
        <v>1367.6</v>
      </c>
      <c r="O49">
        <v>36.36</v>
      </c>
      <c r="P49">
        <v>1050.8599999999999</v>
      </c>
      <c r="Q49">
        <f t="shared" si="7"/>
        <v>1014.4999999999999</v>
      </c>
      <c r="R49">
        <v>135.57</v>
      </c>
      <c r="S49">
        <f t="shared" si="8"/>
        <v>99.21</v>
      </c>
      <c r="T49">
        <f t="shared" si="9"/>
        <v>915.28999999999985</v>
      </c>
      <c r="U49">
        <v>36.630000000000003</v>
      </c>
      <c r="V49">
        <v>349.73</v>
      </c>
      <c r="W49">
        <f t="shared" si="10"/>
        <v>313.10000000000002</v>
      </c>
      <c r="X49">
        <v>76.2</v>
      </c>
      <c r="Y49">
        <f t="shared" si="11"/>
        <v>39.57</v>
      </c>
      <c r="Z49">
        <f>W49-Y49</f>
        <v>273.53000000000003</v>
      </c>
      <c r="AA49">
        <f xml:space="preserve"> K49+Q49+W52</f>
        <v>3758.85</v>
      </c>
      <c r="AB49">
        <f xml:space="preserve"> M49+S49+Y52</f>
        <v>612.04999999999995</v>
      </c>
      <c r="AC49">
        <f xml:space="preserve"> N49+T49+Z52</f>
        <v>3146.8</v>
      </c>
    </row>
    <row r="50" spans="1:30" x14ac:dyDescent="0.35">
      <c r="U50">
        <v>37.4</v>
      </c>
      <c r="V50">
        <v>392.8</v>
      </c>
      <c r="W50">
        <f t="shared" si="10"/>
        <v>355.40000000000003</v>
      </c>
      <c r="X50">
        <v>82.49</v>
      </c>
      <c r="Y50">
        <f t="shared" si="11"/>
        <v>45.089999999999996</v>
      </c>
      <c r="Z50">
        <f t="shared" ref="Z50:Z51" si="16">W50-Y50</f>
        <v>310.31000000000006</v>
      </c>
    </row>
    <row r="51" spans="1:30" x14ac:dyDescent="0.35">
      <c r="U51">
        <v>37.42</v>
      </c>
      <c r="V51">
        <v>353.48</v>
      </c>
      <c r="W51">
        <f t="shared" si="10"/>
        <v>316.06</v>
      </c>
      <c r="X51">
        <v>73.41</v>
      </c>
      <c r="Y51">
        <f t="shared" si="11"/>
        <v>35.989999999999995</v>
      </c>
      <c r="Z51">
        <f t="shared" si="16"/>
        <v>280.07</v>
      </c>
    </row>
    <row r="52" spans="1:30" x14ac:dyDescent="0.35">
      <c r="W52">
        <f>W49+W50+W51</f>
        <v>984.56</v>
      </c>
      <c r="Y52">
        <f>Y49+Y50+Y51</f>
        <v>120.64999999999999</v>
      </c>
      <c r="Z52">
        <f xml:space="preserve"> Z49+Z50+Z51</f>
        <v>863.91000000000008</v>
      </c>
    </row>
    <row r="54" spans="1:30" x14ac:dyDescent="0.35">
      <c r="B54" t="s">
        <v>68</v>
      </c>
      <c r="C54" t="s">
        <v>94</v>
      </c>
      <c r="D54" t="s">
        <v>72</v>
      </c>
      <c r="E54" t="s">
        <v>44</v>
      </c>
      <c r="F54" t="s">
        <v>71</v>
      </c>
      <c r="G54" t="s">
        <v>81</v>
      </c>
      <c r="H54">
        <v>6</v>
      </c>
      <c r="I54">
        <v>37.39</v>
      </c>
      <c r="J54">
        <v>1713.77</v>
      </c>
      <c r="K54">
        <f t="shared" si="6"/>
        <v>1676.3799999999999</v>
      </c>
      <c r="L54">
        <v>507.57</v>
      </c>
      <c r="M54">
        <f xml:space="preserve"> L54-I54</f>
        <v>470.18</v>
      </c>
      <c r="N54">
        <f>K54-M54</f>
        <v>1206.1999999999998</v>
      </c>
      <c r="O54">
        <v>36.39</v>
      </c>
      <c r="P54">
        <v>734.5</v>
      </c>
      <c r="Q54">
        <f t="shared" si="7"/>
        <v>698.11</v>
      </c>
      <c r="R54">
        <v>109.19</v>
      </c>
      <c r="S54">
        <f t="shared" si="8"/>
        <v>72.8</v>
      </c>
      <c r="T54">
        <f t="shared" si="9"/>
        <v>625.31000000000006</v>
      </c>
      <c r="U54">
        <v>36.380000000000003</v>
      </c>
      <c r="V54">
        <v>361.66</v>
      </c>
      <c r="W54">
        <f t="shared" si="10"/>
        <v>325.28000000000003</v>
      </c>
      <c r="X54">
        <v>80.349999999999994</v>
      </c>
      <c r="Y54">
        <f t="shared" si="11"/>
        <v>43.969999999999992</v>
      </c>
      <c r="Z54">
        <f xml:space="preserve"> W54-Y54</f>
        <v>281.31000000000006</v>
      </c>
      <c r="AA54">
        <f xml:space="preserve"> K54+ Q54+ W56</f>
        <v>3108.21</v>
      </c>
      <c r="AB54">
        <f xml:space="preserve"> M54+S54+Y56</f>
        <v>640.33000000000004</v>
      </c>
      <c r="AC54">
        <f xml:space="preserve"> N54+T54+Z56</f>
        <v>2467.88</v>
      </c>
      <c r="AD54" t="s">
        <v>104</v>
      </c>
    </row>
    <row r="55" spans="1:30" x14ac:dyDescent="0.35">
      <c r="U55">
        <v>36.4</v>
      </c>
      <c r="V55">
        <v>444.84</v>
      </c>
      <c r="W55">
        <f t="shared" si="10"/>
        <v>408.44</v>
      </c>
      <c r="X55">
        <v>89.78</v>
      </c>
      <c r="Y55">
        <f t="shared" si="11"/>
        <v>53.38</v>
      </c>
      <c r="Z55">
        <f xml:space="preserve"> W55-Y55</f>
        <v>355.06</v>
      </c>
    </row>
    <row r="56" spans="1:30" x14ac:dyDescent="0.35">
      <c r="W56">
        <f>W54+W55</f>
        <v>733.72</v>
      </c>
      <c r="Y56">
        <f xml:space="preserve"> Y54+Y55</f>
        <v>97.35</v>
      </c>
      <c r="Z56">
        <f>Z54+Z55</f>
        <v>636.37000000000012</v>
      </c>
    </row>
    <row r="60" spans="1:30" x14ac:dyDescent="0.35">
      <c r="A60" s="1">
        <v>45510</v>
      </c>
      <c r="B60" t="s">
        <v>5</v>
      </c>
      <c r="C60" t="s">
        <v>83</v>
      </c>
      <c r="D60" t="s">
        <v>85</v>
      </c>
      <c r="E60" t="s">
        <v>86</v>
      </c>
      <c r="F60" t="s">
        <v>88</v>
      </c>
      <c r="G60" t="s">
        <v>82</v>
      </c>
      <c r="H60">
        <v>4</v>
      </c>
      <c r="I60">
        <v>36.6</v>
      </c>
      <c r="J60">
        <v>1399.16</v>
      </c>
      <c r="K60">
        <f t="shared" si="6"/>
        <v>1362.5600000000002</v>
      </c>
      <c r="L60">
        <v>327.8</v>
      </c>
      <c r="M60">
        <f xml:space="preserve"> L60-I60</f>
        <v>291.2</v>
      </c>
      <c r="N60">
        <f>K60-M60</f>
        <v>1071.3600000000001</v>
      </c>
      <c r="O60">
        <v>36.479999999999997</v>
      </c>
      <c r="P60">
        <v>1018.32</v>
      </c>
      <c r="Q60">
        <f t="shared" si="7"/>
        <v>981.84</v>
      </c>
      <c r="R60">
        <v>138.91</v>
      </c>
      <c r="S60">
        <f t="shared" si="8"/>
        <v>102.43</v>
      </c>
      <c r="T60">
        <f t="shared" si="9"/>
        <v>879.41000000000008</v>
      </c>
      <c r="U60">
        <v>37.340000000000003</v>
      </c>
      <c r="V60">
        <v>472.34</v>
      </c>
      <c r="W60">
        <f t="shared" si="10"/>
        <v>435</v>
      </c>
      <c r="X60">
        <v>90.12</v>
      </c>
      <c r="Y60">
        <f t="shared" si="11"/>
        <v>52.78</v>
      </c>
      <c r="Z60">
        <f xml:space="preserve"> W60-Y60</f>
        <v>382.22</v>
      </c>
      <c r="AA60">
        <f xml:space="preserve"> K62+Q60+W62</f>
        <v>4448.9800000000005</v>
      </c>
      <c r="AB60">
        <f>M62+S60+Y62</f>
        <v>772.49</v>
      </c>
      <c r="AC60">
        <f xml:space="preserve"> N62+T60+Z62</f>
        <v>3676.4900000000002</v>
      </c>
    </row>
    <row r="61" spans="1:30" x14ac:dyDescent="0.35">
      <c r="I61">
        <v>37.07</v>
      </c>
      <c r="J61">
        <v>1278.28</v>
      </c>
      <c r="K61">
        <f t="shared" si="6"/>
        <v>1241.21</v>
      </c>
      <c r="L61">
        <v>312.45999999999998</v>
      </c>
      <c r="M61">
        <f xml:space="preserve"> L61-I61</f>
        <v>275.39</v>
      </c>
      <c r="N61">
        <f>K61-M61</f>
        <v>965.82</v>
      </c>
      <c r="U61">
        <v>36.43</v>
      </c>
      <c r="V61">
        <v>464.8</v>
      </c>
      <c r="W61">
        <f t="shared" si="10"/>
        <v>428.37</v>
      </c>
      <c r="X61">
        <v>87.12</v>
      </c>
      <c r="Y61">
        <f t="shared" si="11"/>
        <v>50.690000000000005</v>
      </c>
      <c r="Z61">
        <f t="shared" ref="Z61:Z73" si="17" xml:space="preserve"> W61-Y61</f>
        <v>377.68</v>
      </c>
    </row>
    <row r="62" spans="1:30" x14ac:dyDescent="0.35">
      <c r="K62">
        <f xml:space="preserve"> K60+K61</f>
        <v>2603.7700000000004</v>
      </c>
      <c r="M62">
        <f xml:space="preserve"> M60+M61</f>
        <v>566.58999999999992</v>
      </c>
      <c r="N62">
        <f xml:space="preserve"> N60+N61</f>
        <v>2037.1800000000003</v>
      </c>
      <c r="W62">
        <f xml:space="preserve"> W60+W61</f>
        <v>863.37</v>
      </c>
      <c r="Y62">
        <f>Y60+Y61</f>
        <v>103.47</v>
      </c>
      <c r="Z62">
        <f t="shared" si="17"/>
        <v>759.9</v>
      </c>
    </row>
    <row r="64" spans="1:30" x14ac:dyDescent="0.35">
      <c r="B64" t="s">
        <v>78</v>
      </c>
      <c r="C64" t="s">
        <v>84</v>
      </c>
      <c r="D64">
        <v>62</v>
      </c>
      <c r="E64" t="s">
        <v>87</v>
      </c>
      <c r="F64" t="s">
        <v>89</v>
      </c>
      <c r="G64" t="s">
        <v>81</v>
      </c>
      <c r="H64">
        <v>4</v>
      </c>
      <c r="I64">
        <v>36.54</v>
      </c>
      <c r="J64">
        <v>2341.44</v>
      </c>
      <c r="K64">
        <f t="shared" si="6"/>
        <v>2304.9</v>
      </c>
      <c r="L64">
        <v>528.9</v>
      </c>
      <c r="M64">
        <f xml:space="preserve"> L64-I64</f>
        <v>492.35999999999996</v>
      </c>
      <c r="N64">
        <f>K64-M64</f>
        <v>1812.5400000000002</v>
      </c>
      <c r="O64">
        <v>36.28</v>
      </c>
      <c r="P64">
        <v>1017.36</v>
      </c>
      <c r="Q64">
        <f t="shared" si="7"/>
        <v>981.08</v>
      </c>
      <c r="R64">
        <v>134.96</v>
      </c>
      <c r="S64">
        <f t="shared" si="8"/>
        <v>98.68</v>
      </c>
      <c r="T64">
        <f t="shared" si="9"/>
        <v>882.40000000000009</v>
      </c>
      <c r="U64">
        <v>36.76</v>
      </c>
      <c r="V64">
        <v>517.45000000000005</v>
      </c>
      <c r="W64">
        <f t="shared" si="10"/>
        <v>480.69000000000005</v>
      </c>
      <c r="X64">
        <v>90.2</v>
      </c>
      <c r="Y64">
        <f t="shared" si="11"/>
        <v>53.440000000000005</v>
      </c>
      <c r="Z64">
        <f t="shared" si="17"/>
        <v>427.25000000000006</v>
      </c>
      <c r="AA64">
        <f xml:space="preserve"> K64+Q64+W66</f>
        <v>4153.22</v>
      </c>
      <c r="AB64">
        <f xml:space="preserve"> M64+S64+Y66</f>
        <v>690.29</v>
      </c>
      <c r="AC64">
        <f xml:space="preserve"> N64+T64+Z66</f>
        <v>3462.9300000000003</v>
      </c>
    </row>
    <row r="65" spans="1:29" x14ac:dyDescent="0.35">
      <c r="U65">
        <v>36.840000000000003</v>
      </c>
      <c r="V65">
        <v>423.39</v>
      </c>
      <c r="W65">
        <f t="shared" si="10"/>
        <v>386.54999999999995</v>
      </c>
      <c r="X65">
        <v>82.65</v>
      </c>
      <c r="Y65">
        <f t="shared" si="11"/>
        <v>45.81</v>
      </c>
      <c r="Z65">
        <f t="shared" si="17"/>
        <v>340.73999999999995</v>
      </c>
    </row>
    <row r="66" spans="1:29" x14ac:dyDescent="0.35">
      <c r="W66">
        <f xml:space="preserve"> W64+W65</f>
        <v>867.24</v>
      </c>
      <c r="Y66">
        <f>Y64+Y65</f>
        <v>99.25</v>
      </c>
      <c r="Z66">
        <f t="shared" si="17"/>
        <v>767.99</v>
      </c>
    </row>
    <row r="68" spans="1:29" x14ac:dyDescent="0.35">
      <c r="B68" t="s">
        <v>79</v>
      </c>
      <c r="C68" t="s">
        <v>96</v>
      </c>
      <c r="D68">
        <v>64</v>
      </c>
      <c r="E68" t="s">
        <v>12</v>
      </c>
      <c r="F68" t="s">
        <v>90</v>
      </c>
      <c r="G68" t="s">
        <v>82</v>
      </c>
      <c r="H68">
        <v>4</v>
      </c>
      <c r="I68">
        <v>37.35</v>
      </c>
      <c r="J68">
        <v>2074.96</v>
      </c>
      <c r="K68">
        <f t="shared" si="6"/>
        <v>2037.6100000000001</v>
      </c>
      <c r="L68">
        <v>439.91</v>
      </c>
      <c r="M68">
        <f xml:space="preserve"> L68-I68</f>
        <v>402.56</v>
      </c>
      <c r="N68">
        <f>K68-M68</f>
        <v>1635.0500000000002</v>
      </c>
      <c r="O68">
        <v>36.58</v>
      </c>
      <c r="P68">
        <v>896.17</v>
      </c>
      <c r="Q68">
        <f t="shared" si="7"/>
        <v>859.58999999999992</v>
      </c>
      <c r="R68">
        <v>117.69</v>
      </c>
      <c r="S68">
        <f t="shared" si="8"/>
        <v>81.11</v>
      </c>
      <c r="T68">
        <f t="shared" si="9"/>
        <v>778.4799999999999</v>
      </c>
      <c r="U68">
        <v>36.36</v>
      </c>
      <c r="V68">
        <v>472.89</v>
      </c>
      <c r="W68">
        <f t="shared" si="10"/>
        <v>436.53</v>
      </c>
      <c r="X68">
        <v>85.75</v>
      </c>
      <c r="Y68">
        <f t="shared" si="11"/>
        <v>49.39</v>
      </c>
      <c r="Z68">
        <f t="shared" si="17"/>
        <v>387.14</v>
      </c>
      <c r="AA68">
        <f xml:space="preserve"> K68+Q68+W70</f>
        <v>3707</v>
      </c>
      <c r="AB68">
        <f xml:space="preserve"> M68+S68+Y70</f>
        <v>573.29</v>
      </c>
      <c r="AC68">
        <f xml:space="preserve"> N68+T68+Z70</f>
        <v>3133.71</v>
      </c>
    </row>
    <row r="69" spans="1:29" x14ac:dyDescent="0.35">
      <c r="U69">
        <v>36.39</v>
      </c>
      <c r="V69">
        <v>409.66</v>
      </c>
      <c r="W69">
        <f t="shared" si="10"/>
        <v>373.27000000000004</v>
      </c>
      <c r="X69">
        <v>76.62</v>
      </c>
      <c r="Y69">
        <f t="shared" si="11"/>
        <v>40.230000000000004</v>
      </c>
      <c r="Z69">
        <f t="shared" si="17"/>
        <v>333.04</v>
      </c>
    </row>
    <row r="70" spans="1:29" x14ac:dyDescent="0.35">
      <c r="W70">
        <f>W68+W69</f>
        <v>809.8</v>
      </c>
      <c r="Y70">
        <f xml:space="preserve"> Y68+Y69</f>
        <v>89.62</v>
      </c>
      <c r="Z70">
        <f t="shared" si="17"/>
        <v>720.18</v>
      </c>
    </row>
    <row r="72" spans="1:29" x14ac:dyDescent="0.35">
      <c r="B72" t="s">
        <v>80</v>
      </c>
      <c r="C72" t="s">
        <v>97</v>
      </c>
      <c r="D72">
        <v>65</v>
      </c>
      <c r="E72" t="s">
        <v>91</v>
      </c>
      <c r="F72" t="s">
        <v>90</v>
      </c>
      <c r="G72" t="s">
        <v>81</v>
      </c>
      <c r="H72">
        <v>4</v>
      </c>
      <c r="I72">
        <v>37.43</v>
      </c>
      <c r="J72">
        <v>1363.54</v>
      </c>
      <c r="K72">
        <f t="shared" si="6"/>
        <v>1326.11</v>
      </c>
      <c r="L72">
        <v>329.35</v>
      </c>
      <c r="M72">
        <f xml:space="preserve"> L72-I72</f>
        <v>291.92</v>
      </c>
      <c r="N72">
        <f>K72-M72</f>
        <v>1034.1899999999998</v>
      </c>
      <c r="O72">
        <v>36.979999999999997</v>
      </c>
      <c r="P72">
        <v>1178.29</v>
      </c>
      <c r="Q72">
        <f t="shared" si="7"/>
        <v>1141.31</v>
      </c>
      <c r="R72">
        <v>156.65</v>
      </c>
      <c r="S72">
        <f t="shared" si="8"/>
        <v>119.67000000000002</v>
      </c>
      <c r="T72">
        <f t="shared" si="9"/>
        <v>1021.6399999999999</v>
      </c>
      <c r="U72">
        <v>36.700000000000003</v>
      </c>
      <c r="V72">
        <v>578.17999999999995</v>
      </c>
      <c r="W72">
        <f t="shared" si="10"/>
        <v>541.4799999999999</v>
      </c>
      <c r="X72">
        <v>122.86</v>
      </c>
      <c r="Y72">
        <f t="shared" si="11"/>
        <v>86.16</v>
      </c>
      <c r="Z72">
        <f t="shared" si="17"/>
        <v>455.31999999999994</v>
      </c>
      <c r="AA72">
        <f xml:space="preserve"> K74+Q72+W74</f>
        <v>5060.9399999999996</v>
      </c>
      <c r="AB72">
        <f xml:space="preserve"> M74+S72+Y74</f>
        <v>902.98</v>
      </c>
      <c r="AC72">
        <f xml:space="preserve"> N74+T72+Z74</f>
        <v>4157.9599999999991</v>
      </c>
    </row>
    <row r="73" spans="1:29" x14ac:dyDescent="0.35">
      <c r="I73">
        <v>36.979999999999997</v>
      </c>
      <c r="J73">
        <v>1580.52</v>
      </c>
      <c r="K73">
        <f t="shared" si="6"/>
        <v>1543.54</v>
      </c>
      <c r="L73">
        <v>376.56</v>
      </c>
      <c r="M73">
        <f xml:space="preserve"> L73-I73</f>
        <v>339.58</v>
      </c>
      <c r="N73">
        <f>K73-M73</f>
        <v>1203.96</v>
      </c>
      <c r="U73">
        <v>36.619999999999997</v>
      </c>
      <c r="V73">
        <v>545.12</v>
      </c>
      <c r="W73">
        <f t="shared" si="10"/>
        <v>508.5</v>
      </c>
      <c r="X73">
        <v>102.27</v>
      </c>
      <c r="Y73">
        <f t="shared" si="11"/>
        <v>65.650000000000006</v>
      </c>
      <c r="Z73">
        <f t="shared" si="17"/>
        <v>442.85</v>
      </c>
    </row>
    <row r="74" spans="1:29" x14ac:dyDescent="0.35">
      <c r="K74">
        <f xml:space="preserve"> K72+K73</f>
        <v>2869.6499999999996</v>
      </c>
      <c r="M74">
        <f>M72+M73</f>
        <v>631.5</v>
      </c>
      <c r="N74">
        <f>N72+N73</f>
        <v>2238.1499999999996</v>
      </c>
      <c r="W74">
        <f>W72+W73</f>
        <v>1049.98</v>
      </c>
      <c r="Y74">
        <f xml:space="preserve"> Y72+Y73</f>
        <v>151.81</v>
      </c>
      <c r="Z74">
        <f>Z72+Z73</f>
        <v>898.17</v>
      </c>
    </row>
    <row r="79" spans="1:29" x14ac:dyDescent="0.35">
      <c r="A79" s="1">
        <v>45532</v>
      </c>
      <c r="B79" t="s">
        <v>5</v>
      </c>
      <c r="C79" t="s">
        <v>105</v>
      </c>
      <c r="D79">
        <v>68</v>
      </c>
      <c r="E79" t="s">
        <v>106</v>
      </c>
      <c r="F79" t="s">
        <v>107</v>
      </c>
      <c r="G79" t="s">
        <v>108</v>
      </c>
      <c r="H79">
        <v>4</v>
      </c>
      <c r="I79">
        <v>37.36</v>
      </c>
      <c r="J79">
        <v>1742.6</v>
      </c>
      <c r="K79">
        <f xml:space="preserve"> J79-I79</f>
        <v>1705.24</v>
      </c>
      <c r="L79">
        <v>393.31</v>
      </c>
      <c r="M79">
        <f xml:space="preserve"> L79-I79</f>
        <v>355.95</v>
      </c>
      <c r="N79">
        <f xml:space="preserve"> K79-M79</f>
        <v>1349.29</v>
      </c>
      <c r="O79">
        <v>36.9</v>
      </c>
      <c r="P79">
        <v>852.76</v>
      </c>
      <c r="Q79">
        <f>P79-O79</f>
        <v>815.86</v>
      </c>
      <c r="R79">
        <v>136.94</v>
      </c>
      <c r="S79">
        <f xml:space="preserve"> R79-O79</f>
        <v>100.03999999999999</v>
      </c>
      <c r="T79">
        <f xml:space="preserve"> Q79-S79</f>
        <v>715.82</v>
      </c>
      <c r="U79">
        <v>36.51</v>
      </c>
      <c r="V79">
        <v>422.87</v>
      </c>
      <c r="W79">
        <f xml:space="preserve"> V79-U79</f>
        <v>386.36</v>
      </c>
      <c r="X79">
        <v>88.44</v>
      </c>
      <c r="Y79">
        <f xml:space="preserve"> X79-U79</f>
        <v>51.93</v>
      </c>
      <c r="Z79">
        <f xml:space="preserve"> W79-Y79</f>
        <v>334.43</v>
      </c>
      <c r="AA79">
        <f xml:space="preserve"> K81+Q81+W82</f>
        <v>6129.43</v>
      </c>
      <c r="AB79">
        <f xml:space="preserve"> M81+S81+Y82</f>
        <v>1029.8699999999999</v>
      </c>
      <c r="AC79">
        <f xml:space="preserve"> N81+T81+Z82</f>
        <v>5099.5599999999995</v>
      </c>
    </row>
    <row r="80" spans="1:29" x14ac:dyDescent="0.35">
      <c r="I80">
        <v>37.07</v>
      </c>
      <c r="J80">
        <v>1888.32</v>
      </c>
      <c r="K80">
        <f>J80-I80</f>
        <v>1851.25</v>
      </c>
      <c r="L80">
        <v>393.43</v>
      </c>
      <c r="M80">
        <f t="shared" ref="M80:M93" si="18" xml:space="preserve"> L80-I80</f>
        <v>356.36</v>
      </c>
      <c r="N80">
        <f t="shared" ref="N80:N94" si="19" xml:space="preserve"> K80-M80</f>
        <v>1494.8899999999999</v>
      </c>
      <c r="O80">
        <v>36.659999999999997</v>
      </c>
      <c r="P80">
        <v>655.72</v>
      </c>
      <c r="Q80">
        <f>P80-O80</f>
        <v>619.06000000000006</v>
      </c>
      <c r="R80">
        <v>110.9</v>
      </c>
      <c r="S80">
        <f t="shared" ref="S80:S93" si="20" xml:space="preserve"> R80-O80</f>
        <v>74.240000000000009</v>
      </c>
      <c r="T80">
        <f t="shared" ref="T80:T94" si="21" xml:space="preserve"> Q80-S80</f>
        <v>544.82000000000005</v>
      </c>
      <c r="U80">
        <v>36.67</v>
      </c>
      <c r="V80">
        <v>363.03</v>
      </c>
      <c r="W80">
        <f>V80-U80</f>
        <v>326.35999999999996</v>
      </c>
      <c r="X80">
        <v>79.989999999999995</v>
      </c>
      <c r="Y80">
        <f t="shared" ref="Y80:Y94" si="22" xml:space="preserve"> X80-U80</f>
        <v>43.319999999999993</v>
      </c>
      <c r="Z80">
        <f t="shared" ref="Z80:Z95" si="23" xml:space="preserve"> W80-Y80</f>
        <v>283.03999999999996</v>
      </c>
    </row>
    <row r="81" spans="2:29" x14ac:dyDescent="0.35">
      <c r="K81">
        <f>K79+K80</f>
        <v>3556.49</v>
      </c>
      <c r="M81">
        <f xml:space="preserve"> M79+M80</f>
        <v>712.31</v>
      </c>
      <c r="N81">
        <f t="shared" si="19"/>
        <v>2844.18</v>
      </c>
      <c r="Q81">
        <f>Q79+Q80</f>
        <v>1434.92</v>
      </c>
      <c r="S81">
        <f xml:space="preserve"> S79+S80</f>
        <v>174.28</v>
      </c>
      <c r="T81">
        <f t="shared" si="21"/>
        <v>1260.6400000000001</v>
      </c>
      <c r="U81">
        <v>36.880000000000003</v>
      </c>
      <c r="V81">
        <v>462.18</v>
      </c>
      <c r="W81">
        <f>V81-U81</f>
        <v>425.3</v>
      </c>
      <c r="X81">
        <v>84.91</v>
      </c>
      <c r="Y81">
        <f t="shared" si="22"/>
        <v>48.029999999999994</v>
      </c>
      <c r="Z81">
        <f t="shared" si="23"/>
        <v>377.27000000000004</v>
      </c>
    </row>
    <row r="82" spans="2:29" x14ac:dyDescent="0.35">
      <c r="W82">
        <f>W79+W80+W81</f>
        <v>1138.02</v>
      </c>
      <c r="Y82">
        <f xml:space="preserve"> Y79+Y80+Y81</f>
        <v>143.28</v>
      </c>
      <c r="Z82">
        <f t="shared" si="23"/>
        <v>994.74</v>
      </c>
    </row>
    <row r="84" spans="2:29" x14ac:dyDescent="0.35">
      <c r="B84" t="s">
        <v>78</v>
      </c>
      <c r="C84" t="s">
        <v>111</v>
      </c>
      <c r="D84">
        <v>60</v>
      </c>
      <c r="E84" t="s">
        <v>112</v>
      </c>
      <c r="F84" t="s">
        <v>113</v>
      </c>
      <c r="G84" t="s">
        <v>108</v>
      </c>
      <c r="H84">
        <v>4</v>
      </c>
      <c r="I84">
        <v>36.39</v>
      </c>
      <c r="J84">
        <v>1350.26</v>
      </c>
      <c r="K84">
        <f xml:space="preserve"> J84-I84</f>
        <v>1313.87</v>
      </c>
      <c r="L84">
        <v>298.88</v>
      </c>
      <c r="M84">
        <f t="shared" si="18"/>
        <v>262.49</v>
      </c>
      <c r="N84">
        <f t="shared" si="19"/>
        <v>1051.3799999999999</v>
      </c>
      <c r="O84">
        <v>36.51</v>
      </c>
      <c r="P84">
        <v>951.11</v>
      </c>
      <c r="Q84">
        <f xml:space="preserve"> P84-O84</f>
        <v>914.6</v>
      </c>
      <c r="R84">
        <v>137.44999999999999</v>
      </c>
      <c r="S84">
        <f t="shared" si="20"/>
        <v>100.94</v>
      </c>
      <c r="T84">
        <f t="shared" si="21"/>
        <v>813.66000000000008</v>
      </c>
      <c r="U84">
        <v>36.590000000000003</v>
      </c>
      <c r="V84">
        <v>418.05</v>
      </c>
      <c r="W84">
        <f xml:space="preserve"> V84-U84</f>
        <v>381.46000000000004</v>
      </c>
      <c r="X84">
        <v>83.81</v>
      </c>
      <c r="Y84">
        <f t="shared" si="22"/>
        <v>47.22</v>
      </c>
      <c r="Z84">
        <f t="shared" si="23"/>
        <v>334.24</v>
      </c>
      <c r="AA84">
        <f xml:space="preserve"> K86+Q84+W86</f>
        <v>4263.08</v>
      </c>
      <c r="AB84">
        <f xml:space="preserve"> M86+S84+Y86</f>
        <v>711.6099999999999</v>
      </c>
      <c r="AC84">
        <f xml:space="preserve"> N86+T84+Z86</f>
        <v>3551.4699999999993</v>
      </c>
    </row>
    <row r="85" spans="2:29" x14ac:dyDescent="0.35">
      <c r="I85">
        <v>36.86</v>
      </c>
      <c r="J85">
        <v>1372.4</v>
      </c>
      <c r="K85">
        <f>J85-I85</f>
        <v>1335.5400000000002</v>
      </c>
      <c r="L85">
        <v>297.70999999999998</v>
      </c>
      <c r="M85">
        <f t="shared" si="18"/>
        <v>260.84999999999997</v>
      </c>
      <c r="N85">
        <f t="shared" si="19"/>
        <v>1074.6900000000003</v>
      </c>
      <c r="U85">
        <v>36.6</v>
      </c>
      <c r="V85">
        <v>354.21</v>
      </c>
      <c r="W85">
        <f>V85-U85</f>
        <v>317.60999999999996</v>
      </c>
      <c r="X85">
        <v>76.709999999999994</v>
      </c>
      <c r="Y85">
        <f t="shared" si="22"/>
        <v>40.109999999999992</v>
      </c>
      <c r="Z85">
        <f t="shared" si="23"/>
        <v>277.49999999999994</v>
      </c>
    </row>
    <row r="86" spans="2:29" x14ac:dyDescent="0.35">
      <c r="K86">
        <f>K84+K85</f>
        <v>2649.41</v>
      </c>
      <c r="M86">
        <f xml:space="preserve"> M84+M85</f>
        <v>523.33999999999992</v>
      </c>
      <c r="N86">
        <f t="shared" si="19"/>
        <v>2126.0699999999997</v>
      </c>
      <c r="W86">
        <f xml:space="preserve"> W84+W85</f>
        <v>699.06999999999994</v>
      </c>
      <c r="Y86">
        <f>Y84+Y85</f>
        <v>87.329999999999984</v>
      </c>
      <c r="Z86">
        <f t="shared" si="23"/>
        <v>611.74</v>
      </c>
    </row>
    <row r="88" spans="2:29" x14ac:dyDescent="0.35">
      <c r="B88" t="s">
        <v>79</v>
      </c>
      <c r="C88" t="s">
        <v>117</v>
      </c>
      <c r="D88">
        <v>69</v>
      </c>
      <c r="E88" t="s">
        <v>114</v>
      </c>
      <c r="F88" t="s">
        <v>116</v>
      </c>
      <c r="G88" t="s">
        <v>108</v>
      </c>
      <c r="H88">
        <v>4</v>
      </c>
      <c r="I88">
        <v>36.28</v>
      </c>
      <c r="J88">
        <v>1174.3699999999999</v>
      </c>
      <c r="K88">
        <f>J88-I88</f>
        <v>1138.0899999999999</v>
      </c>
      <c r="L88">
        <v>278.19</v>
      </c>
      <c r="M88">
        <f t="shared" si="18"/>
        <v>241.91</v>
      </c>
      <c r="N88">
        <f t="shared" si="19"/>
        <v>896.18</v>
      </c>
      <c r="O88">
        <v>36.81</v>
      </c>
      <c r="P88">
        <v>591.54999999999995</v>
      </c>
      <c r="Q88">
        <f xml:space="preserve"> P88-O88</f>
        <v>554.74</v>
      </c>
      <c r="R88">
        <v>100.47</v>
      </c>
      <c r="S88">
        <f t="shared" si="20"/>
        <v>63.66</v>
      </c>
      <c r="T88">
        <f t="shared" si="21"/>
        <v>491.08000000000004</v>
      </c>
      <c r="U88">
        <v>36.56</v>
      </c>
      <c r="V88">
        <v>408.6</v>
      </c>
      <c r="W88">
        <f xml:space="preserve"> V88-U88</f>
        <v>372.04</v>
      </c>
      <c r="X88">
        <v>85.95</v>
      </c>
      <c r="Y88">
        <f t="shared" si="22"/>
        <v>49.39</v>
      </c>
      <c r="Z88">
        <f t="shared" si="23"/>
        <v>322.65000000000003</v>
      </c>
      <c r="AA88">
        <f xml:space="preserve"> K90+Q90+W90</f>
        <v>4338.49</v>
      </c>
      <c r="AB88">
        <f xml:space="preserve"> M90+S90+Y90</f>
        <v>733.0100000000001</v>
      </c>
      <c r="AC88">
        <f xml:space="preserve"> N90+T90+Z90</f>
        <v>3605.48</v>
      </c>
    </row>
    <row r="89" spans="2:29" x14ac:dyDescent="0.35">
      <c r="I89">
        <v>36.9</v>
      </c>
      <c r="J89">
        <v>1316.44</v>
      </c>
      <c r="K89">
        <f>J89-I89</f>
        <v>1279.54</v>
      </c>
      <c r="L89">
        <v>297.04000000000002</v>
      </c>
      <c r="M89">
        <f t="shared" si="18"/>
        <v>260.14000000000004</v>
      </c>
      <c r="N89">
        <f t="shared" si="19"/>
        <v>1019.3999999999999</v>
      </c>
      <c r="O89">
        <v>36.72</v>
      </c>
      <c r="P89">
        <v>680.14</v>
      </c>
      <c r="Q89">
        <f xml:space="preserve"> P89-O89</f>
        <v>643.41999999999996</v>
      </c>
      <c r="R89">
        <v>112.55</v>
      </c>
      <c r="S89">
        <f t="shared" si="20"/>
        <v>75.83</v>
      </c>
      <c r="T89">
        <f t="shared" si="21"/>
        <v>567.58999999999992</v>
      </c>
      <c r="U89">
        <v>36.380000000000003</v>
      </c>
      <c r="V89">
        <v>387.04</v>
      </c>
      <c r="W89">
        <f xml:space="preserve"> V89-U89</f>
        <v>350.66</v>
      </c>
      <c r="X89">
        <v>78.459999999999994</v>
      </c>
      <c r="Y89">
        <f t="shared" si="22"/>
        <v>42.079999999999991</v>
      </c>
      <c r="Z89">
        <f t="shared" si="23"/>
        <v>308.58000000000004</v>
      </c>
    </row>
    <row r="90" spans="2:29" x14ac:dyDescent="0.35">
      <c r="K90">
        <f xml:space="preserve"> K88+K89</f>
        <v>2417.63</v>
      </c>
      <c r="M90">
        <f xml:space="preserve"> M88+M89</f>
        <v>502.05000000000007</v>
      </c>
      <c r="N90">
        <f t="shared" si="19"/>
        <v>1915.58</v>
      </c>
      <c r="Q90">
        <f xml:space="preserve"> Q88+Q89</f>
        <v>1198.1599999999999</v>
      </c>
      <c r="S90">
        <f xml:space="preserve"> S88+S89</f>
        <v>139.49</v>
      </c>
      <c r="T90">
        <f t="shared" si="21"/>
        <v>1058.6699999999998</v>
      </c>
      <c r="W90">
        <f xml:space="preserve"> W88+W89</f>
        <v>722.7</v>
      </c>
      <c r="Y90">
        <f>Y88+Y89</f>
        <v>91.47</v>
      </c>
      <c r="Z90">
        <f t="shared" si="23"/>
        <v>631.23</v>
      </c>
    </row>
    <row r="92" spans="2:29" x14ac:dyDescent="0.35">
      <c r="B92" t="s">
        <v>80</v>
      </c>
      <c r="C92" t="s">
        <v>118</v>
      </c>
      <c r="D92">
        <v>68</v>
      </c>
      <c r="E92" t="s">
        <v>115</v>
      </c>
      <c r="F92" t="s">
        <v>114</v>
      </c>
      <c r="G92" t="s">
        <v>108</v>
      </c>
      <c r="H92">
        <v>4</v>
      </c>
      <c r="I92">
        <v>37.31</v>
      </c>
      <c r="J92">
        <v>1696.02</v>
      </c>
      <c r="K92">
        <f xml:space="preserve"> J92-I92</f>
        <v>1658.71</v>
      </c>
      <c r="L92">
        <v>377.96</v>
      </c>
      <c r="M92">
        <f t="shared" si="18"/>
        <v>340.65</v>
      </c>
      <c r="N92">
        <f t="shared" si="19"/>
        <v>1318.06</v>
      </c>
      <c r="O92">
        <v>36.659999999999997</v>
      </c>
      <c r="P92">
        <v>918.16</v>
      </c>
      <c r="Q92">
        <f xml:space="preserve"> P92-O92</f>
        <v>881.5</v>
      </c>
      <c r="R92">
        <v>136.94</v>
      </c>
      <c r="S92">
        <f t="shared" si="20"/>
        <v>100.28</v>
      </c>
      <c r="T92">
        <f t="shared" si="21"/>
        <v>781.22</v>
      </c>
      <c r="U92">
        <v>36.700000000000003</v>
      </c>
      <c r="V92">
        <v>379.25</v>
      </c>
      <c r="W92">
        <f xml:space="preserve"> V92-U92</f>
        <v>342.55</v>
      </c>
      <c r="X92">
        <v>82.66</v>
      </c>
      <c r="Y92">
        <f t="shared" si="22"/>
        <v>45.959999999999994</v>
      </c>
      <c r="Z92">
        <f t="shared" si="23"/>
        <v>296.59000000000003</v>
      </c>
      <c r="AA92">
        <f xml:space="preserve"> K94+Q94+W95</f>
        <v>6244.66</v>
      </c>
      <c r="AB92">
        <f xml:space="preserve"> M94+S94+Y95</f>
        <v>1059.83</v>
      </c>
      <c r="AC92">
        <f xml:space="preserve"> N94+T94+Z95</f>
        <v>5184.83</v>
      </c>
    </row>
    <row r="93" spans="2:29" x14ac:dyDescent="0.35">
      <c r="I93">
        <v>37.299999999999997</v>
      </c>
      <c r="J93">
        <v>1989.49</v>
      </c>
      <c r="K93">
        <f xml:space="preserve"> J93-I93</f>
        <v>1952.19</v>
      </c>
      <c r="L93">
        <v>445.68</v>
      </c>
      <c r="M93">
        <f t="shared" si="18"/>
        <v>408.38</v>
      </c>
      <c r="N93">
        <f t="shared" si="19"/>
        <v>1543.81</v>
      </c>
      <c r="O93">
        <v>22.82</v>
      </c>
      <c r="P93">
        <v>716.36</v>
      </c>
      <c r="Q93">
        <f xml:space="preserve"> P93-O93</f>
        <v>693.54</v>
      </c>
      <c r="R93">
        <v>96.61</v>
      </c>
      <c r="S93">
        <f t="shared" si="20"/>
        <v>73.789999999999992</v>
      </c>
      <c r="T93">
        <f t="shared" si="21"/>
        <v>619.75</v>
      </c>
      <c r="U93">
        <v>36.53</v>
      </c>
      <c r="V93">
        <v>390.32</v>
      </c>
      <c r="W93">
        <f t="shared" ref="W93:W94" si="24" xml:space="preserve"> V93-U93</f>
        <v>353.78999999999996</v>
      </c>
      <c r="X93">
        <v>84.18</v>
      </c>
      <c r="Y93">
        <f t="shared" si="22"/>
        <v>47.650000000000006</v>
      </c>
      <c r="Z93">
        <f t="shared" si="23"/>
        <v>306.14</v>
      </c>
    </row>
    <row r="94" spans="2:29" x14ac:dyDescent="0.35">
      <c r="K94">
        <f>K92+K93</f>
        <v>3610.9</v>
      </c>
      <c r="M94">
        <f xml:space="preserve"> M92+M93</f>
        <v>749.03</v>
      </c>
      <c r="N94">
        <f t="shared" si="19"/>
        <v>2861.87</v>
      </c>
      <c r="Q94">
        <f xml:space="preserve"> Q92+Q93</f>
        <v>1575.04</v>
      </c>
      <c r="S94">
        <f>S92+S93</f>
        <v>174.07</v>
      </c>
      <c r="T94">
        <f t="shared" si="21"/>
        <v>1400.97</v>
      </c>
      <c r="U94">
        <v>37.08</v>
      </c>
      <c r="V94">
        <v>399.46</v>
      </c>
      <c r="W94">
        <f t="shared" si="24"/>
        <v>362.38</v>
      </c>
      <c r="X94">
        <v>80.2</v>
      </c>
      <c r="Y94">
        <f t="shared" si="22"/>
        <v>43.120000000000005</v>
      </c>
      <c r="Z94">
        <f t="shared" si="23"/>
        <v>319.26</v>
      </c>
    </row>
    <row r="95" spans="2:29" x14ac:dyDescent="0.35">
      <c r="W95">
        <f xml:space="preserve"> W92+W93+W94</f>
        <v>1058.7199999999998</v>
      </c>
      <c r="Y95">
        <f>Y92+Y93+Y94</f>
        <v>136.73000000000002</v>
      </c>
      <c r="Z95">
        <f t="shared" si="23"/>
        <v>921.98999999999978</v>
      </c>
    </row>
  </sheetData>
  <mergeCells count="4">
    <mergeCell ref="L1:M1"/>
    <mergeCell ref="I1:K1"/>
    <mergeCell ref="O1:Q1"/>
    <mergeCell ref="U1:W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19F4D3-7468-41B6-ADF5-27F5EE03CBE3}">
  <dimension ref="A1:AG39"/>
  <sheetViews>
    <sheetView workbookViewId="0">
      <selection activeCell="H37" sqref="H37:T39"/>
    </sheetView>
  </sheetViews>
  <sheetFormatPr defaultRowHeight="14.5" x14ac:dyDescent="0.35"/>
  <cols>
    <col min="1" max="1" width="11.54296875" customWidth="1"/>
    <col min="10" max="10" width="11.54296875" customWidth="1"/>
  </cols>
  <sheetData>
    <row r="1" spans="1:33" s="2" customFormat="1" ht="14.5" customHeight="1" x14ac:dyDescent="0.35">
      <c r="A1" s="2" t="s">
        <v>22</v>
      </c>
      <c r="B1" s="2" t="s">
        <v>0</v>
      </c>
      <c r="C1" s="2" t="s">
        <v>3</v>
      </c>
      <c r="D1" s="2" t="s">
        <v>4</v>
      </c>
      <c r="E1" s="2" t="s">
        <v>123</v>
      </c>
      <c r="F1" s="2" t="s">
        <v>9</v>
      </c>
      <c r="G1" s="2" t="s">
        <v>122</v>
      </c>
      <c r="H1" s="3" t="s">
        <v>109</v>
      </c>
      <c r="I1" s="2" t="s">
        <v>110</v>
      </c>
      <c r="J1" s="2" t="s">
        <v>124</v>
      </c>
      <c r="K1" s="2" t="s">
        <v>125</v>
      </c>
      <c r="L1" s="2" t="s">
        <v>101</v>
      </c>
      <c r="M1" s="2" t="s">
        <v>126</v>
      </c>
      <c r="N1" s="2" t="s">
        <v>127</v>
      </c>
      <c r="O1" s="2" t="s">
        <v>99</v>
      </c>
      <c r="P1" s="2" t="s">
        <v>128</v>
      </c>
      <c r="Q1" s="2" t="s">
        <v>129</v>
      </c>
      <c r="R1" s="2" t="s">
        <v>100</v>
      </c>
      <c r="S1" s="2" t="s">
        <v>130</v>
      </c>
      <c r="T1" s="2" t="s">
        <v>119</v>
      </c>
      <c r="U1" s="2" t="s">
        <v>120</v>
      </c>
      <c r="V1" s="2" t="s">
        <v>131</v>
      </c>
      <c r="W1" s="2" t="s">
        <v>132</v>
      </c>
      <c r="X1" s="2" t="s">
        <v>133</v>
      </c>
      <c r="Y1" s="2" t="s">
        <v>134</v>
      </c>
      <c r="Z1" s="2" t="s">
        <v>135</v>
      </c>
      <c r="AA1" s="2" t="s">
        <v>136</v>
      </c>
      <c r="AB1" s="2" t="s">
        <v>142</v>
      </c>
      <c r="AC1" s="2" t="s">
        <v>149</v>
      </c>
      <c r="AD1" s="2" t="s">
        <v>145</v>
      </c>
      <c r="AE1" s="2" t="s">
        <v>137</v>
      </c>
      <c r="AF1" s="2" t="s">
        <v>143</v>
      </c>
      <c r="AG1" s="2" t="s">
        <v>144</v>
      </c>
    </row>
    <row r="2" spans="1:33" x14ac:dyDescent="0.35">
      <c r="A2" s="1">
        <v>45460</v>
      </c>
      <c r="B2" t="s">
        <v>5</v>
      </c>
      <c r="C2" t="s">
        <v>18</v>
      </c>
      <c r="D2" t="s">
        <v>2</v>
      </c>
      <c r="E2">
        <f xml:space="preserve"> AVERAGE(40,43)</f>
        <v>41.5</v>
      </c>
      <c r="F2" t="s">
        <v>1</v>
      </c>
      <c r="G2">
        <f xml:space="preserve"> AVERAGE(45,45)</f>
        <v>45</v>
      </c>
      <c r="H2">
        <v>6</v>
      </c>
      <c r="I2">
        <v>6</v>
      </c>
      <c r="J2">
        <v>47.339999999999996</v>
      </c>
      <c r="K2">
        <v>8.25</v>
      </c>
      <c r="L2">
        <v>39.089999999999996</v>
      </c>
      <c r="P2">
        <v>216.23</v>
      </c>
      <c r="Q2">
        <v>22.310000000000002</v>
      </c>
      <c r="R2">
        <v>193.92</v>
      </c>
      <c r="S2">
        <v>263.57</v>
      </c>
      <c r="T2">
        <v>30.560000000000002</v>
      </c>
      <c r="U2">
        <v>233.01</v>
      </c>
      <c r="V2">
        <f xml:space="preserve"> M2+P2</f>
        <v>216.23</v>
      </c>
      <c r="W2">
        <f xml:space="preserve"> N2+Q2</f>
        <v>22.310000000000002</v>
      </c>
      <c r="X2">
        <f>(E2*1.5)*(G2*1.5)/10000</f>
        <v>0.42018749999999999</v>
      </c>
      <c r="Y2" s="4">
        <f xml:space="preserve"> H2/X2</f>
        <v>14.2793395805444</v>
      </c>
      <c r="Z2">
        <f xml:space="preserve"> (V2/I2)*Y2</f>
        <v>514.60359958351933</v>
      </c>
      <c r="AA2">
        <f xml:space="preserve"> (W2/I2)*Y2</f>
        <v>53.095344340324267</v>
      </c>
      <c r="AB2">
        <f xml:space="preserve"> (J2/I2)*Y2</f>
        <v>112.66398929049531</v>
      </c>
      <c r="AC2">
        <f xml:space="preserve"> (K2/I2)*Y2</f>
        <v>19.634091923248551</v>
      </c>
      <c r="AD2">
        <f xml:space="preserve"> AVERAGE(Z2:Z5)</f>
        <v>576.87594380339067</v>
      </c>
      <c r="AE2">
        <f xml:space="preserve"> AVERAGE(AA2:AA5)</f>
        <v>57.709644472945534</v>
      </c>
      <c r="AF2">
        <f xml:space="preserve"> AVERAGE(AB2:AB5)</f>
        <v>125.44641514879721</v>
      </c>
      <c r="AG2">
        <f xml:space="preserve"> AVERAGE(AC2:AC5)</f>
        <v>21.943360321861707</v>
      </c>
    </row>
    <row r="3" spans="1:33" x14ac:dyDescent="0.35">
      <c r="B3" t="s">
        <v>25</v>
      </c>
      <c r="C3" t="s">
        <v>19</v>
      </c>
      <c r="D3" t="s">
        <v>10</v>
      </c>
      <c r="E3">
        <f xml:space="preserve"> AVERAGE(40,38)</f>
        <v>39</v>
      </c>
      <c r="F3" t="s">
        <v>1</v>
      </c>
      <c r="G3">
        <f xml:space="preserve"> AVERAGE(45,45)</f>
        <v>45</v>
      </c>
      <c r="H3">
        <v>6</v>
      </c>
      <c r="I3">
        <v>6</v>
      </c>
      <c r="J3">
        <v>67.150000000000006</v>
      </c>
      <c r="K3">
        <v>12.060000000000002</v>
      </c>
      <c r="L3">
        <v>55.09</v>
      </c>
      <c r="P3">
        <v>300.58</v>
      </c>
      <c r="Q3">
        <v>29.46</v>
      </c>
      <c r="R3">
        <v>271.12</v>
      </c>
      <c r="S3">
        <v>367.73</v>
      </c>
      <c r="T3">
        <v>41.52</v>
      </c>
      <c r="U3">
        <v>326.21000000000004</v>
      </c>
      <c r="V3">
        <f t="shared" ref="V3:V27" si="0" xml:space="preserve"> M3+P3</f>
        <v>300.58</v>
      </c>
      <c r="W3">
        <f t="shared" ref="W3:W28" si="1" xml:space="preserve"> N3+Q3</f>
        <v>29.46</v>
      </c>
      <c r="X3">
        <f t="shared" ref="X3:X28" si="2">(E3*1.5)*(G3*1.5)/10000</f>
        <v>0.39487499999999998</v>
      </c>
      <c r="Y3" s="4">
        <f t="shared" ref="Y3:Y28" si="3" xml:space="preserve"> H3/X3</f>
        <v>15.194681861348529</v>
      </c>
      <c r="Z3">
        <f t="shared" ref="Z3:Z28" si="4" xml:space="preserve"> (V3/I3)*Y3</f>
        <v>761.20291231402348</v>
      </c>
      <c r="AA3">
        <f t="shared" ref="AA3:AA28" si="5" xml:space="preserve"> (W3/I3)*Y3</f>
        <v>74.605887939221276</v>
      </c>
      <c r="AB3">
        <f t="shared" ref="AB3:AB28" si="6" xml:space="preserve"> (J3/I3)*Y3</f>
        <v>170.05381449825899</v>
      </c>
      <c r="AC3">
        <f t="shared" ref="AC3:AC28" si="7" xml:space="preserve"> (K3/I3)*Y3</f>
        <v>30.541310541310548</v>
      </c>
    </row>
    <row r="4" spans="1:33" x14ac:dyDescent="0.35">
      <c r="B4" t="s">
        <v>26</v>
      </c>
      <c r="C4" t="s">
        <v>20</v>
      </c>
      <c r="D4" t="s">
        <v>12</v>
      </c>
      <c r="E4">
        <f xml:space="preserve"> AVERAGE(41,41)</f>
        <v>41</v>
      </c>
      <c r="F4" t="s">
        <v>11</v>
      </c>
      <c r="G4">
        <f xml:space="preserve"> AVERAGE(45,44)</f>
        <v>44.5</v>
      </c>
      <c r="H4">
        <v>6</v>
      </c>
      <c r="I4">
        <v>6</v>
      </c>
      <c r="J4">
        <v>36.07</v>
      </c>
      <c r="K4">
        <v>6.4399999999999995</v>
      </c>
      <c r="L4">
        <v>29.630000000000003</v>
      </c>
      <c r="P4">
        <v>173.12</v>
      </c>
      <c r="Q4">
        <v>18.61</v>
      </c>
      <c r="R4">
        <v>154.51</v>
      </c>
      <c r="S4">
        <v>209.19</v>
      </c>
      <c r="T4">
        <v>25.049999999999997</v>
      </c>
      <c r="U4">
        <v>184.14</v>
      </c>
      <c r="V4">
        <f t="shared" si="0"/>
        <v>173.12</v>
      </c>
      <c r="W4">
        <f t="shared" si="1"/>
        <v>18.61</v>
      </c>
      <c r="X4">
        <f t="shared" si="2"/>
        <v>0.4105125</v>
      </c>
      <c r="Y4" s="4">
        <f t="shared" si="3"/>
        <v>14.61587649584361</v>
      </c>
      <c r="Z4">
        <f t="shared" si="4"/>
        <v>421.71675649340767</v>
      </c>
      <c r="AA4">
        <f t="shared" si="5"/>
        <v>45.333576931274926</v>
      </c>
      <c r="AB4">
        <f t="shared" si="6"/>
        <v>87.865777534179841</v>
      </c>
      <c r="AC4">
        <f t="shared" si="7"/>
        <v>15.68770743887214</v>
      </c>
    </row>
    <row r="5" spans="1:33" x14ac:dyDescent="0.35">
      <c r="B5" t="s">
        <v>27</v>
      </c>
      <c r="C5" t="s">
        <v>21</v>
      </c>
      <c r="D5" t="s">
        <v>13</v>
      </c>
      <c r="E5">
        <f xml:space="preserve"> AVERAGE(40,36)</f>
        <v>38</v>
      </c>
      <c r="F5" t="s">
        <v>1</v>
      </c>
      <c r="G5">
        <f xml:space="preserve"> AVERAGE(45,45)</f>
        <v>45</v>
      </c>
      <c r="H5">
        <v>6</v>
      </c>
      <c r="I5">
        <v>6</v>
      </c>
      <c r="J5">
        <v>50.48</v>
      </c>
      <c r="K5">
        <v>8.43</v>
      </c>
      <c r="L5">
        <v>42.05</v>
      </c>
      <c r="P5">
        <v>234.69</v>
      </c>
      <c r="Q5">
        <v>22.240000000000002</v>
      </c>
      <c r="R5">
        <v>212.45</v>
      </c>
      <c r="S5">
        <v>285.17</v>
      </c>
      <c r="T5">
        <v>30.67</v>
      </c>
      <c r="U5">
        <v>254.5</v>
      </c>
      <c r="V5">
        <f t="shared" si="0"/>
        <v>234.69</v>
      </c>
      <c r="W5">
        <f t="shared" si="1"/>
        <v>22.240000000000002</v>
      </c>
      <c r="X5">
        <f t="shared" si="2"/>
        <v>0.38474999999999998</v>
      </c>
      <c r="Y5" s="4">
        <f t="shared" si="3"/>
        <v>15.594541910331385</v>
      </c>
      <c r="Z5">
        <f t="shared" si="4"/>
        <v>609.98050682261214</v>
      </c>
      <c r="AA5">
        <f t="shared" si="5"/>
        <v>57.803768680961674</v>
      </c>
      <c r="AB5">
        <f t="shared" si="6"/>
        <v>131.20207927225471</v>
      </c>
      <c r="AC5">
        <f t="shared" si="7"/>
        <v>21.910331384015596</v>
      </c>
    </row>
    <row r="6" spans="1:33" x14ac:dyDescent="0.35">
      <c r="Y6" s="4"/>
    </row>
    <row r="7" spans="1:33" x14ac:dyDescent="0.35">
      <c r="A7" s="1">
        <v>45482</v>
      </c>
      <c r="B7" t="s">
        <v>28</v>
      </c>
      <c r="C7" t="s">
        <v>42</v>
      </c>
      <c r="D7" t="s">
        <v>46</v>
      </c>
      <c r="E7">
        <f xml:space="preserve"> AVERAGE(39,39)</f>
        <v>39</v>
      </c>
      <c r="F7" t="s">
        <v>47</v>
      </c>
      <c r="G7">
        <f xml:space="preserve"> AVERAGE(44,44)</f>
        <v>44</v>
      </c>
      <c r="H7">
        <v>6</v>
      </c>
      <c r="I7">
        <v>6</v>
      </c>
      <c r="J7">
        <v>149.88000000000002</v>
      </c>
      <c r="K7">
        <v>28.849999999999998</v>
      </c>
      <c r="L7">
        <v>121.03000000000003</v>
      </c>
      <c r="M7">
        <v>145.15</v>
      </c>
      <c r="N7">
        <v>14.829999999999998</v>
      </c>
      <c r="O7">
        <v>130.32</v>
      </c>
      <c r="P7">
        <v>275.02000000000004</v>
      </c>
      <c r="Q7">
        <v>33.239999999999995</v>
      </c>
      <c r="R7">
        <v>278.48</v>
      </c>
      <c r="S7">
        <v>606.75</v>
      </c>
      <c r="T7">
        <v>76.919999999999987</v>
      </c>
      <c r="U7">
        <v>529.83000000000004</v>
      </c>
      <c r="V7">
        <f t="shared" si="0"/>
        <v>420.17000000000007</v>
      </c>
      <c r="W7">
        <f t="shared" si="1"/>
        <v>48.069999999999993</v>
      </c>
      <c r="X7">
        <f t="shared" si="2"/>
        <v>0.3861</v>
      </c>
      <c r="Y7" s="4">
        <f t="shared" si="3"/>
        <v>15.54001554001554</v>
      </c>
      <c r="Z7">
        <f t="shared" si="4"/>
        <v>1088.2413882413884</v>
      </c>
      <c r="AA7">
        <f t="shared" si="5"/>
        <v>124.50142450142448</v>
      </c>
      <c r="AB7">
        <f t="shared" si="6"/>
        <v>388.18958818958828</v>
      </c>
      <c r="AC7">
        <f t="shared" si="7"/>
        <v>74.721574721574711</v>
      </c>
      <c r="AD7">
        <f xml:space="preserve"> AVERAGE(Z7:Z13)</f>
        <v>2405.0388687629961</v>
      </c>
      <c r="AE7">
        <f xml:space="preserve"> AVERAGE(AA7:AA13)</f>
        <v>301.49434717250489</v>
      </c>
      <c r="AF7">
        <f xml:space="preserve"> AVERAGE(AB7:AB13)</f>
        <v>1052.2294026557263</v>
      </c>
      <c r="AG7">
        <f xml:space="preserve"> AVERAGE(AC7:AC13)</f>
        <v>213.47727577460446</v>
      </c>
    </row>
    <row r="8" spans="1:33" x14ac:dyDescent="0.35">
      <c r="B8" t="s">
        <v>24</v>
      </c>
      <c r="C8" t="s">
        <v>43</v>
      </c>
      <c r="D8" t="s">
        <v>54</v>
      </c>
      <c r="E8">
        <f xml:space="preserve"> AVERAGE(40,38)</f>
        <v>39</v>
      </c>
      <c r="F8" t="s">
        <v>47</v>
      </c>
      <c r="G8">
        <f xml:space="preserve"> AVERAGE(44,44)</f>
        <v>44</v>
      </c>
      <c r="H8">
        <v>6</v>
      </c>
      <c r="I8">
        <v>6</v>
      </c>
      <c r="J8">
        <v>375.53999999999996</v>
      </c>
      <c r="K8">
        <v>69.52</v>
      </c>
      <c r="L8">
        <v>306.02</v>
      </c>
      <c r="M8">
        <v>308.25</v>
      </c>
      <c r="N8">
        <v>29.21</v>
      </c>
      <c r="O8">
        <v>279.04000000000002</v>
      </c>
      <c r="P8">
        <v>502.16</v>
      </c>
      <c r="Q8">
        <v>57.34</v>
      </c>
      <c r="R8">
        <v>483.63</v>
      </c>
      <c r="S8">
        <v>1224.76</v>
      </c>
      <c r="T8">
        <v>156.07</v>
      </c>
      <c r="U8">
        <v>1068.69</v>
      </c>
      <c r="V8">
        <f t="shared" si="0"/>
        <v>810.41000000000008</v>
      </c>
      <c r="W8">
        <f t="shared" si="1"/>
        <v>86.550000000000011</v>
      </c>
      <c r="X8">
        <f t="shared" si="2"/>
        <v>0.3861</v>
      </c>
      <c r="Y8" s="4">
        <f t="shared" si="3"/>
        <v>15.54001554001554</v>
      </c>
      <c r="Z8">
        <f t="shared" si="4"/>
        <v>2098.9639989639995</v>
      </c>
      <c r="AA8">
        <f t="shared" si="5"/>
        <v>224.16472416472422</v>
      </c>
      <c r="AB8">
        <f t="shared" si="6"/>
        <v>972.64957264957263</v>
      </c>
      <c r="AC8">
        <f t="shared" si="7"/>
        <v>180.05698005698005</v>
      </c>
    </row>
    <row r="9" spans="1:33" x14ac:dyDescent="0.35">
      <c r="B9" t="s">
        <v>29</v>
      </c>
      <c r="C9" t="s">
        <v>41</v>
      </c>
      <c r="D9" t="s">
        <v>44</v>
      </c>
      <c r="E9">
        <f xml:space="preserve"> AVERAGE(42,42)</f>
        <v>42</v>
      </c>
      <c r="F9" t="s">
        <v>45</v>
      </c>
      <c r="G9">
        <f xml:space="preserve"> AVERAGE(45,45)</f>
        <v>45</v>
      </c>
      <c r="H9">
        <v>6</v>
      </c>
      <c r="I9">
        <v>6</v>
      </c>
      <c r="J9">
        <v>471.59999999999997</v>
      </c>
      <c r="K9">
        <v>94.53</v>
      </c>
      <c r="L9">
        <v>377.06999999999994</v>
      </c>
      <c r="M9">
        <v>368.39</v>
      </c>
      <c r="N9">
        <v>32.260000000000005</v>
      </c>
      <c r="O9">
        <v>336.13</v>
      </c>
      <c r="P9">
        <v>616.66</v>
      </c>
      <c r="Q9">
        <v>65.710000000000008</v>
      </c>
      <c r="R9">
        <v>587.18999999999994</v>
      </c>
      <c r="S9">
        <v>1492.8899999999999</v>
      </c>
      <c r="T9">
        <v>192.5</v>
      </c>
      <c r="U9">
        <v>1300.3899999999999</v>
      </c>
      <c r="V9">
        <f t="shared" si="0"/>
        <v>985.05</v>
      </c>
      <c r="W9">
        <f t="shared" si="1"/>
        <v>97.970000000000013</v>
      </c>
      <c r="X9">
        <f t="shared" si="2"/>
        <v>0.42525000000000002</v>
      </c>
      <c r="Y9" s="4">
        <f t="shared" si="3"/>
        <v>14.109347442680775</v>
      </c>
      <c r="Z9">
        <f t="shared" si="4"/>
        <v>2316.402116402116</v>
      </c>
      <c r="AA9">
        <f t="shared" si="5"/>
        <v>230.38212815990596</v>
      </c>
      <c r="AB9">
        <f t="shared" si="6"/>
        <v>1108.9947089947088</v>
      </c>
      <c r="AC9">
        <f t="shared" si="7"/>
        <v>222.29276895943562</v>
      </c>
    </row>
    <row r="10" spans="1:33" x14ac:dyDescent="0.35">
      <c r="B10" t="s">
        <v>30</v>
      </c>
      <c r="C10" t="s">
        <v>56</v>
      </c>
      <c r="D10" t="s">
        <v>54</v>
      </c>
      <c r="E10">
        <f xml:space="preserve"> AVERAGE(40,38)</f>
        <v>39</v>
      </c>
      <c r="F10" t="s">
        <v>55</v>
      </c>
      <c r="G10">
        <f xml:space="preserve"> AVERAGE(42,41)</f>
        <v>41.5</v>
      </c>
      <c r="H10">
        <v>6</v>
      </c>
      <c r="I10">
        <v>6</v>
      </c>
      <c r="J10">
        <v>416.46000000000004</v>
      </c>
      <c r="K10">
        <v>77.44</v>
      </c>
      <c r="L10">
        <v>339.02000000000004</v>
      </c>
      <c r="M10">
        <v>508.64</v>
      </c>
      <c r="N10">
        <v>45.14</v>
      </c>
      <c r="O10">
        <v>463.5</v>
      </c>
      <c r="P10">
        <v>550.01</v>
      </c>
      <c r="Q10">
        <v>74.77</v>
      </c>
      <c r="R10">
        <v>511.71000000000004</v>
      </c>
      <c r="S10">
        <v>1511.58</v>
      </c>
      <c r="T10">
        <v>197.35</v>
      </c>
      <c r="U10">
        <v>1314.23</v>
      </c>
      <c r="V10">
        <f t="shared" si="0"/>
        <v>1058.6500000000001</v>
      </c>
      <c r="W10">
        <f t="shared" si="1"/>
        <v>119.91</v>
      </c>
      <c r="X10">
        <f t="shared" si="2"/>
        <v>0.3641625</v>
      </c>
      <c r="Y10" s="4">
        <f t="shared" si="3"/>
        <v>16.476161054474307</v>
      </c>
      <c r="Z10">
        <f t="shared" si="4"/>
        <v>2907.0813167198712</v>
      </c>
      <c r="AA10">
        <f t="shared" si="5"/>
        <v>329.27607867366902</v>
      </c>
      <c r="AB10">
        <f t="shared" si="6"/>
        <v>1143.6103387910618</v>
      </c>
      <c r="AC10">
        <f t="shared" si="7"/>
        <v>212.65231867641506</v>
      </c>
    </row>
    <row r="11" spans="1:33" x14ac:dyDescent="0.35">
      <c r="B11" t="s">
        <v>31</v>
      </c>
      <c r="C11" t="s">
        <v>49</v>
      </c>
      <c r="D11" t="s">
        <v>48</v>
      </c>
      <c r="E11">
        <f xml:space="preserve"> AVERAGE(40,41)</f>
        <v>40.5</v>
      </c>
      <c r="F11" t="s">
        <v>45</v>
      </c>
      <c r="G11">
        <f xml:space="preserve"> AVERAGE(45,45)</f>
        <v>45</v>
      </c>
      <c r="H11">
        <v>6</v>
      </c>
      <c r="I11">
        <v>6</v>
      </c>
      <c r="J11">
        <v>540.09</v>
      </c>
      <c r="K11">
        <v>114.09</v>
      </c>
      <c r="L11">
        <v>426</v>
      </c>
      <c r="M11">
        <v>643.51</v>
      </c>
      <c r="N11">
        <v>54.25</v>
      </c>
      <c r="O11">
        <v>589.26</v>
      </c>
      <c r="P11">
        <v>726.44</v>
      </c>
      <c r="Q11">
        <v>166.55</v>
      </c>
      <c r="R11">
        <v>596.40000000000009</v>
      </c>
      <c r="S11">
        <v>1946.55</v>
      </c>
      <c r="T11">
        <v>334.89</v>
      </c>
      <c r="U11">
        <v>1611.66</v>
      </c>
      <c r="V11">
        <f t="shared" si="0"/>
        <v>1369.95</v>
      </c>
      <c r="W11">
        <f t="shared" si="1"/>
        <v>220.8</v>
      </c>
      <c r="X11">
        <f t="shared" si="2"/>
        <v>0.4100625</v>
      </c>
      <c r="Y11" s="4">
        <f t="shared" si="3"/>
        <v>14.631915866483768</v>
      </c>
      <c r="Z11">
        <f t="shared" si="4"/>
        <v>3340.8321902149064</v>
      </c>
      <c r="AA11">
        <f t="shared" si="5"/>
        <v>538.45450388660277</v>
      </c>
      <c r="AB11">
        <f t="shared" si="6"/>
        <v>1317.0919067215364</v>
      </c>
      <c r="AC11">
        <f t="shared" si="7"/>
        <v>278.22588020118883</v>
      </c>
    </row>
    <row r="12" spans="1:33" x14ac:dyDescent="0.35">
      <c r="B12" t="s">
        <v>32</v>
      </c>
      <c r="C12" t="s">
        <v>50</v>
      </c>
      <c r="D12" t="s">
        <v>51</v>
      </c>
      <c r="E12">
        <f xml:space="preserve"> AVERAGE(56,42)</f>
        <v>49</v>
      </c>
      <c r="F12" t="s">
        <v>52</v>
      </c>
      <c r="G12">
        <f xml:space="preserve"> AVERAGE(46,46)</f>
        <v>46</v>
      </c>
      <c r="H12">
        <v>6</v>
      </c>
      <c r="I12">
        <v>6</v>
      </c>
      <c r="J12">
        <v>702.1</v>
      </c>
      <c r="K12">
        <v>153.97000000000003</v>
      </c>
      <c r="L12">
        <v>548.13</v>
      </c>
      <c r="M12">
        <v>705.08</v>
      </c>
      <c r="N12">
        <v>60.900000000000006</v>
      </c>
      <c r="O12">
        <v>644.18000000000006</v>
      </c>
      <c r="P12">
        <v>777.5</v>
      </c>
      <c r="Q12">
        <v>160.17000000000002</v>
      </c>
      <c r="R12">
        <v>653.68000000000006</v>
      </c>
      <c r="S12">
        <v>2221.0300000000002</v>
      </c>
      <c r="T12">
        <v>375.04000000000008</v>
      </c>
      <c r="U12">
        <v>1845.99</v>
      </c>
      <c r="V12">
        <f t="shared" si="0"/>
        <v>1482.58</v>
      </c>
      <c r="W12">
        <f t="shared" si="1"/>
        <v>221.07000000000002</v>
      </c>
      <c r="X12">
        <f t="shared" si="2"/>
        <v>0.50714999999999999</v>
      </c>
      <c r="Y12" s="4">
        <f t="shared" si="3"/>
        <v>11.830819284235433</v>
      </c>
      <c r="Z12">
        <f t="shared" si="4"/>
        <v>2923.3560090702949</v>
      </c>
      <c r="AA12">
        <f t="shared" si="5"/>
        <v>435.90653652765462</v>
      </c>
      <c r="AB12">
        <f t="shared" si="6"/>
        <v>1384.4030365769497</v>
      </c>
      <c r="AC12">
        <f t="shared" si="7"/>
        <v>303.59854086562166</v>
      </c>
    </row>
    <row r="13" spans="1:33" x14ac:dyDescent="0.35">
      <c r="B13" t="s">
        <v>33</v>
      </c>
      <c r="C13" t="s">
        <v>53</v>
      </c>
      <c r="D13" t="s">
        <v>45</v>
      </c>
      <c r="E13">
        <f xml:space="preserve"> AVERAGE(45,45)</f>
        <v>45</v>
      </c>
      <c r="F13" t="s">
        <v>45</v>
      </c>
      <c r="G13">
        <f xml:space="preserve"> AVERAGE(45,45)</f>
        <v>45</v>
      </c>
      <c r="H13">
        <v>6</v>
      </c>
      <c r="I13">
        <v>6</v>
      </c>
      <c r="J13">
        <v>478.71</v>
      </c>
      <c r="K13">
        <v>101.50999999999999</v>
      </c>
      <c r="L13">
        <v>377.2</v>
      </c>
      <c r="M13">
        <v>433.21000000000004</v>
      </c>
      <c r="N13">
        <v>39.179999999999993</v>
      </c>
      <c r="O13">
        <v>394.03000000000003</v>
      </c>
      <c r="P13">
        <v>551.12</v>
      </c>
      <c r="Q13">
        <v>64.599999999999994</v>
      </c>
      <c r="R13">
        <v>523.22</v>
      </c>
      <c r="S13">
        <v>1499.7400000000002</v>
      </c>
      <c r="T13">
        <v>205.29</v>
      </c>
      <c r="U13">
        <v>1294.45</v>
      </c>
      <c r="V13">
        <f t="shared" si="0"/>
        <v>984.33</v>
      </c>
      <c r="W13">
        <f t="shared" si="1"/>
        <v>103.77999999999999</v>
      </c>
      <c r="X13">
        <f t="shared" si="2"/>
        <v>0.455625</v>
      </c>
      <c r="Y13" s="4">
        <f t="shared" si="3"/>
        <v>13.168724279835391</v>
      </c>
      <c r="Z13">
        <f t="shared" si="4"/>
        <v>2160.3950617283954</v>
      </c>
      <c r="AA13">
        <f t="shared" si="5"/>
        <v>227.77503429355278</v>
      </c>
      <c r="AB13">
        <f t="shared" si="6"/>
        <v>1050.6666666666667</v>
      </c>
      <c r="AC13">
        <f t="shared" si="7"/>
        <v>222.79286694101509</v>
      </c>
    </row>
    <row r="14" spans="1:33" x14ac:dyDescent="0.35">
      <c r="Y14" s="4"/>
    </row>
    <row r="15" spans="1:33" x14ac:dyDescent="0.35">
      <c r="A15" s="1">
        <v>45498</v>
      </c>
      <c r="B15" t="s">
        <v>65</v>
      </c>
      <c r="C15" t="s">
        <v>69</v>
      </c>
      <c r="D15" t="s">
        <v>70</v>
      </c>
      <c r="E15">
        <f xml:space="preserve"> AVERAGE(42,41)</f>
        <v>41.5</v>
      </c>
      <c r="F15" t="s">
        <v>45</v>
      </c>
      <c r="G15">
        <f xml:space="preserve"> AVERAGE(45,45)</f>
        <v>45</v>
      </c>
      <c r="H15">
        <v>6</v>
      </c>
      <c r="I15">
        <v>6</v>
      </c>
      <c r="J15">
        <v>1836.42</v>
      </c>
      <c r="K15">
        <v>405.07</v>
      </c>
      <c r="L15">
        <v>1431.35</v>
      </c>
      <c r="M15">
        <v>1013.6599999999999</v>
      </c>
      <c r="N15">
        <v>104.09</v>
      </c>
      <c r="O15">
        <v>909.56999999999994</v>
      </c>
      <c r="P15">
        <v>595.46</v>
      </c>
      <c r="Q15">
        <v>81.61999999999999</v>
      </c>
      <c r="R15">
        <v>513.84</v>
      </c>
      <c r="S15">
        <v>3445.54</v>
      </c>
      <c r="T15">
        <v>590.78</v>
      </c>
      <c r="U15">
        <v>2854.76</v>
      </c>
      <c r="V15">
        <f t="shared" si="0"/>
        <v>1609.12</v>
      </c>
      <c r="W15">
        <f t="shared" si="1"/>
        <v>185.70999999999998</v>
      </c>
      <c r="X15">
        <f t="shared" si="2"/>
        <v>0.42018749999999999</v>
      </c>
      <c r="Y15" s="4">
        <f t="shared" si="3"/>
        <v>14.2793395805444</v>
      </c>
      <c r="Z15">
        <f t="shared" si="4"/>
        <v>3829.528484307601</v>
      </c>
      <c r="AA15">
        <f t="shared" si="5"/>
        <v>441.96935891715009</v>
      </c>
      <c r="AB15">
        <f t="shared" si="6"/>
        <v>4370.4774654172243</v>
      </c>
      <c r="AC15">
        <f t="shared" si="7"/>
        <v>964.02201398185343</v>
      </c>
      <c r="AD15">
        <f xml:space="preserve"> AVERAGE(Z15:Z18)</f>
        <v>4592.4405056774349</v>
      </c>
      <c r="AE15">
        <f xml:space="preserve"> AVERAGE(AA15:AA18)</f>
        <v>522.83517611276363</v>
      </c>
      <c r="AF15">
        <f xml:space="preserve"> AVERAGE(AB15:AB18)</f>
        <v>4645.6672073387263</v>
      </c>
      <c r="AG15">
        <f xml:space="preserve"> AVERAGE(AC15:AC18)</f>
        <v>1089.831926743605</v>
      </c>
    </row>
    <row r="16" spans="1:33" x14ac:dyDescent="0.35">
      <c r="B16" t="s">
        <v>66</v>
      </c>
      <c r="C16" t="s">
        <v>77</v>
      </c>
      <c r="D16" t="s">
        <v>75</v>
      </c>
      <c r="E16">
        <f xml:space="preserve"> AVERAGE(40,35)</f>
        <v>37.5</v>
      </c>
      <c r="F16" t="s">
        <v>76</v>
      </c>
      <c r="G16">
        <f xml:space="preserve"> AVERAGE(47,46)</f>
        <v>46.5</v>
      </c>
      <c r="H16">
        <v>6</v>
      </c>
      <c r="I16">
        <v>6</v>
      </c>
      <c r="J16">
        <v>2094.13</v>
      </c>
      <c r="K16">
        <v>466.03</v>
      </c>
      <c r="L16">
        <v>1628.1</v>
      </c>
      <c r="M16">
        <v>1049</v>
      </c>
      <c r="N16">
        <v>109.22</v>
      </c>
      <c r="O16">
        <v>939.78</v>
      </c>
      <c r="P16">
        <v>1141.23</v>
      </c>
      <c r="Q16">
        <v>139.54000000000002</v>
      </c>
      <c r="R16">
        <v>1001.69</v>
      </c>
      <c r="S16">
        <v>4284.3600000000006</v>
      </c>
      <c r="T16">
        <v>478.69</v>
      </c>
      <c r="U16">
        <v>3569.57</v>
      </c>
      <c r="V16">
        <f t="shared" si="0"/>
        <v>2190.23</v>
      </c>
      <c r="W16">
        <f t="shared" si="1"/>
        <v>248.76000000000002</v>
      </c>
      <c r="X16">
        <f t="shared" si="2"/>
        <v>0.39234374999999999</v>
      </c>
      <c r="Y16" s="4">
        <f t="shared" si="3"/>
        <v>15.292712066905615</v>
      </c>
      <c r="Z16">
        <f t="shared" si="4"/>
        <v>5582.4261250497811</v>
      </c>
      <c r="AA16">
        <f t="shared" si="5"/>
        <v>634.03584229390685</v>
      </c>
      <c r="AB16">
        <f t="shared" si="6"/>
        <v>5337.4878534448435</v>
      </c>
      <c r="AC16">
        <f t="shared" si="7"/>
        <v>1187.810434090004</v>
      </c>
    </row>
    <row r="17" spans="1:33" x14ac:dyDescent="0.35">
      <c r="B17" t="s">
        <v>67</v>
      </c>
      <c r="C17" t="s">
        <v>74</v>
      </c>
      <c r="D17" t="s">
        <v>73</v>
      </c>
      <c r="E17">
        <f xml:space="preserve"> AVERAGE(40,40)</f>
        <v>40</v>
      </c>
      <c r="F17" t="s">
        <v>73</v>
      </c>
      <c r="G17">
        <f xml:space="preserve"> AVERAGE(40,40)</f>
        <v>40</v>
      </c>
      <c r="H17">
        <v>6</v>
      </c>
      <c r="I17">
        <v>6</v>
      </c>
      <c r="J17">
        <v>1759.79</v>
      </c>
      <c r="K17">
        <v>392.19</v>
      </c>
      <c r="L17">
        <v>1367.6</v>
      </c>
      <c r="M17">
        <v>1014.4999999999999</v>
      </c>
      <c r="N17">
        <v>99.21</v>
      </c>
      <c r="O17">
        <v>915.28999999999985</v>
      </c>
      <c r="P17">
        <v>984.56</v>
      </c>
      <c r="Q17">
        <v>120.64999999999999</v>
      </c>
      <c r="R17">
        <v>863.91000000000008</v>
      </c>
      <c r="S17">
        <v>3758.85</v>
      </c>
      <c r="T17">
        <v>612.04999999999995</v>
      </c>
      <c r="U17">
        <v>3146.8</v>
      </c>
      <c r="V17">
        <f t="shared" si="0"/>
        <v>1999.06</v>
      </c>
      <c r="W17">
        <f t="shared" si="1"/>
        <v>219.85999999999999</v>
      </c>
      <c r="X17">
        <f t="shared" si="2"/>
        <v>0.36</v>
      </c>
      <c r="Y17" s="4">
        <f t="shared" si="3"/>
        <v>16.666666666666668</v>
      </c>
      <c r="Z17">
        <f t="shared" si="4"/>
        <v>5552.9444444444453</v>
      </c>
      <c r="AA17">
        <f t="shared" si="5"/>
        <v>610.72222222222217</v>
      </c>
      <c r="AB17">
        <f t="shared" si="6"/>
        <v>4888.3055555555566</v>
      </c>
      <c r="AC17">
        <f t="shared" si="7"/>
        <v>1089.4166666666667</v>
      </c>
    </row>
    <row r="18" spans="1:33" x14ac:dyDescent="0.35">
      <c r="B18" t="s">
        <v>68</v>
      </c>
      <c r="C18" t="s">
        <v>72</v>
      </c>
      <c r="D18" t="s">
        <v>44</v>
      </c>
      <c r="E18">
        <f xml:space="preserve"> AVERAGE(42,42)</f>
        <v>42</v>
      </c>
      <c r="F18" t="s">
        <v>71</v>
      </c>
      <c r="G18">
        <f xml:space="preserve"> AVERAGE(45,44)</f>
        <v>44.5</v>
      </c>
      <c r="H18">
        <v>6</v>
      </c>
      <c r="I18">
        <v>6</v>
      </c>
      <c r="J18">
        <v>1676.3799999999999</v>
      </c>
      <c r="K18">
        <v>470.18</v>
      </c>
      <c r="L18">
        <v>1206.1999999999998</v>
      </c>
      <c r="M18">
        <v>698.11</v>
      </c>
      <c r="N18">
        <v>72.8</v>
      </c>
      <c r="O18">
        <v>625.31000000000006</v>
      </c>
      <c r="P18">
        <v>733.72</v>
      </c>
      <c r="Q18">
        <v>97.35</v>
      </c>
      <c r="R18">
        <v>636.37000000000012</v>
      </c>
      <c r="S18">
        <v>3108.21</v>
      </c>
      <c r="T18">
        <v>640.33000000000004</v>
      </c>
      <c r="U18">
        <v>2467.88</v>
      </c>
      <c r="V18">
        <f t="shared" si="0"/>
        <v>1431.83</v>
      </c>
      <c r="W18">
        <f t="shared" si="1"/>
        <v>170.14999999999998</v>
      </c>
      <c r="X18">
        <f t="shared" si="2"/>
        <v>0.42052499999999998</v>
      </c>
      <c r="Y18" s="4">
        <f t="shared" si="3"/>
        <v>14.267879436418763</v>
      </c>
      <c r="Z18">
        <f t="shared" si="4"/>
        <v>3404.8629689079125</v>
      </c>
      <c r="AA18">
        <f t="shared" si="5"/>
        <v>404.61328101777536</v>
      </c>
      <c r="AB18">
        <f t="shared" si="6"/>
        <v>3986.3979549372807</v>
      </c>
      <c r="AC18">
        <f t="shared" si="7"/>
        <v>1118.0785922358957</v>
      </c>
      <c r="AG18" t="s">
        <v>104</v>
      </c>
    </row>
    <row r="19" spans="1:33" x14ac:dyDescent="0.35">
      <c r="Y19" s="4"/>
    </row>
    <row r="20" spans="1:33" x14ac:dyDescent="0.35">
      <c r="A20" s="1">
        <v>45510</v>
      </c>
      <c r="B20" t="s">
        <v>5</v>
      </c>
      <c r="C20" t="s">
        <v>85</v>
      </c>
      <c r="D20" t="s">
        <v>86</v>
      </c>
      <c r="E20">
        <f xml:space="preserve"> AVERAGE(40,41)</f>
        <v>40.5</v>
      </c>
      <c r="F20" t="s">
        <v>88</v>
      </c>
      <c r="G20">
        <f xml:space="preserve"> AVERAGE(45,46)</f>
        <v>45.5</v>
      </c>
      <c r="H20">
        <v>5</v>
      </c>
      <c r="I20">
        <v>4</v>
      </c>
      <c r="J20">
        <v>2603.7700000000004</v>
      </c>
      <c r="K20">
        <v>566.58999999999992</v>
      </c>
      <c r="L20">
        <v>2037.1800000000003</v>
      </c>
      <c r="M20">
        <v>981.84</v>
      </c>
      <c r="N20">
        <v>102.43</v>
      </c>
      <c r="O20">
        <v>879.41000000000008</v>
      </c>
      <c r="P20">
        <v>863.37</v>
      </c>
      <c r="Q20">
        <v>103.47</v>
      </c>
      <c r="R20">
        <v>759.9</v>
      </c>
      <c r="S20">
        <v>4448.9800000000005</v>
      </c>
      <c r="T20">
        <v>772.49</v>
      </c>
      <c r="U20">
        <v>3676.4900000000002</v>
      </c>
      <c r="V20">
        <f t="shared" si="0"/>
        <v>1845.21</v>
      </c>
      <c r="W20">
        <f t="shared" si="1"/>
        <v>205.9</v>
      </c>
      <c r="X20">
        <f t="shared" si="2"/>
        <v>0.41461874999999998</v>
      </c>
      <c r="Y20" s="4">
        <f t="shared" si="3"/>
        <v>12.059271318530579</v>
      </c>
      <c r="Z20">
        <f t="shared" si="4"/>
        <v>5562.9720074164525</v>
      </c>
      <c r="AA20">
        <f t="shared" si="5"/>
        <v>620.75099112136161</v>
      </c>
      <c r="AB20">
        <f t="shared" si="6"/>
        <v>7849.8922202625927</v>
      </c>
      <c r="AC20">
        <f t="shared" si="7"/>
        <v>1708.1656340915599</v>
      </c>
      <c r="AD20">
        <f xml:space="preserve"> AVERAGE(Z20:Z23)</f>
        <v>6286.2873912911937</v>
      </c>
      <c r="AE20">
        <f xml:space="preserve"> AVERAGE(AA20:AA23)</f>
        <v>704.90582989141785</v>
      </c>
      <c r="AF20">
        <f xml:space="preserve"> AVERAGE(AB20:AB23)</f>
        <v>8151.6597597353375</v>
      </c>
      <c r="AG20">
        <f xml:space="preserve"> AVERAGE(AC20:AC23)</f>
        <v>1740.8306918755684</v>
      </c>
    </row>
    <row r="21" spans="1:33" x14ac:dyDescent="0.35">
      <c r="B21" t="s">
        <v>78</v>
      </c>
      <c r="C21">
        <v>62</v>
      </c>
      <c r="D21" t="s">
        <v>87</v>
      </c>
      <c r="E21">
        <f xml:space="preserve"> AVERAGE(38,39)</f>
        <v>38.5</v>
      </c>
      <c r="F21" t="s">
        <v>89</v>
      </c>
      <c r="G21">
        <f xml:space="preserve"> AVERAGE(45,44)</f>
        <v>44.5</v>
      </c>
      <c r="H21">
        <v>6</v>
      </c>
      <c r="I21">
        <v>4</v>
      </c>
      <c r="J21">
        <v>2304.9</v>
      </c>
      <c r="K21">
        <v>492.35999999999996</v>
      </c>
      <c r="L21">
        <v>1812.5400000000002</v>
      </c>
      <c r="M21">
        <v>981.08</v>
      </c>
      <c r="N21">
        <v>98.68</v>
      </c>
      <c r="O21">
        <v>882.40000000000009</v>
      </c>
      <c r="P21">
        <v>867.24</v>
      </c>
      <c r="Q21">
        <v>99.25</v>
      </c>
      <c r="R21">
        <v>767.99</v>
      </c>
      <c r="S21">
        <v>4153.22</v>
      </c>
      <c r="T21">
        <v>690.29</v>
      </c>
      <c r="U21">
        <v>3462.9300000000003</v>
      </c>
      <c r="V21">
        <f t="shared" si="0"/>
        <v>1848.3200000000002</v>
      </c>
      <c r="W21">
        <f t="shared" si="1"/>
        <v>197.93</v>
      </c>
      <c r="X21">
        <f t="shared" si="2"/>
        <v>0.38548125</v>
      </c>
      <c r="Y21" s="4">
        <f t="shared" si="3"/>
        <v>15.564959385184105</v>
      </c>
      <c r="Z21">
        <f t="shared" si="4"/>
        <v>7192.2564327058717</v>
      </c>
      <c r="AA21">
        <f t="shared" si="5"/>
        <v>770.19310277737247</v>
      </c>
      <c r="AB21">
        <f t="shared" si="6"/>
        <v>8968.9187217277122</v>
      </c>
      <c r="AC21">
        <f t="shared" si="7"/>
        <v>1915.8908507223114</v>
      </c>
    </row>
    <row r="22" spans="1:33" x14ac:dyDescent="0.35">
      <c r="B22" t="s">
        <v>79</v>
      </c>
      <c r="C22">
        <v>64</v>
      </c>
      <c r="D22" t="s">
        <v>12</v>
      </c>
      <c r="E22">
        <f xml:space="preserve"> AVERAGE(41,41)</f>
        <v>41</v>
      </c>
      <c r="F22" t="s">
        <v>90</v>
      </c>
      <c r="G22">
        <f xml:space="preserve"> AVERAGE(45,47)</f>
        <v>46</v>
      </c>
      <c r="H22">
        <v>5</v>
      </c>
      <c r="I22">
        <v>4</v>
      </c>
      <c r="J22">
        <v>2037.6100000000001</v>
      </c>
      <c r="K22">
        <v>402.56</v>
      </c>
      <c r="L22">
        <v>1635.0500000000002</v>
      </c>
      <c r="M22">
        <v>859.58999999999992</v>
      </c>
      <c r="N22">
        <v>81.11</v>
      </c>
      <c r="O22">
        <v>778.4799999999999</v>
      </c>
      <c r="P22">
        <v>809.8</v>
      </c>
      <c r="Q22">
        <v>89.62</v>
      </c>
      <c r="R22">
        <v>720.18</v>
      </c>
      <c r="S22">
        <v>3707</v>
      </c>
      <c r="T22">
        <v>573.29</v>
      </c>
      <c r="U22">
        <v>3133.71</v>
      </c>
      <c r="V22">
        <f t="shared" si="0"/>
        <v>1669.3899999999999</v>
      </c>
      <c r="W22">
        <f t="shared" si="1"/>
        <v>170.73000000000002</v>
      </c>
      <c r="X22">
        <f t="shared" si="2"/>
        <v>0.42435</v>
      </c>
      <c r="Y22" s="4">
        <f t="shared" si="3"/>
        <v>11.782726522917402</v>
      </c>
      <c r="Z22">
        <f t="shared" si="4"/>
        <v>4917.4914575232697</v>
      </c>
      <c r="AA22">
        <f t="shared" si="5"/>
        <v>502.91622481442209</v>
      </c>
      <c r="AB22">
        <f t="shared" si="6"/>
        <v>6002.1503475904319</v>
      </c>
      <c r="AC22">
        <f t="shared" si="7"/>
        <v>1185.8135972664074</v>
      </c>
    </row>
    <row r="23" spans="1:33" x14ac:dyDescent="0.35">
      <c r="B23" t="s">
        <v>80</v>
      </c>
      <c r="C23">
        <v>65</v>
      </c>
      <c r="D23" t="s">
        <v>91</v>
      </c>
      <c r="E23">
        <f xml:space="preserve"> AVERAGE(42,43)</f>
        <v>42.5</v>
      </c>
      <c r="F23" t="s">
        <v>90</v>
      </c>
      <c r="G23">
        <f xml:space="preserve"> AVERAGE(45,47)</f>
        <v>46</v>
      </c>
      <c r="H23">
        <v>6</v>
      </c>
      <c r="I23">
        <v>4</v>
      </c>
      <c r="J23">
        <v>2869.6499999999996</v>
      </c>
      <c r="K23">
        <v>631.5</v>
      </c>
      <c r="L23">
        <v>2238.1499999999996</v>
      </c>
      <c r="M23">
        <v>1141.31</v>
      </c>
      <c r="N23">
        <v>119.67000000000002</v>
      </c>
      <c r="O23">
        <v>1021.6399999999999</v>
      </c>
      <c r="P23">
        <v>1049.98</v>
      </c>
      <c r="Q23">
        <v>151.81</v>
      </c>
      <c r="R23">
        <v>898.17</v>
      </c>
      <c r="S23">
        <v>5060.9399999999996</v>
      </c>
      <c r="T23">
        <v>902.98</v>
      </c>
      <c r="U23">
        <v>4157.9599999999991</v>
      </c>
      <c r="V23">
        <f t="shared" si="0"/>
        <v>2191.29</v>
      </c>
      <c r="W23">
        <f t="shared" si="1"/>
        <v>271.48</v>
      </c>
      <c r="X23">
        <f t="shared" si="2"/>
        <v>0.43987500000000002</v>
      </c>
      <c r="Y23" s="4">
        <f t="shared" si="3"/>
        <v>13.640238704177323</v>
      </c>
      <c r="Z23">
        <f t="shared" si="4"/>
        <v>7472.4296675191808</v>
      </c>
      <c r="AA23">
        <f t="shared" si="5"/>
        <v>925.76300085251501</v>
      </c>
      <c r="AB23">
        <f t="shared" si="6"/>
        <v>9785.6777493606114</v>
      </c>
      <c r="AC23">
        <f t="shared" si="7"/>
        <v>2153.4526854219948</v>
      </c>
    </row>
    <row r="24" spans="1:33" x14ac:dyDescent="0.35">
      <c r="Y24" s="4"/>
    </row>
    <row r="25" spans="1:33" x14ac:dyDescent="0.35">
      <c r="A25" s="1">
        <v>45532</v>
      </c>
      <c r="B25" t="s">
        <v>5</v>
      </c>
      <c r="C25">
        <v>68</v>
      </c>
      <c r="D25" t="s">
        <v>106</v>
      </c>
      <c r="E25">
        <f xml:space="preserve"> AVERAGE(36,39)</f>
        <v>37.5</v>
      </c>
      <c r="F25" t="s">
        <v>107</v>
      </c>
      <c r="G25">
        <f xml:space="preserve"> AVERAGE(46,42)</f>
        <v>44</v>
      </c>
      <c r="H25">
        <v>6</v>
      </c>
      <c r="I25">
        <v>4</v>
      </c>
      <c r="J25">
        <v>3556.49</v>
      </c>
      <c r="K25">
        <v>712.31</v>
      </c>
      <c r="L25">
        <v>2844.18</v>
      </c>
      <c r="M25">
        <v>1434.92</v>
      </c>
      <c r="N25">
        <v>174.28</v>
      </c>
      <c r="O25">
        <v>1260.6400000000001</v>
      </c>
      <c r="P25">
        <v>1138.02</v>
      </c>
      <c r="Q25">
        <v>143.28</v>
      </c>
      <c r="R25">
        <v>994.74</v>
      </c>
      <c r="S25">
        <v>6129.43</v>
      </c>
      <c r="T25">
        <v>1029.8699999999999</v>
      </c>
      <c r="U25">
        <v>5099.5599999999995</v>
      </c>
      <c r="V25">
        <f t="shared" si="0"/>
        <v>2572.94</v>
      </c>
      <c r="W25">
        <f t="shared" si="1"/>
        <v>317.56</v>
      </c>
      <c r="X25">
        <f t="shared" si="2"/>
        <v>0.37125000000000002</v>
      </c>
      <c r="Y25" s="4">
        <f t="shared" si="3"/>
        <v>16.161616161616159</v>
      </c>
      <c r="Z25">
        <f t="shared" si="4"/>
        <v>10395.71717171717</v>
      </c>
      <c r="AA25">
        <f t="shared" si="5"/>
        <v>1283.0707070707069</v>
      </c>
      <c r="AB25">
        <f t="shared" si="6"/>
        <v>14369.656565656562</v>
      </c>
      <c r="AC25">
        <f t="shared" si="7"/>
        <v>2878.0202020202014</v>
      </c>
      <c r="AD25">
        <f xml:space="preserve"> AVERAGE(Z25:Z28)</f>
        <v>7955.6893002303077</v>
      </c>
      <c r="AE25">
        <f xml:space="preserve"> AVERAGE(AA25:AA28)</f>
        <v>954.41504975506723</v>
      </c>
      <c r="AF25">
        <f xml:space="preserve"> AVERAGE(AB25:AB28)</f>
        <v>11167.290111789114</v>
      </c>
      <c r="AG25">
        <f xml:space="preserve"> AVERAGE(AC25:AC28)</f>
        <v>2266.732424895275</v>
      </c>
    </row>
    <row r="26" spans="1:33" x14ac:dyDescent="0.35">
      <c r="B26" t="s">
        <v>78</v>
      </c>
      <c r="C26">
        <v>60</v>
      </c>
      <c r="D26" t="s">
        <v>112</v>
      </c>
      <c r="E26">
        <f xml:space="preserve"> AVERAGE(40,42)</f>
        <v>41</v>
      </c>
      <c r="F26" t="s">
        <v>113</v>
      </c>
      <c r="G26">
        <f xml:space="preserve"> AVERAGE(45,42)</f>
        <v>43.5</v>
      </c>
      <c r="H26">
        <v>6</v>
      </c>
      <c r="I26">
        <v>4</v>
      </c>
      <c r="J26">
        <v>2649.41</v>
      </c>
      <c r="K26">
        <v>523.33999999999992</v>
      </c>
      <c r="L26">
        <v>2126.0699999999997</v>
      </c>
      <c r="M26">
        <v>914.6</v>
      </c>
      <c r="N26">
        <v>100.94</v>
      </c>
      <c r="O26">
        <v>813.66000000000008</v>
      </c>
      <c r="P26">
        <v>699.06999999999994</v>
      </c>
      <c r="Q26">
        <v>87.329999999999984</v>
      </c>
      <c r="R26">
        <v>611.74</v>
      </c>
      <c r="S26">
        <v>4263.08</v>
      </c>
      <c r="T26">
        <v>711.6099999999999</v>
      </c>
      <c r="U26">
        <v>3551.4699999999993</v>
      </c>
      <c r="V26">
        <f t="shared" si="0"/>
        <v>1613.67</v>
      </c>
      <c r="W26">
        <f t="shared" si="1"/>
        <v>188.26999999999998</v>
      </c>
      <c r="X26">
        <f t="shared" si="2"/>
        <v>0.40128750000000002</v>
      </c>
      <c r="Y26" s="4">
        <f t="shared" si="3"/>
        <v>14.951873656667601</v>
      </c>
      <c r="Z26">
        <f t="shared" si="4"/>
        <v>6031.8474908887019</v>
      </c>
      <c r="AA26">
        <f t="shared" si="5"/>
        <v>703.74731333520219</v>
      </c>
      <c r="AB26">
        <f t="shared" si="6"/>
        <v>9903.4108961779275</v>
      </c>
      <c r="AC26">
        <f t="shared" si="7"/>
        <v>1956.2283898701053</v>
      </c>
    </row>
    <row r="27" spans="1:33" x14ac:dyDescent="0.35">
      <c r="B27" t="s">
        <v>79</v>
      </c>
      <c r="C27">
        <v>69</v>
      </c>
      <c r="D27" t="s">
        <v>114</v>
      </c>
      <c r="E27">
        <f xml:space="preserve"> AVERAGE(44,45)</f>
        <v>44.5</v>
      </c>
      <c r="F27" t="s">
        <v>116</v>
      </c>
      <c r="G27">
        <f xml:space="preserve"> AVERAGE(45,46)</f>
        <v>45.5</v>
      </c>
      <c r="H27">
        <v>6</v>
      </c>
      <c r="I27">
        <v>4</v>
      </c>
      <c r="J27">
        <v>2417.63</v>
      </c>
      <c r="K27">
        <v>502.05000000000007</v>
      </c>
      <c r="L27">
        <v>1915.58</v>
      </c>
      <c r="M27">
        <v>1198.1599999999999</v>
      </c>
      <c r="N27">
        <v>139.49</v>
      </c>
      <c r="O27">
        <v>1058.6699999999998</v>
      </c>
      <c r="P27">
        <v>722.7</v>
      </c>
      <c r="Q27">
        <v>91.47</v>
      </c>
      <c r="R27">
        <v>631.23</v>
      </c>
      <c r="S27">
        <v>4338.49</v>
      </c>
      <c r="T27">
        <v>733.0100000000001</v>
      </c>
      <c r="U27">
        <v>3605.48</v>
      </c>
      <c r="V27">
        <f t="shared" si="0"/>
        <v>1920.86</v>
      </c>
      <c r="W27">
        <f t="shared" si="1"/>
        <v>230.96</v>
      </c>
      <c r="X27">
        <f t="shared" si="2"/>
        <v>0.45556875000000002</v>
      </c>
      <c r="Y27" s="4">
        <f t="shared" si="3"/>
        <v>13.170350249001935</v>
      </c>
      <c r="Z27">
        <f t="shared" si="4"/>
        <v>6324.5997448244634</v>
      </c>
      <c r="AA27">
        <f t="shared" si="5"/>
        <v>760.45602337737171</v>
      </c>
      <c r="AB27">
        <f t="shared" si="6"/>
        <v>7960.2584681236376</v>
      </c>
      <c r="AC27">
        <f t="shared" si="7"/>
        <v>1653.0435856278555</v>
      </c>
    </row>
    <row r="28" spans="1:33" x14ac:dyDescent="0.35">
      <c r="B28" t="s">
        <v>80</v>
      </c>
      <c r="C28">
        <v>68</v>
      </c>
      <c r="D28" t="s">
        <v>115</v>
      </c>
      <c r="E28">
        <f xml:space="preserve"> AVERAGE(41,46)</f>
        <v>43.5</v>
      </c>
      <c r="F28" t="s">
        <v>114</v>
      </c>
      <c r="G28">
        <f xml:space="preserve"> AVERAGE(45,44)</f>
        <v>44.5</v>
      </c>
      <c r="H28">
        <v>6</v>
      </c>
      <c r="I28">
        <v>4</v>
      </c>
      <c r="J28">
        <v>3610.9</v>
      </c>
      <c r="K28">
        <v>749.03</v>
      </c>
      <c r="L28">
        <v>2861.87</v>
      </c>
      <c r="M28">
        <v>1575.04</v>
      </c>
      <c r="N28">
        <v>174.07</v>
      </c>
      <c r="O28">
        <v>1400.97</v>
      </c>
      <c r="P28">
        <v>1058.7199999999998</v>
      </c>
      <c r="Q28">
        <v>136.73000000000002</v>
      </c>
      <c r="R28">
        <v>921.98999999999978</v>
      </c>
      <c r="S28">
        <v>6244.66</v>
      </c>
      <c r="T28">
        <v>1059.83</v>
      </c>
      <c r="U28">
        <v>5184.83</v>
      </c>
      <c r="V28">
        <f xml:space="preserve"> M28+P28</f>
        <v>2633.7599999999998</v>
      </c>
      <c r="W28">
        <f t="shared" si="1"/>
        <v>310.8</v>
      </c>
      <c r="X28">
        <f t="shared" si="2"/>
        <v>0.43554375000000001</v>
      </c>
      <c r="Y28" s="4">
        <f t="shared" si="3"/>
        <v>13.775883593783632</v>
      </c>
      <c r="Z28">
        <f t="shared" si="4"/>
        <v>9070.5927934908941</v>
      </c>
      <c r="AA28">
        <f t="shared" si="5"/>
        <v>1070.3861552369883</v>
      </c>
      <c r="AB28">
        <f t="shared" si="6"/>
        <v>12435.834517198329</v>
      </c>
      <c r="AC28">
        <f t="shared" si="7"/>
        <v>2579.6375220629384</v>
      </c>
    </row>
    <row r="34" spans="8:20" x14ac:dyDescent="0.35">
      <c r="J34" t="s">
        <v>150</v>
      </c>
    </row>
    <row r="36" spans="8:20" ht="15" thickBot="1" x14ac:dyDescent="0.4"/>
    <row r="37" spans="8:20" x14ac:dyDescent="0.35">
      <c r="H37" s="6" t="s">
        <v>151</v>
      </c>
      <c r="I37" s="7"/>
      <c r="J37" s="7"/>
      <c r="K37" s="7"/>
      <c r="L37" s="7"/>
      <c r="M37" s="7"/>
      <c r="N37" s="7"/>
      <c r="O37" s="7"/>
      <c r="P37" s="7"/>
      <c r="Q37" s="7"/>
      <c r="R37" s="7"/>
      <c r="S37" s="7"/>
      <c r="T37" s="8"/>
    </row>
    <row r="38" spans="8:20" x14ac:dyDescent="0.35">
      <c r="H38" s="9"/>
      <c r="I38" s="10"/>
      <c r="J38" s="10"/>
      <c r="K38" s="10"/>
      <c r="L38" s="10"/>
      <c r="M38" s="10"/>
      <c r="N38" s="10"/>
      <c r="O38" s="10"/>
      <c r="P38" s="10"/>
      <c r="Q38" s="10"/>
      <c r="R38" s="10"/>
      <c r="S38" s="10"/>
      <c r="T38" s="11"/>
    </row>
    <row r="39" spans="8:20" ht="15" thickBot="1" x14ac:dyDescent="0.4">
      <c r="H39" s="12"/>
      <c r="I39" s="13"/>
      <c r="J39" s="13"/>
      <c r="K39" s="13"/>
      <c r="L39" s="13"/>
      <c r="M39" s="13"/>
      <c r="N39" s="13"/>
      <c r="O39" s="13"/>
      <c r="P39" s="13"/>
      <c r="Q39" s="13"/>
      <c r="R39" s="13"/>
      <c r="S39" s="13"/>
      <c r="T39" s="14"/>
    </row>
  </sheetData>
  <mergeCells count="1">
    <mergeCell ref="H37:T39"/>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0FA140-D68F-443C-B591-E8CD82451C36}">
  <dimension ref="A1:F19"/>
  <sheetViews>
    <sheetView tabSelected="1" workbookViewId="0">
      <selection activeCell="D20" sqref="D20"/>
    </sheetView>
  </sheetViews>
  <sheetFormatPr defaultRowHeight="14.5" x14ac:dyDescent="0.35"/>
  <cols>
    <col min="1" max="1" width="11.7265625" customWidth="1"/>
    <col min="7" max="8" width="9.36328125" bestFit="1" customWidth="1"/>
  </cols>
  <sheetData>
    <row r="1" spans="1:6" x14ac:dyDescent="0.35">
      <c r="A1" t="s">
        <v>22</v>
      </c>
      <c r="B1" t="s">
        <v>138</v>
      </c>
      <c r="C1" t="s">
        <v>139</v>
      </c>
      <c r="D1" t="s">
        <v>152</v>
      </c>
      <c r="E1" t="s">
        <v>146</v>
      </c>
      <c r="F1" t="s">
        <v>139</v>
      </c>
    </row>
    <row r="2" spans="1:6" x14ac:dyDescent="0.35">
      <c r="A2" s="1">
        <v>45460</v>
      </c>
      <c r="B2">
        <v>576.87594380339067</v>
      </c>
      <c r="C2">
        <v>57.709644472945534</v>
      </c>
      <c r="D2">
        <f xml:space="preserve"> B2-C2</f>
        <v>519.1662993304451</v>
      </c>
      <c r="E2">
        <v>125.44641514879721</v>
      </c>
      <c r="F2">
        <v>21.943360321861707</v>
      </c>
    </row>
    <row r="3" spans="1:6" x14ac:dyDescent="0.35">
      <c r="A3" s="1">
        <v>45482</v>
      </c>
      <c r="B3">
        <v>2405.0388687629961</v>
      </c>
      <c r="C3">
        <v>301.49434717250489</v>
      </c>
      <c r="D3">
        <f t="shared" ref="D3:D6" si="0" xml:space="preserve"> B3-C3</f>
        <v>2103.5445215904911</v>
      </c>
      <c r="E3">
        <v>1052.2294026557263</v>
      </c>
      <c r="F3">
        <v>213.47727577460446</v>
      </c>
    </row>
    <row r="4" spans="1:6" x14ac:dyDescent="0.35">
      <c r="A4" s="1">
        <v>45498</v>
      </c>
      <c r="B4">
        <v>4592.4405056774349</v>
      </c>
      <c r="C4">
        <v>522.83517611276363</v>
      </c>
      <c r="D4">
        <f t="shared" si="0"/>
        <v>4069.6053295646711</v>
      </c>
      <c r="E4">
        <v>4645.6672073387263</v>
      </c>
      <c r="F4">
        <v>1089.831926743605</v>
      </c>
    </row>
    <row r="5" spans="1:6" x14ac:dyDescent="0.35">
      <c r="A5" s="1">
        <v>45510</v>
      </c>
      <c r="B5">
        <v>6286.2873912911937</v>
      </c>
      <c r="C5">
        <v>704.90582989141785</v>
      </c>
      <c r="D5">
        <f t="shared" si="0"/>
        <v>5581.3815613997758</v>
      </c>
      <c r="E5">
        <v>8151.6597597353375</v>
      </c>
      <c r="F5">
        <v>1740.8306918755684</v>
      </c>
    </row>
    <row r="6" spans="1:6" x14ac:dyDescent="0.35">
      <c r="A6" s="1">
        <v>45532</v>
      </c>
      <c r="B6">
        <v>7955.6893002303077</v>
      </c>
      <c r="C6">
        <v>954.41504975506723</v>
      </c>
      <c r="D6">
        <f t="shared" si="0"/>
        <v>7001.2742504752405</v>
      </c>
      <c r="E6">
        <v>11167.290111789114</v>
      </c>
      <c r="F6">
        <v>2266.732424895275</v>
      </c>
    </row>
    <row r="13" spans="1:6" x14ac:dyDescent="0.35">
      <c r="A13" t="s">
        <v>22</v>
      </c>
      <c r="B13" t="s">
        <v>140</v>
      </c>
      <c r="C13" t="s">
        <v>141</v>
      </c>
      <c r="D13" t="s">
        <v>153</v>
      </c>
      <c r="E13" t="s">
        <v>147</v>
      </c>
      <c r="F13" t="s">
        <v>148</v>
      </c>
    </row>
    <row r="14" spans="1:6" x14ac:dyDescent="0.35">
      <c r="A14" s="1">
        <v>45413</v>
      </c>
      <c r="B14">
        <v>0</v>
      </c>
      <c r="C14">
        <v>0</v>
      </c>
      <c r="E14">
        <v>0</v>
      </c>
      <c r="F14">
        <v>0</v>
      </c>
    </row>
    <row r="15" spans="1:6" x14ac:dyDescent="0.35">
      <c r="A15" s="1">
        <v>45460</v>
      </c>
      <c r="B15" s="4">
        <f xml:space="preserve"> B2/1000</f>
        <v>0.57687594380339069</v>
      </c>
      <c r="C15" s="4">
        <f xml:space="preserve"> C2/1000</f>
        <v>5.7709644472945534E-2</v>
      </c>
      <c r="D15">
        <f>D2/1000</f>
        <v>0.51916629933044511</v>
      </c>
      <c r="E15" s="4">
        <f xml:space="preserve"> E2/1000</f>
        <v>0.1254464151487972</v>
      </c>
      <c r="F15" s="4">
        <f xml:space="preserve"> F2/1000</f>
        <v>2.1943360321861706E-2</v>
      </c>
    </row>
    <row r="16" spans="1:6" x14ac:dyDescent="0.35">
      <c r="A16" s="1">
        <v>45482</v>
      </c>
      <c r="B16" s="4">
        <f t="shared" ref="B16:C19" si="1" xml:space="preserve"> B3/1000</f>
        <v>2.405038868762996</v>
      </c>
      <c r="C16" s="4">
        <f t="shared" si="1"/>
        <v>0.3014943471725049</v>
      </c>
      <c r="D16" s="4">
        <f>B16-C16</f>
        <v>2.1035445215904911</v>
      </c>
      <c r="E16" s="4">
        <f t="shared" ref="E16:F19" si="2" xml:space="preserve"> E3/1000</f>
        <v>1.0522294026557264</v>
      </c>
      <c r="F16" s="4">
        <f t="shared" si="2"/>
        <v>0.21347727577460446</v>
      </c>
    </row>
    <row r="17" spans="1:6" x14ac:dyDescent="0.35">
      <c r="A17" s="1">
        <v>45498</v>
      </c>
      <c r="B17" s="4">
        <f t="shared" si="1"/>
        <v>4.5924405056774349</v>
      </c>
      <c r="C17" s="4">
        <f t="shared" si="1"/>
        <v>0.52283517611276364</v>
      </c>
      <c r="D17" s="4">
        <f>B17-C17</f>
        <v>4.0696053295646717</v>
      </c>
      <c r="E17" s="4">
        <f t="shared" si="2"/>
        <v>4.6456672073387262</v>
      </c>
      <c r="F17" s="4">
        <f t="shared" si="2"/>
        <v>1.089831926743605</v>
      </c>
    </row>
    <row r="18" spans="1:6" x14ac:dyDescent="0.35">
      <c r="A18" s="1">
        <v>45510</v>
      </c>
      <c r="B18" s="4">
        <f t="shared" si="1"/>
        <v>6.2862873912911938</v>
      </c>
      <c r="C18" s="4">
        <f t="shared" si="1"/>
        <v>0.70490582989141781</v>
      </c>
      <c r="D18" s="4">
        <f t="shared" ref="D18:D19" si="3">B18-C18</f>
        <v>5.5813815613997759</v>
      </c>
      <c r="E18" s="4">
        <f t="shared" si="2"/>
        <v>8.1516597597353382</v>
      </c>
      <c r="F18" s="4">
        <f t="shared" si="2"/>
        <v>1.7408306918755685</v>
      </c>
    </row>
    <row r="19" spans="1:6" x14ac:dyDescent="0.35">
      <c r="A19" s="1">
        <v>45532</v>
      </c>
      <c r="B19" s="4">
        <f t="shared" si="1"/>
        <v>7.9556893002303077</v>
      </c>
      <c r="C19" s="4">
        <f t="shared" si="1"/>
        <v>0.95441504975506719</v>
      </c>
      <c r="D19" s="4">
        <f t="shared" si="3"/>
        <v>7.001274250475241</v>
      </c>
      <c r="E19" s="4">
        <f t="shared" si="2"/>
        <v>11.167290111789114</v>
      </c>
      <c r="F19" s="4">
        <f t="shared" si="2"/>
        <v>2.2667324248952752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processed</vt:lpstr>
      <vt:lpstr>plots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Sonia Akter</dc:creator>
  <cp:lastModifiedBy>Sonia Akter</cp:lastModifiedBy>
  <dcterms:created xsi:type="dcterms:W3CDTF">2024-06-17T13:02:28Z</dcterms:created>
  <dcterms:modified xsi:type="dcterms:W3CDTF">2025-11-28T13:34:39Z</dcterms:modified>
</cp:coreProperties>
</file>