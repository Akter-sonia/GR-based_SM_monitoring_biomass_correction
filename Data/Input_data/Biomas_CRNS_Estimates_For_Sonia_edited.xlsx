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Input_data\"/>
    </mc:Choice>
  </mc:AlternateContent>
  <xr:revisionPtr revIDLastSave="0" documentId="13_ncr:1_{D3523302-3DD9-4263-86AD-770CA7578E16}" xr6:coauthVersionLast="47" xr6:coauthVersionMax="47" xr10:uidLastSave="{00000000-0000-0000-0000-000000000000}"/>
  <bookViews>
    <workbookView xWindow="28680" yWindow="-120" windowWidth="29040" windowHeight="17520" xr2:uid="{3CF7053F-CE11-482C-A416-3C2CE17F0BA0}"/>
  </bookViews>
  <sheets>
    <sheet name="Biomass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" l="1"/>
  <c r="D145" i="1"/>
  <c r="D142" i="1"/>
  <c r="D143" i="1"/>
  <c r="D144" i="1"/>
  <c r="D146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45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168" i="1"/>
  <c r="E169" i="1"/>
  <c r="E170" i="1"/>
  <c r="E171" i="1"/>
  <c r="E172" i="1"/>
  <c r="E173" i="1"/>
  <c r="E174" i="1"/>
  <c r="E175" i="1"/>
  <c r="E176" i="1"/>
  <c r="E177" i="1"/>
  <c r="E178" i="1"/>
  <c r="D178" i="1"/>
  <c r="D177" i="1"/>
  <c r="D176" i="1"/>
  <c r="D175" i="1"/>
  <c r="D174" i="1"/>
  <c r="D173" i="1"/>
  <c r="D172" i="1"/>
  <c r="D170" i="1"/>
  <c r="D169" i="1"/>
  <c r="D168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D166" i="1"/>
  <c r="D165" i="1"/>
  <c r="D164" i="1"/>
  <c r="D163" i="1"/>
  <c r="D162" i="1"/>
  <c r="D161" i="1"/>
  <c r="D160" i="1"/>
  <c r="D159" i="1"/>
  <c r="D158" i="1"/>
  <c r="D157" i="1"/>
  <c r="D155" i="1"/>
  <c r="D154" i="1"/>
  <c r="E149" i="1"/>
  <c r="E150" i="1"/>
  <c r="D150" i="1"/>
  <c r="D149" i="1"/>
  <c r="E144" i="1"/>
  <c r="E145" i="1"/>
  <c r="E147" i="1"/>
  <c r="E148" i="1"/>
  <c r="D147" i="1"/>
  <c r="E138" i="1"/>
  <c r="E139" i="1"/>
  <c r="E140" i="1"/>
  <c r="E141" i="1"/>
  <c r="D141" i="1"/>
  <c r="D140" i="1"/>
  <c r="D139" i="1"/>
  <c r="D138" i="1"/>
  <c r="E131" i="1"/>
  <c r="E132" i="1"/>
  <c r="E133" i="1"/>
  <c r="E134" i="1"/>
  <c r="E135" i="1"/>
  <c r="E136" i="1"/>
  <c r="E137" i="1"/>
  <c r="D136" i="1"/>
  <c r="D135" i="1"/>
  <c r="D134" i="1"/>
  <c r="D133" i="1"/>
  <c r="D132" i="1"/>
  <c r="D131" i="1"/>
  <c r="D137" i="1"/>
  <c r="E129" i="1"/>
  <c r="D129" i="1"/>
  <c r="E125" i="1"/>
  <c r="E126" i="1"/>
  <c r="E127" i="1"/>
  <c r="E128" i="1"/>
  <c r="D128" i="1"/>
  <c r="D127" i="1"/>
  <c r="D126" i="1"/>
  <c r="D125" i="1"/>
  <c r="D123" i="1"/>
  <c r="D122" i="1"/>
  <c r="E117" i="1"/>
  <c r="E118" i="1"/>
  <c r="E119" i="1"/>
  <c r="E120" i="1"/>
  <c r="E121" i="1"/>
  <c r="E122" i="1"/>
  <c r="D121" i="1"/>
  <c r="D120" i="1"/>
  <c r="D119" i="1"/>
  <c r="D118" i="1"/>
  <c r="D117" i="1"/>
  <c r="D116" i="1"/>
  <c r="D114" i="1"/>
  <c r="D115" i="1"/>
  <c r="D113" i="1"/>
  <c r="D112" i="1"/>
  <c r="D111" i="1"/>
  <c r="E113" i="1"/>
  <c r="E114" i="1"/>
  <c r="E110" i="1"/>
  <c r="D110" i="1"/>
  <c r="D109" i="1"/>
  <c r="E109" i="1"/>
  <c r="D108" i="1"/>
  <c r="E108" i="1"/>
  <c r="E106" i="1"/>
  <c r="E107" i="1"/>
  <c r="D106" i="1"/>
  <c r="D10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6" i="1"/>
  <c r="D75" i="1"/>
  <c r="D74" i="1"/>
  <c r="D73" i="1"/>
  <c r="D72" i="1"/>
  <c r="D71" i="1"/>
  <c r="D68" i="1"/>
  <c r="D69" i="1"/>
  <c r="D70" i="1"/>
  <c r="D171" i="1"/>
  <c r="E167" i="1"/>
  <c r="D167" i="1"/>
  <c r="D156" i="1"/>
  <c r="E153" i="1"/>
  <c r="D153" i="1"/>
  <c r="E151" i="1"/>
  <c r="D151" i="1"/>
  <c r="D148" i="1"/>
  <c r="E130" i="1"/>
  <c r="D130" i="1"/>
  <c r="D105" i="1"/>
  <c r="D124" i="1"/>
  <c r="D77" i="1"/>
  <c r="D67" i="1"/>
  <c r="E67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D44" i="1"/>
  <c r="E44" i="1" s="1"/>
  <c r="E142" i="1" l="1"/>
  <c r="E143" i="1"/>
  <c r="E146" i="1"/>
  <c r="E152" i="1"/>
  <c r="E123" i="1"/>
  <c r="E115" i="1"/>
  <c r="E112" i="1"/>
  <c r="E111" i="1"/>
  <c r="E124" i="1"/>
  <c r="E116" i="1"/>
</calcChain>
</file>

<file path=xl/sharedStrings.xml><?xml version="1.0" encoding="utf-8"?>
<sst xmlns="http://schemas.openxmlformats.org/spreadsheetml/2006/main" count="417" uniqueCount="417">
  <si>
    <t>DateTime_utc</t>
  </si>
  <si>
    <t>2023-02-01 00:00:00+00:00</t>
  </si>
  <si>
    <t>2023-02-02 00:00:00+00:00</t>
  </si>
  <si>
    <t>2023-02-03 00:00:00+00:00</t>
  </si>
  <si>
    <t>2023-02-04 00:00:00+00:00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</si>
  <si>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</si>
  <si>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</si>
  <si>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</si>
  <si>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</si>
  <si>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</si>
  <si>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</si>
  <si>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</si>
  <si>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</si>
  <si>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</si>
  <si>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</si>
  <si>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</si>
  <si>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</si>
  <si>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</si>
  <si>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</si>
  <si>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</si>
  <si>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</si>
  <si>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</si>
  <si>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</si>
  <si>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</si>
  <si>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</si>
  <si>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</si>
  <si>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</si>
  <si>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</si>
  <si>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</si>
  <si>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</si>
  <si>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</si>
  <si>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</si>
  <si>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</si>
  <si>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</si>
  <si>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</si>
  <si>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</si>
  <si>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</si>
  <si>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</si>
  <si>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</si>
  <si>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</si>
  <si>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</si>
  <si>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</si>
  <si>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</si>
  <si>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</si>
  <si>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</si>
  <si>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</si>
  <si>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</si>
  <si>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</si>
  <si>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</si>
  <si>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</si>
  <si>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</si>
  <si>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</si>
  <si>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</si>
  <si>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</si>
  <si>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</si>
  <si>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</si>
  <si>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</si>
  <si>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</si>
  <si>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</si>
  <si>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</si>
  <si>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</si>
  <si>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</si>
  <si>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</si>
  <si>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</si>
  <si>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</si>
  <si>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</si>
  <si>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</si>
  <si>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</si>
  <si>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</si>
  <si>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</si>
  <si>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</si>
  <si>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</si>
  <si>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</si>
  <si>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</si>
  <si>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</si>
  <si>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</si>
  <si>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</si>
  <si>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</si>
  <si>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</si>
  <si>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</si>
  <si>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</si>
  <si>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</si>
  <si>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</si>
  <si>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</si>
  <si>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</si>
  <si>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</si>
  <si>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</si>
  <si>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</si>
  <si>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</si>
  <si>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</si>
  <si>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</si>
  <si>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</si>
  <si>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</si>
  <si>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</si>
  <si>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</si>
  <si>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</si>
  <si>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</si>
  <si>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</si>
  <si>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</si>
  <si>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</si>
  <si>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</si>
  <si>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</si>
  <si>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</si>
  <si>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</si>
  <si>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</si>
  <si>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</si>
  <si>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</si>
  <si>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</si>
  <si>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</si>
  <si>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</si>
  <si>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</si>
  <si>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</si>
  <si>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</si>
  <si>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</si>
  <si>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</si>
  <si>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</si>
  <si>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</si>
  <si>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</si>
  <si>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</si>
  <si>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</si>
  <si>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</si>
  <si>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</si>
  <si>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</si>
  <si>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</si>
  <si>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</si>
  <si>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</si>
  <si>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</si>
  <si>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</si>
  <si>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</si>
  <si>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</si>
  <si>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</si>
  <si>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</si>
  <si>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</si>
  <si>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</si>
  <si>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</si>
  <si>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</si>
  <si>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</si>
  <si>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</si>
  <si>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</si>
  <si>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</si>
  <si>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</si>
  <si>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</si>
  <si>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</si>
  <si>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</si>
  <si>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</si>
  <si>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</si>
  <si>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</si>
  <si>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</si>
  <si>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</si>
  <si>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</si>
  <si>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</si>
  <si>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</si>
  <si>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</si>
  <si>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</si>
  <si>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</si>
  <si>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</si>
  <si>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</si>
  <si>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</si>
  <si>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</si>
  <si>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</si>
  <si>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</si>
  <si>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</si>
  <si>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</si>
  <si>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</si>
  <si>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</si>
  <si>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</si>
  <si>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</si>
  <si>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</si>
  <si>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</si>
  <si>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</si>
  <si>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</si>
  <si>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</si>
  <si>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</si>
  <si>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</si>
  <si>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</si>
  <si>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</si>
  <si>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</si>
  <si>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</si>
  <si>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</si>
  <si>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</si>
  <si>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</si>
  <si>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</si>
  <si>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</si>
  <si>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</si>
  <si>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</si>
  <si>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</si>
  <si>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</si>
  <si>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</si>
  <si>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</si>
  <si>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</si>
  <si>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</si>
  <si>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</si>
  <si>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</si>
  <si>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</si>
  <si>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</si>
  <si>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</si>
  <si>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</si>
  <si>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</si>
  <si>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</si>
  <si>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</si>
  <si>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</si>
  <si>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</si>
  <si>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</si>
  <si>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</si>
  <si>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</si>
  <si>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</si>
  <si>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</si>
  <si>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</si>
  <si>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</si>
  <si>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</si>
  <si>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</si>
  <si>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</si>
  <si>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</si>
  <si>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</si>
  <si>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</si>
  <si>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</si>
  <si>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</si>
  <si>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</si>
  <si>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</si>
  <si>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</si>
  <si>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</si>
  <si>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</si>
  <si>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</si>
  <si>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</si>
  <si>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</si>
  <si>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</si>
  <si>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</si>
  <si>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</si>
  <si>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</si>
  <si>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</si>
  <si>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</si>
  <si>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</si>
  <si>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</si>
  <si>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</si>
  <si>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</si>
  <si>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</si>
  <si>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</si>
  <si>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</si>
  <si>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</si>
  <si>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</si>
  <si>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</si>
  <si>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</si>
  <si>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</si>
  <si>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</si>
  <si>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</si>
  <si>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</si>
  <si>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</si>
  <si>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</si>
  <si>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</si>
  <si>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</si>
  <si>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</si>
  <si>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</si>
  <si>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</si>
  <si>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</si>
  <si>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</si>
  <si>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</si>
  <si>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</si>
  <si>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</si>
  <si>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</si>
  <si>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</si>
  <si>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</si>
  <si>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</si>
  <si>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</si>
  <si>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</si>
  <si>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</si>
  <si>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</si>
  <si>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</si>
  <si>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</si>
  <si>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</si>
  <si>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</si>
  <si>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</si>
  <si>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</si>
  <si>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</si>
  <si>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</si>
  <si>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</si>
  <si>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</si>
  <si>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</si>
  <si>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</si>
  <si>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</si>
  <si>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</si>
  <si>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</si>
  <si>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</si>
  <si>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</si>
  <si>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</si>
  <si>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</si>
  <si>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</si>
  <si>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</si>
  <si>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</si>
  <si>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</si>
  <si>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</si>
  <si>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</si>
  <si>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</si>
  <si>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</si>
  <si>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</si>
  <si>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</si>
  <si>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</si>
  <si>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</si>
  <si>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</si>
  <si>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</si>
  <si>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</si>
  <si>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</si>
  <si>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</si>
  <si>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</si>
  <si>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</si>
  <si>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</si>
  <si>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</si>
  <si>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</si>
  <si>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</si>
  <si>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</si>
  <si>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</si>
  <si>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</si>
  <si>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</si>
  <si>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</si>
  <si>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</si>
  <si>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</si>
  <si>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</si>
  <si>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</si>
  <si>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</si>
  <si>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</si>
  <si>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</si>
  <si>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</si>
  <si>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</si>
  <si>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</si>
  <si>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</si>
  <si>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</si>
  <si>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</si>
  <si>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</si>
  <si>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</si>
  <si>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</si>
  <si>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</si>
  <si>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</si>
  <si>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</si>
  <si>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</si>
  <si>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</si>
  <si>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</si>
  <si>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</si>
  <si>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</si>
  <si>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</si>
  <si>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</si>
  <si>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</si>
  <si>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</si>
  <si>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</si>
  <si>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</si>
  <si>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</si>
  <si>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</si>
  <si>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</si>
  <si>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</si>
  <si>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</si>
  <si>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</si>
  <si>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</si>
  <si>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</si>
  <si>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</si>
  <si>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</si>
  <si>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</si>
  <si>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</si>
  <si>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</si>
  <si>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</si>
  <si>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</si>
  <si>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</si>
  <si>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</si>
  <si>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</si>
  <si>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</si>
  <si>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</si>
  <si>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</si>
  <si>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</si>
  <si>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</si>
  <si>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</si>
  <si>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</si>
  <si>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</si>
  <si>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</si>
  <si>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</si>
  <si>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</si>
  <si>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</si>
  <si>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</si>
  <si>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</si>
  <si>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</si>
  <si>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</si>
  <si>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</si>
  <si>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</si>
  <si>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</si>
  <si>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</si>
  <si>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</si>
  <si>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</si>
  <si>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</si>
  <si>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</si>
  <si>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</si>
  <si>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</si>
  <si>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</si>
  <si>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</si>
  <si>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</si>
  <si>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</si>
  <si>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</si>
  <si>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</si>
  <si>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</si>
  <si>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</si>
  <si>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</si>
  <si>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</si>
  <si>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2024-03-03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</si>
  <si>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</si>
  <si>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</si>
  <si>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</si>
  <si>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</si>
  <si>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</si>
  <si>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2024-03-09 00:00:00+00:00</t>
  </si>
  <si>
    <t>2024-03-10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</si>
  <si>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</si>
  <si>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</si>
  <si>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</si>
  <si>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</si>
  <si>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</si>
  <si>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</si>
  <si>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</si>
  <si>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Biomass_measured</t>
  </si>
  <si>
    <t>Biomass_Predicted_CRNS</t>
  </si>
  <si>
    <t>water content</t>
  </si>
  <si>
    <t>Total biomass</t>
  </si>
  <si>
    <t>CRNS_pred_cor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</si>
</sst>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Above-ground dry biomass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Biomasstest!$C$1</c:f>
              <c:strCache>
                <c:ptCount val="1"/>
                <c:pt idx="0">
                  <c:v>Biomass_Predicted_CRNS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Biomasstest!$A$2:$A$610</c:f>
              <c:strCache>
                <c:ptCount val="411"/>
                <c:pt idx="0">
                  <c:v>2023-02-01 00:00:00+00:00</c:v>
                </c:pt>
                <c:pt idx="1">
                  <c:v>2023-02-02 00:00:00+00:00</c:v>
                </c:pt>
                <c:pt idx="2">
                  <c:v>2023-02-03 00:00:00+00:00</c:v>
                </c:pt>
                <c:pt idx="3">
                  <c:v>2023-02-04 00:00:00+00:00</c:v>
                </c:pt>
                <c:pt idx="4">
                  <c:v>2023-02-05 00:00:00+00:00</c:v>
                </c:pt>
                <c:pt idx="5">
                  <c:v>2023-02-06 00:00:00+00:00</c:v>
                </c:pt>
                <c:pt idx="6">
                  <c:v>2023-02-07 00:00:00+00:00</c:v>
                </c:pt>
                <c:pt idx="7">
                  <c:v>2023-02-08 00:00:00+00:00</c:v>
                </c:pt>
                <c:pt idx="8">
                  <c:v>2023-02-09 00:00:00+00:00</c:v>
                </c:pt>
                <c:pt idx="9">
                  <c:v>2023-02-10 00:00:00+00:00</c:v>
                </c:pt>
                <c:pt idx="10">
                  <c:v>2023-02-11 00:00:00+00:00</c:v>
                </c:pt>
                <c:pt idx="11">
                  <c:v>2023-02-12 00:00:00+00:00</c:v>
                </c:pt>
                <c:pt idx="12">
                  <c:v>2023-02-13 00:00:00+00:00</c:v>
                </c:pt>
                <c:pt idx="13">
                  <c:v>2023-02-14 00:00:00+00:00</c:v>
                </c:pt>
                <c:pt idx="14">
                  <c:v>2023-02-15 00:00:00+00:00</c:v>
                </c:pt>
                <c:pt idx="15">
                  <c:v>2023-02-16 00:00:00+00:00</c:v>
                </c:pt>
                <c:pt idx="16">
                  <c:v>2023-02-17 00:00:00+00:00</c:v>
                </c:pt>
                <c:pt idx="17">
                  <c:v>2023-02-18 00:00:00+00:00</c:v>
                </c:pt>
                <c:pt idx="18">
                  <c:v>2023-02-19 00:00:00+00:00</c:v>
                </c:pt>
                <c:pt idx="19">
                  <c:v>2023-02-20 00:00:00+00:00</c:v>
                </c:pt>
                <c:pt idx="20">
                  <c:v>2023-02-21 00:00:00+00:00</c:v>
                </c:pt>
                <c:pt idx="21">
                  <c:v>2023-02-22 00:00:00+00:00</c:v>
                </c:pt>
                <c:pt idx="22">
                  <c:v>2023-02-23 00:00:00+00:00</c:v>
                </c:pt>
                <c:pt idx="23">
                  <c:v>2023-02-24 00:00:00+00:00</c:v>
                </c:pt>
                <c:pt idx="24">
                  <c:v>2023-02-25 00:00:00+00:00</c:v>
                </c:pt>
                <c:pt idx="25">
                  <c:v>2023-02-26 00:00:00+00:00</c:v>
                </c:pt>
                <c:pt idx="26">
                  <c:v>2023-02-27 00:00:00+00:00</c:v>
                </c:pt>
                <c:pt idx="27">
                  <c:v>2023-02-28 00:00:00+00:00</c:v>
                </c:pt>
                <c:pt idx="28">
                  <c:v>2023-03-01 00:00:00+00:00</c:v>
                </c:pt>
                <c:pt idx="29">
                  <c:v>2023-03-02 00:00:00+00:00</c:v>
                </c:pt>
                <c:pt idx="30">
                  <c:v>2023-03-03 00:00:00+00:00</c:v>
                </c:pt>
                <c:pt idx="31">
                  <c:v>2023-03-04 00:00:00+00:00</c:v>
                </c:pt>
                <c:pt idx="32">
                  <c:v>2023-03-05 00:00:00+00:00</c:v>
                </c:pt>
                <c:pt idx="33">
                  <c:v>2023-03-06 00:00:00+00:00</c:v>
                </c:pt>
                <c:pt idx="34">
                  <c:v>2023-03-07 00:00:00+00:00</c:v>
                </c:pt>
                <c:pt idx="35">
                  <c:v>2023-03-08 00:00:00+00:00</c:v>
                </c:pt>
                <c:pt idx="36">
                  <c:v>2023-03-09 00:00:00+00:00</c:v>
                </c:pt>
                <c:pt idx="37">
                  <c:v>2023-03-10 00:00:00+00:00</c:v>
                </c:pt>
                <c:pt idx="38">
                  <c:v>2023-03-11 00:00:00+00:00</c:v>
                </c:pt>
                <c:pt idx="39">
                  <c:v>2023-03-12 00:00:00+00:00</c:v>
                </c:pt>
                <c:pt idx="40">
                  <c:v>2023-03-13 00:00:00+00:00</c:v>
                </c:pt>
                <c:pt idx="41">
                  <c:v>2023-03-14 00:00:00+00:00</c:v>
                </c:pt>
                <c:pt idx="42">
                  <c:v>2023-03-15 00:00:00+00:00</c:v>
                </c:pt>
                <c:pt idx="43">
                  <c:v>2023-03-16 00:00:00+00:00</c:v>
                </c:pt>
                <c:pt idx="44">
                  <c:v>2023-03-17 00:00:00+00:00</c:v>
                </c:pt>
                <c:pt idx="45">
                  <c:v>2023-03-18 00:00:00+00:00</c:v>
                </c:pt>
                <c:pt idx="46">
                  <c:v>2023-03-19 00:00:00+00:00</c:v>
                </c:pt>
                <c:pt idx="47">
                  <c:v>2023-03-20 00:00:00+00:00</c:v>
                </c:pt>
                <c:pt idx="48">
                  <c:v>2023-03-21 00:00:00+00:00</c:v>
                </c:pt>
                <c:pt idx="49">
                  <c:v>2023-03-22 00:00:00+00:00</c:v>
                </c:pt>
                <c:pt idx="50">
                  <c:v>2023-03-23 00:00:00+00:00</c:v>
                </c:pt>
                <c:pt idx="51">
                  <c:v>2023-03-24 00:00:00+00:00</c:v>
                </c:pt>
                <c:pt idx="52">
                  <c:v>2023-03-25 00:00:00+00:00</c:v>
                </c:pt>
                <c:pt idx="53">
                  <c:v>2023-03-26 00:00:00+00:00</c:v>
                </c:pt>
                <c:pt idx="54">
                  <c:v>2023-03-27 00:00:00+00:00</c:v>
                </c:pt>
                <c:pt idx="55">
                  <c:v>2023-03-28 00:00:00+00:00</c:v>
                </c:pt>
                <c:pt idx="56">
                  <c:v>2023-03-29 00:00:00+00:00</c:v>
                </c:pt>
                <c:pt idx="57">
                  <c:v>2023-03-30 00:00:00+00:00</c:v>
                </c:pt>
                <c:pt idx="58">
                  <c:v>2023-03-31 00:00:00+00:00</c:v>
                </c:pt>
                <c:pt idx="59">
                  <c:v>2023-04-01 00:00:00+00:00</c:v>
                </c:pt>
                <c:pt idx="60">
                  <c:v>2023-04-02 00:00:00+00:00</c:v>
                </c:pt>
                <c:pt idx="61">
                  <c:v>2023-04-03 00:00:00+00:00</c:v>
                </c:pt>
                <c:pt idx="62">
                  <c:v>2023-04-04 00:00:00+00:00</c:v>
                </c:pt>
                <c:pt idx="63">
                  <c:v>2023-04-05 00:00:00+00:00</c:v>
                </c:pt>
                <c:pt idx="64">
                  <c:v>2023-04-06 00:00:00+00:00</c:v>
                </c:pt>
                <c:pt idx="65">
                  <c:v>2023-04-07 00:00:00+00:00</c:v>
                </c:pt>
                <c:pt idx="66">
                  <c:v>2023-04-08 00:00:00+00:00</c:v>
                </c:pt>
                <c:pt idx="67">
                  <c:v>2023-04-09 00:00:00+00:00</c:v>
                </c:pt>
                <c:pt idx="68">
                  <c:v>2023-04-10 00:00:00+00:00</c:v>
                </c:pt>
                <c:pt idx="69">
                  <c:v>2023-04-11 00:00:00+00:00</c:v>
                </c:pt>
                <c:pt idx="70">
                  <c:v>2023-04-12 00:00:00+00:00</c:v>
                </c:pt>
                <c:pt idx="71">
                  <c:v>2023-04-13 00:00:00+00:00</c:v>
                </c:pt>
                <c:pt idx="72">
                  <c:v>2023-04-14 00:00:00+00:00</c:v>
                </c:pt>
                <c:pt idx="73">
                  <c:v>2023-04-15 00:00:00+00:00</c:v>
                </c:pt>
                <c:pt idx="74">
                  <c:v>2023-04-16 00:00:00+00:00</c:v>
                </c:pt>
                <c:pt idx="75">
                  <c:v>2023-04-17 00:00:00+00:00</c:v>
                </c:pt>
                <c:pt idx="76">
                  <c:v>2023-04-18 00:00:00+00:00</c:v>
                </c:pt>
                <c:pt idx="77">
                  <c:v>2023-04-19 00:00:00+00:00</c:v>
                </c:pt>
                <c:pt idx="78">
                  <c:v>2023-04-20 00:00:00+00:00</c:v>
                </c:pt>
                <c:pt idx="79">
                  <c:v>2023-04-21 00:00:00+00:00</c:v>
                </c:pt>
                <c:pt idx="80">
                  <c:v>2023-04-22 00:00:00+00:00</c:v>
                </c:pt>
                <c:pt idx="81">
                  <c:v>2023-04-23 00:00:00+00:00</c:v>
                </c:pt>
                <c:pt idx="82">
                  <c:v>2023-04-24 00:00:00+00:00</c:v>
                </c:pt>
                <c:pt idx="83">
                  <c:v>2023-04-25 00:00:00+00:00</c:v>
                </c:pt>
                <c:pt idx="84">
                  <c:v>2023-04-26 00:00:00+00:00</c:v>
                </c:pt>
                <c:pt idx="85">
                  <c:v>2023-04-27 00:00:00+00:00</c:v>
                </c:pt>
                <c:pt idx="86">
                  <c:v>2023-04-28 00:00:00+00:00</c:v>
                </c:pt>
                <c:pt idx="87">
                  <c:v>2023-04-29 00:00:00+00:00</c:v>
                </c:pt>
                <c:pt idx="88">
                  <c:v>2023-04-30 00:00:00+00:00</c:v>
                </c:pt>
                <c:pt idx="89">
                  <c:v>2023-05-01 00:00:00+00:00</c:v>
                </c:pt>
                <c:pt idx="90">
                  <c:v>2023-05-02 00:00:00+00:00</c:v>
                </c:pt>
                <c:pt idx="91">
                  <c:v>2023-05-03 00:00:00+00:00</c:v>
                </c:pt>
                <c:pt idx="92">
                  <c:v>2023-05-04 00:00:00+00:00</c:v>
                </c:pt>
                <c:pt idx="93">
                  <c:v>2023-05-05 00:00:00+00:00</c:v>
                </c:pt>
                <c:pt idx="94">
                  <c:v>2023-05-06 00:00:00+00:00</c:v>
                </c:pt>
                <c:pt idx="95">
                  <c:v>2023-05-07 00:00:00+00:00</c:v>
                </c:pt>
                <c:pt idx="96">
                  <c:v>2023-05-08 00:00:00+00:00</c:v>
                </c:pt>
                <c:pt idx="97">
                  <c:v>2023-05-09 00:00:00+00:00</c:v>
                </c:pt>
                <c:pt idx="98">
                  <c:v>2023-05-10 00:00:00+00:00</c:v>
                </c:pt>
                <c:pt idx="99">
                  <c:v>2023-05-11 00:00:00+00:00</c:v>
                </c:pt>
                <c:pt idx="100">
                  <c:v>2023-05-12 00:00:00+00:00</c:v>
                </c:pt>
                <c:pt idx="101">
                  <c:v>2023-05-13 00:00:00+00:00</c:v>
                </c:pt>
                <c:pt idx="102">
                  <c:v>2023-05-14 00:00:00+00:00</c:v>
                </c:pt>
                <c:pt idx="103">
                  <c:v>2023-05-15 00:00:00+00:00</c:v>
                </c:pt>
                <c:pt idx="104">
                  <c:v>2023-05-16 00:00:00+00:00</c:v>
                </c:pt>
                <c:pt idx="105">
                  <c:v>2023-05-17 00:00:00+00:00</c:v>
                </c:pt>
                <c:pt idx="106">
                  <c:v>2023-05-18 00:00:00+00:00</c:v>
                </c:pt>
                <c:pt idx="107">
                  <c:v>2023-05-19 00:00:00+00:00</c:v>
                </c:pt>
                <c:pt idx="108">
                  <c:v>2023-05-20 00:00:00+00:00</c:v>
                </c:pt>
                <c:pt idx="109">
                  <c:v>2023-05-21 00:00:00+00:00</c:v>
                </c:pt>
                <c:pt idx="110">
                  <c:v>2023-05-22 00:00:00+00:00</c:v>
                </c:pt>
                <c:pt idx="111">
                  <c:v>2023-05-23 00:00:00+00:00</c:v>
                </c:pt>
                <c:pt idx="112">
                  <c:v>2023-05-24 00:00:00+00:00</c:v>
                </c:pt>
                <c:pt idx="113">
                  <c:v>2023-05-25 00:00:00+00:00</c:v>
                </c:pt>
                <c:pt idx="114">
                  <c:v>2023-05-26 00:00:00+00:00</c:v>
                </c:pt>
                <c:pt idx="115">
                  <c:v>2023-05-27 00:00:00+00:00</c:v>
                </c:pt>
                <c:pt idx="116">
                  <c:v>2023-05-28 00:00:00+00:00</c:v>
                </c:pt>
                <c:pt idx="117">
                  <c:v>2023-05-29 00:00:00+00:00</c:v>
                </c:pt>
                <c:pt idx="118">
                  <c:v>2023-05-30 00:00:00+00:00</c:v>
                </c:pt>
                <c:pt idx="119">
                  <c:v>2023-05-31 00:00:00+00:00</c:v>
                </c:pt>
                <c:pt idx="120">
                  <c:v>2023-06-01 00:00:00+00:00</c:v>
                </c:pt>
                <c:pt idx="121">
                  <c:v>2023-06-02 00:00:00+00:00</c:v>
                </c:pt>
                <c:pt idx="122">
                  <c:v>2023-06-03 00:00:00+00:00</c:v>
                </c:pt>
                <c:pt idx="123">
                  <c:v>2023-06-04 00:00:00+00:00</c:v>
                </c:pt>
                <c:pt idx="124">
                  <c:v>2023-06-05 00:00:00+00:00</c:v>
                </c:pt>
                <c:pt idx="125">
                  <c:v>2023-06-06 00:00:00+00:00</c:v>
                </c:pt>
                <c:pt idx="126">
                  <c:v>2023-06-07 00:00:00+00:00</c:v>
                </c:pt>
                <c:pt idx="127">
                  <c:v>2023-06-08 00:00:00+00:00</c:v>
                </c:pt>
                <c:pt idx="128">
                  <c:v>2023-06-09 00:00:00+00:00</c:v>
                </c:pt>
                <c:pt idx="129">
                  <c:v>2023-06-10 00:00:00+00:00</c:v>
                </c:pt>
                <c:pt idx="130">
                  <c:v>2023-06-11 00:00:00+00:00</c:v>
                </c:pt>
                <c:pt idx="131">
                  <c:v>2023-06-12 00:00:00+00:00</c:v>
                </c:pt>
                <c:pt idx="132">
                  <c:v>2023-06-13 00:00:00+00:00</c:v>
                </c:pt>
                <c:pt idx="133">
                  <c:v>2023-06-14 00:00:00+00:00</c:v>
                </c:pt>
                <c:pt idx="134">
                  <c:v>2023-06-15 00:00:00+00:00</c:v>
                </c:pt>
                <c:pt idx="135">
                  <c:v>2023-06-16 00:00:00+00:00</c:v>
                </c:pt>
                <c:pt idx="136">
                  <c:v>2023-06-17 00:00:00+00:00</c:v>
                </c:pt>
                <c:pt idx="137">
                  <c:v>2023-06-18 00:00:00+00:00</c:v>
                </c:pt>
                <c:pt idx="138">
                  <c:v>2023-06-19 00:00:00+00:00</c:v>
                </c:pt>
                <c:pt idx="139">
                  <c:v>2023-06-20 00:00:00+00:00</c:v>
                </c:pt>
                <c:pt idx="140">
                  <c:v>2023-06-21 00:00:00+00:00</c:v>
                </c:pt>
                <c:pt idx="141">
                  <c:v>2023-06-22 00:00:00+00:00</c:v>
                </c:pt>
                <c:pt idx="142">
                  <c:v>2023-06-23 00:00:00+00:00</c:v>
                </c:pt>
                <c:pt idx="143">
                  <c:v>2023-06-24 00:00:00+00:00</c:v>
                </c:pt>
                <c:pt idx="144">
                  <c:v>2023-06-25 00:00:00+00:00</c:v>
                </c:pt>
                <c:pt idx="145">
                  <c:v>2023-06-26 00:00:00+00:00</c:v>
                </c:pt>
                <c:pt idx="146">
                  <c:v>2023-06-27 00:00:00+00:00</c:v>
                </c:pt>
                <c:pt idx="147">
                  <c:v>2023-06-28 00:00:00+00:00</c:v>
                </c:pt>
                <c:pt idx="148">
                  <c:v>2023-06-29 00:00:00+00:00</c:v>
                </c:pt>
                <c:pt idx="149">
                  <c:v>2023-06-30 00:00:00+00:00</c:v>
                </c:pt>
                <c:pt idx="150">
                  <c:v>2023-07-01 00:00:00+00:00</c:v>
                </c:pt>
                <c:pt idx="151">
                  <c:v>2023-07-02 00:00:00+00:00</c:v>
                </c:pt>
                <c:pt idx="152">
                  <c:v>2023-07-03 00:00:00+00:00</c:v>
                </c:pt>
                <c:pt idx="153">
                  <c:v>2023-07-04 00:00:00+00:00</c:v>
                </c:pt>
                <c:pt idx="154">
                  <c:v>2023-07-05 00:00:00+00:00</c:v>
                </c:pt>
                <c:pt idx="155">
                  <c:v>2023-07-06 00:00:00+00:00</c:v>
                </c:pt>
                <c:pt idx="156">
                  <c:v>2023-07-07 00:00:00+00:00</c:v>
                </c:pt>
                <c:pt idx="157">
                  <c:v>2023-07-08 00:00:00+00:00</c:v>
                </c:pt>
                <c:pt idx="158">
                  <c:v>2023-07-09 00:00:00+00:00</c:v>
                </c:pt>
                <c:pt idx="159">
                  <c:v>2023-07-10 00:00:00+00:00</c:v>
                </c:pt>
                <c:pt idx="160">
                  <c:v>2023-07-11 00:00:00+00:00</c:v>
                </c:pt>
                <c:pt idx="161">
                  <c:v>2023-07-12 00:00:00+00:00</c:v>
                </c:pt>
                <c:pt idx="162">
                  <c:v>2023-07-13 00:00:00+00:00</c:v>
                </c:pt>
                <c:pt idx="163">
                  <c:v>2023-07-14 00:00:00+00:00</c:v>
                </c:pt>
                <c:pt idx="164">
                  <c:v>2023-07-15 00:00:00+00:00</c:v>
                </c:pt>
                <c:pt idx="165">
                  <c:v>2023-07-16 00:00:00+00:00</c:v>
                </c:pt>
                <c:pt idx="166">
                  <c:v>2023-07-17 00:00:00+00:00</c:v>
                </c:pt>
                <c:pt idx="167">
                  <c:v>2023-07-18 00:00:00+00:00</c:v>
                </c:pt>
                <c:pt idx="168">
                  <c:v>2023-07-19 00:00:00+00:00</c:v>
                </c:pt>
                <c:pt idx="169">
                  <c:v>2023-07-20 00:00:00+00:00</c:v>
                </c:pt>
                <c:pt idx="170">
                  <c:v>2023-07-21 00:00:00+00:00</c:v>
                </c:pt>
                <c:pt idx="171">
                  <c:v>2023-07-22 00:00:00+00:00</c:v>
                </c:pt>
                <c:pt idx="172">
                  <c:v>2023-07-23 00:00:00+00:00</c:v>
                </c:pt>
                <c:pt idx="173">
                  <c:v>2023-07-24 00:00:00+00:00</c:v>
                </c:pt>
                <c:pt idx="174">
                  <c:v>2023-07-25 00:00:00+00:00</c:v>
                </c:pt>
                <c:pt idx="175">
                  <c:v>2023-07-26 00:00:00+00:00</c:v>
                </c:pt>
                <c:pt idx="176">
                  <c:v>2023-07-27 00:00:00+00:00</c:v>
                </c:pt>
                <c:pt idx="177">
                  <c:v>2023-07-28 00:00:00+00:00</c:v>
                </c:pt>
                <c:pt idx="178">
                  <c:v>2023-07-29 00:00:00+00:00</c:v>
                </c:pt>
                <c:pt idx="179">
                  <c:v>2023-07-30 00:00:00+00:00</c:v>
                </c:pt>
                <c:pt idx="180">
                  <c:v>2023-07-31 00:00:00+00:00</c:v>
                </c:pt>
                <c:pt idx="181">
                  <c:v>2023-08-01 00:00:00+00:00</c:v>
                </c:pt>
                <c:pt idx="182">
                  <c:v>2023-08-02 00:00:00+00:00</c:v>
                </c:pt>
                <c:pt idx="183">
                  <c:v>2023-08-03 00:00:00+00:00</c:v>
                </c:pt>
                <c:pt idx="184">
                  <c:v>2023-08-04 00:00:00+00:00</c:v>
                </c:pt>
                <c:pt idx="185">
                  <c:v>2023-08-05 00:00:00+00:00</c:v>
                </c:pt>
                <c:pt idx="186">
                  <c:v>2023-08-06 00:00:00+00:00</c:v>
                </c:pt>
                <c:pt idx="187">
                  <c:v>2023-08-07 00:00:00+00:00</c:v>
                </c:pt>
                <c:pt idx="188">
                  <c:v>2023-08-08 00:00:00+00:00</c:v>
                </c:pt>
                <c:pt idx="189">
                  <c:v>2023-08-09 00:00:00+00:00</c:v>
                </c:pt>
                <c:pt idx="190">
                  <c:v>2023-08-10 00:00:00+00:00</c:v>
                </c:pt>
                <c:pt idx="191">
                  <c:v>2023-08-11 00:00:00+00:00</c:v>
                </c:pt>
                <c:pt idx="192">
                  <c:v>2023-08-12 00:00:00+00:00</c:v>
                </c:pt>
                <c:pt idx="193">
                  <c:v>2023-08-13 00:00:00+00:00</c:v>
                </c:pt>
                <c:pt idx="194">
                  <c:v>2023-08-14 00:00:00+00:00</c:v>
                </c:pt>
                <c:pt idx="195">
                  <c:v>2023-08-15 00:00:00+00:00</c:v>
                </c:pt>
                <c:pt idx="196">
                  <c:v>2023-08-16 00:00:00+00:00</c:v>
                </c:pt>
                <c:pt idx="197">
                  <c:v>2023-08-17 00:00:00+00:00</c:v>
                </c:pt>
                <c:pt idx="198">
                  <c:v>2023-08-18 00:00:00+00:00</c:v>
                </c:pt>
                <c:pt idx="199">
                  <c:v>2023-08-19 00:00:00+00:00</c:v>
                </c:pt>
                <c:pt idx="200">
                  <c:v>2023-08-20 00:00:00+00:00</c:v>
                </c:pt>
                <c:pt idx="201">
                  <c:v>2023-08-21 00:00:00+00:00</c:v>
                </c:pt>
                <c:pt idx="202">
                  <c:v>2023-08-22 00:00:00+00:00</c:v>
                </c:pt>
                <c:pt idx="203">
                  <c:v>2023-08-23 00:00:00+00:00</c:v>
                </c:pt>
                <c:pt idx="204">
                  <c:v>2023-08-24 00:00:00+00:00</c:v>
                </c:pt>
                <c:pt idx="205">
                  <c:v>2023-08-25 00:00:00+00:00</c:v>
                </c:pt>
                <c:pt idx="206">
                  <c:v>2023-08-26 00:00:00+00:00</c:v>
                </c:pt>
                <c:pt idx="207">
                  <c:v>2023-08-27 00:00:00+00:00</c:v>
                </c:pt>
                <c:pt idx="208">
                  <c:v>2023-08-28 00:00:00+00:00</c:v>
                </c:pt>
                <c:pt idx="209">
                  <c:v>2023-08-29 00:00:00+00:00</c:v>
                </c:pt>
                <c:pt idx="210">
                  <c:v>2023-08-30 00:00:00+00:00</c:v>
                </c:pt>
                <c:pt idx="211">
                  <c:v>2023-08-31 00:00:00+00:00</c:v>
                </c:pt>
                <c:pt idx="212">
                  <c:v>2023-09-01 00:00:00+00:00</c:v>
                </c:pt>
                <c:pt idx="213">
                  <c:v>2023-09-02 00:00:00+00:00</c:v>
                </c:pt>
                <c:pt idx="214">
                  <c:v>2023-09-03 00:00:00+00:00</c:v>
                </c:pt>
                <c:pt idx="215">
                  <c:v>2023-09-04 00:00:00+00:00</c:v>
                </c:pt>
                <c:pt idx="216">
                  <c:v>2023-09-05 00:00:00+00:00</c:v>
                </c:pt>
                <c:pt idx="217">
                  <c:v>2023-09-06 00:00:00+00:00</c:v>
                </c:pt>
                <c:pt idx="218">
                  <c:v>2023-09-07 00:00:00+00:00</c:v>
                </c:pt>
                <c:pt idx="219">
                  <c:v>2023-09-08 00:00:00+00:00</c:v>
                </c:pt>
                <c:pt idx="220">
                  <c:v>2023-09-09 00:00:00+00:00</c:v>
                </c:pt>
                <c:pt idx="221">
                  <c:v>2023-09-10 00:00:00+00:00</c:v>
                </c:pt>
                <c:pt idx="222">
                  <c:v>2023-09-11 00:00:00+00:00</c:v>
                </c:pt>
                <c:pt idx="223">
                  <c:v>2023-09-12 00:00:00+00:00</c:v>
                </c:pt>
                <c:pt idx="224">
                  <c:v>2023-09-13 00:00:00+00:00</c:v>
                </c:pt>
                <c:pt idx="225">
                  <c:v>2023-09-14 00:00:00+00:00</c:v>
                </c:pt>
                <c:pt idx="226">
                  <c:v>2023-09-15 00:00:00+00:00</c:v>
                </c:pt>
                <c:pt idx="227">
                  <c:v>2023-09-16 00:00:00+00:00</c:v>
                </c:pt>
                <c:pt idx="228">
                  <c:v>2023-09-17 00:00:00+00:00</c:v>
                </c:pt>
                <c:pt idx="229">
                  <c:v>2023-09-18 00:00:00+00:00</c:v>
                </c:pt>
                <c:pt idx="230">
                  <c:v>2023-09-19 00:00:00+00:00</c:v>
                </c:pt>
                <c:pt idx="231">
                  <c:v>2023-09-20 00:00:00+00:00</c:v>
                </c:pt>
                <c:pt idx="232">
                  <c:v>2023-09-21 00:00:00+00:00</c:v>
                </c:pt>
                <c:pt idx="233">
                  <c:v>2023-09-22 00:00:00+00:00</c:v>
                </c:pt>
                <c:pt idx="234">
                  <c:v>2023-09-23 00:00:00+00:00</c:v>
                </c:pt>
                <c:pt idx="235">
                  <c:v>2023-09-24 00:00:00+00:00</c:v>
                </c:pt>
                <c:pt idx="236">
                  <c:v>2023-09-25 00:00:00+00:00</c:v>
                </c:pt>
                <c:pt idx="237">
                  <c:v>2023-09-26 00:00:00+00:00</c:v>
                </c:pt>
                <c:pt idx="238">
                  <c:v>2023-09-27 00:00:00+00:00</c:v>
                </c:pt>
                <c:pt idx="239">
                  <c:v>2023-09-28 00:00:00+00:00</c:v>
                </c:pt>
                <c:pt idx="240">
                  <c:v>2023-09-29 00:00:00+00:00</c:v>
                </c:pt>
                <c:pt idx="241">
                  <c:v>2023-09-30 00:00:00+00:00</c:v>
                </c:pt>
                <c:pt idx="242">
                  <c:v>2023-10-01 00:00:00+00:00</c:v>
                </c:pt>
                <c:pt idx="243">
                  <c:v>2023-10-02 00:00:00+00:00</c:v>
                </c:pt>
                <c:pt idx="244">
                  <c:v>2023-10-03 00:00:00+00:00</c:v>
                </c:pt>
                <c:pt idx="245">
                  <c:v>2023-10-04 00:00:00+00:00</c:v>
                </c:pt>
                <c:pt idx="246">
                  <c:v>2023-10-05 00:00:00+00:00</c:v>
                </c:pt>
                <c:pt idx="247">
                  <c:v>2023-10-06 00:00:00+00:00</c:v>
                </c:pt>
                <c:pt idx="248">
                  <c:v>2023-10-07 00:00:00+00:00</c:v>
                </c:pt>
                <c:pt idx="249">
                  <c:v>2023-10-08 00:00:00+00:00</c:v>
                </c:pt>
                <c:pt idx="250">
                  <c:v>2023-10-09 00:00:00+00:00</c:v>
                </c:pt>
                <c:pt idx="251">
                  <c:v>2023-10-10 00:00:00+00:00</c:v>
                </c:pt>
                <c:pt idx="252">
                  <c:v>2023-10-11 00:00:00+00:00</c:v>
                </c:pt>
                <c:pt idx="253">
                  <c:v>2023-10-12 00:00:00+00:00</c:v>
                </c:pt>
                <c:pt idx="254">
                  <c:v>2023-10-13 00:00:00+00:00</c:v>
                </c:pt>
                <c:pt idx="255">
                  <c:v>2023-10-14 00:00:00+00:00</c:v>
                </c:pt>
                <c:pt idx="256">
                  <c:v>2023-10-15 00:00:00+00:00</c:v>
                </c:pt>
                <c:pt idx="257">
                  <c:v>2023-10-16 00:00:00+00:00</c:v>
                </c:pt>
                <c:pt idx="258">
                  <c:v>2023-10-17 00:00:00+00:00</c:v>
                </c:pt>
                <c:pt idx="259">
                  <c:v>2023-10-18 00:00:00+00:00</c:v>
                </c:pt>
                <c:pt idx="260">
                  <c:v>2023-10-19 00:00:00+00:00</c:v>
                </c:pt>
                <c:pt idx="261">
                  <c:v>2023-10-20 00:00:00+00:00</c:v>
                </c:pt>
                <c:pt idx="262">
                  <c:v>2023-10-21 00:00:00+00:00</c:v>
                </c:pt>
                <c:pt idx="263">
                  <c:v>2023-10-22 00:00:00+00:00</c:v>
                </c:pt>
                <c:pt idx="264">
                  <c:v>2023-10-23 00:00:00+00:00</c:v>
                </c:pt>
                <c:pt idx="265">
                  <c:v>2023-10-24 00:00:00+00:00</c:v>
                </c:pt>
                <c:pt idx="266">
                  <c:v>2023-10-25 00:00:00+00:00</c:v>
                </c:pt>
                <c:pt idx="267">
                  <c:v>2023-10-26 00:00:00+00:00</c:v>
                </c:pt>
                <c:pt idx="268">
                  <c:v>2023-10-27 00:00:00+00:00</c:v>
                </c:pt>
                <c:pt idx="269">
                  <c:v>2023-10-28 00:00:00+00:00</c:v>
                </c:pt>
                <c:pt idx="270">
                  <c:v>2023-10-29 00:00:00+00:00</c:v>
                </c:pt>
                <c:pt idx="271">
                  <c:v>2023-10-30 00:00:00+00:00</c:v>
                </c:pt>
                <c:pt idx="272">
                  <c:v>2023-10-31 00:00:00+00:00</c:v>
                </c:pt>
                <c:pt idx="273">
                  <c:v>2023-11-01 00:00:00+00:00</c:v>
                </c:pt>
                <c:pt idx="274">
                  <c:v>2023-11-02 00:00:00+00:00</c:v>
                </c:pt>
                <c:pt idx="275">
                  <c:v>2023-11-03 00:00:00+00:00</c:v>
                </c:pt>
                <c:pt idx="276">
                  <c:v>2023-11-04 00:00:00+00:00</c:v>
                </c:pt>
                <c:pt idx="277">
                  <c:v>2023-11-05 00:00:00+00:00</c:v>
                </c:pt>
                <c:pt idx="278">
                  <c:v>2023-11-06 00:00:00+00:00</c:v>
                </c:pt>
                <c:pt idx="279">
                  <c:v>2023-11-07 00:00:00+00:00</c:v>
                </c:pt>
                <c:pt idx="280">
                  <c:v>2023-11-08 00:00:00+00:00</c:v>
                </c:pt>
                <c:pt idx="281">
                  <c:v>2023-11-09 00:00:00+00:00</c:v>
                </c:pt>
                <c:pt idx="282">
                  <c:v>2023-11-10 00:00:00+00:00</c:v>
                </c:pt>
                <c:pt idx="283">
                  <c:v>2023-11-11 00:00:00+00:00</c:v>
                </c:pt>
                <c:pt idx="284">
                  <c:v>2023-11-12 00:00:00+00:00</c:v>
                </c:pt>
                <c:pt idx="285">
                  <c:v>2023-11-13 00:00:00+00:00</c:v>
                </c:pt>
                <c:pt idx="286">
                  <c:v>2023-11-14 00:00:00+00:00</c:v>
                </c:pt>
                <c:pt idx="287">
                  <c:v>2023-11-15 00:00:00+00:00</c:v>
                </c:pt>
                <c:pt idx="288">
                  <c:v>2023-11-16 00:00:00+00:00</c:v>
                </c:pt>
                <c:pt idx="289">
                  <c:v>2023-11-17 00:00:00+00:00</c:v>
                </c:pt>
                <c:pt idx="290">
                  <c:v>2023-11-18 00:00:00+00:00</c:v>
                </c:pt>
                <c:pt idx="291">
                  <c:v>2023-11-19 00:00:00+00:00</c:v>
                </c:pt>
                <c:pt idx="292">
                  <c:v>2023-11-20 00:00:00+00:00</c:v>
                </c:pt>
                <c:pt idx="293">
                  <c:v>2023-11-21 00:00:00+00:00</c:v>
                </c:pt>
                <c:pt idx="294">
                  <c:v>2023-11-22 00:00:00+00:00</c:v>
                </c:pt>
                <c:pt idx="295">
                  <c:v>2023-11-23 00:00:00+00:00</c:v>
                </c:pt>
                <c:pt idx="296">
                  <c:v>2023-11-24 00:00:00+00:00</c:v>
                </c:pt>
                <c:pt idx="297">
                  <c:v>2023-11-25 00:00:00+00:00</c:v>
                </c:pt>
                <c:pt idx="298">
                  <c:v>2023-11-26 00:00:00+00:00</c:v>
                </c:pt>
                <c:pt idx="299">
                  <c:v>2023-11-27 00:00:00+00:00</c:v>
                </c:pt>
                <c:pt idx="300">
                  <c:v>2023-11-28 00:00:00+00:00</c:v>
                </c:pt>
                <c:pt idx="301">
                  <c:v>2023-11-29 00:00:00+00:00</c:v>
                </c:pt>
                <c:pt idx="302">
                  <c:v>2023-11-30 00:00:00+00:00</c:v>
                </c:pt>
                <c:pt idx="303">
                  <c:v>2023-12-01 00:00:00+00:00</c:v>
                </c:pt>
                <c:pt idx="304">
                  <c:v>2023-12-02 00:00:00+00:00</c:v>
                </c:pt>
                <c:pt idx="305">
                  <c:v>2023-12-03 00:00:00+00:00</c:v>
                </c:pt>
                <c:pt idx="306">
                  <c:v>2023-12-04 00:00:00+00:00</c:v>
                </c:pt>
                <c:pt idx="307">
                  <c:v>2023-12-05 00:00:00+00:00</c:v>
                </c:pt>
                <c:pt idx="308">
                  <c:v>2023-12-06 00:00:00+00:00</c:v>
                </c:pt>
                <c:pt idx="309">
                  <c:v>2023-12-07 00:00:00+00:00</c:v>
                </c:pt>
                <c:pt idx="310">
                  <c:v>2023-12-08 00:00:00+00:00</c:v>
                </c:pt>
                <c:pt idx="311">
                  <c:v>2023-12-09 00:00:00+00:00</c:v>
                </c:pt>
                <c:pt idx="312">
                  <c:v>2023-12-10 00:00:00+00:00</c:v>
                </c:pt>
                <c:pt idx="313">
                  <c:v>2023-12-11 00:00:00+00:00</c:v>
                </c:pt>
                <c:pt idx="314">
                  <c:v>2023-12-12 00:00:00+00:00</c:v>
                </c:pt>
                <c:pt idx="315">
                  <c:v>2023-12-13 00:00:00+00:00</c:v>
                </c:pt>
                <c:pt idx="316">
                  <c:v>2023-12-14 00:00:00+00:00</c:v>
                </c:pt>
                <c:pt idx="317">
                  <c:v>2023-12-15 00:00:00+00:00</c:v>
                </c:pt>
                <c:pt idx="318">
                  <c:v>2023-12-16 00:00:00+00:00</c:v>
                </c:pt>
                <c:pt idx="319">
                  <c:v>2023-12-17 00:00:00+00:00</c:v>
                </c:pt>
                <c:pt idx="320">
                  <c:v>2023-12-18 00:00:00+00:00</c:v>
                </c:pt>
                <c:pt idx="321">
                  <c:v>2023-12-19 00:00:00+00:00</c:v>
                </c:pt>
                <c:pt idx="322">
                  <c:v>2023-12-20 00:00:00+00:00</c:v>
                </c:pt>
                <c:pt idx="323">
                  <c:v>2023-12-21 00:00:00+00:00</c:v>
                </c:pt>
                <c:pt idx="324">
                  <c:v>2023-12-22 00:00:00+00:00</c:v>
                </c:pt>
                <c:pt idx="325">
                  <c:v>2023-12-23 00:00:00+00:00</c:v>
                </c:pt>
                <c:pt idx="326">
                  <c:v>2023-12-24 00:00:00+00:00</c:v>
                </c:pt>
                <c:pt idx="327">
                  <c:v>2023-12-25 00:00:00+00:00</c:v>
                </c:pt>
                <c:pt idx="328">
                  <c:v>2023-12-26 00:00:00+00:00</c:v>
                </c:pt>
                <c:pt idx="329">
                  <c:v>2023-12-27 00:00:00+00:00</c:v>
                </c:pt>
                <c:pt idx="330">
                  <c:v>2023-12-28 00:00:00+00:00</c:v>
                </c:pt>
                <c:pt idx="331">
                  <c:v>2023-12-29 00:00:00+00:00</c:v>
                </c:pt>
                <c:pt idx="332">
                  <c:v>2023-12-30 00:00:00+00:00</c:v>
                </c:pt>
                <c:pt idx="333">
                  <c:v>2023-12-31 00:00:00+00:00</c:v>
                </c:pt>
                <c:pt idx="334">
                  <c:v>2024-01-01 00:00:00+00:00</c:v>
                </c:pt>
                <c:pt idx="335">
                  <c:v>2024-01-02 00:00:00+00:00</c:v>
                </c:pt>
                <c:pt idx="336">
                  <c:v>2024-01-03 00:00:00+00:00</c:v>
                </c:pt>
                <c:pt idx="337">
                  <c:v>2024-01-04 00:00:00+00:00</c:v>
                </c:pt>
                <c:pt idx="338">
                  <c:v>2024-01-05 00:00:00+00:00</c:v>
                </c:pt>
                <c:pt idx="339">
                  <c:v>2024-01-06 00:00:00+00:00</c:v>
                </c:pt>
                <c:pt idx="340">
                  <c:v>2024-01-07 00:00:00+00:00</c:v>
                </c:pt>
                <c:pt idx="341">
                  <c:v>2024-01-08 00:00:00+00:00</c:v>
                </c:pt>
                <c:pt idx="342">
                  <c:v>2024-01-09 00:00:00+00:00</c:v>
                </c:pt>
                <c:pt idx="343">
                  <c:v>2024-01-10 00:00:00+00:00</c:v>
                </c:pt>
                <c:pt idx="344">
                  <c:v>2024-01-11 00:00:00+00:00</c:v>
                </c:pt>
                <c:pt idx="345">
                  <c:v>2024-01-12 00:00:00+00:00</c:v>
                </c:pt>
                <c:pt idx="346">
                  <c:v>2024-01-13 00:00:00+00:00</c:v>
                </c:pt>
                <c:pt idx="347">
                  <c:v>2024-01-14 00:00:00+00:00</c:v>
                </c:pt>
                <c:pt idx="348">
                  <c:v>2024-01-15 00:00:00+00:00</c:v>
                </c:pt>
                <c:pt idx="349">
                  <c:v>2024-01-16 00:00:00+00:00</c:v>
                </c:pt>
                <c:pt idx="350">
                  <c:v>2024-01-17 00:00:00+00:00</c:v>
                </c:pt>
                <c:pt idx="351">
                  <c:v>2024-01-18 00:00:00+00:00</c:v>
                </c:pt>
                <c:pt idx="352">
                  <c:v>2024-01-19 00:00:00+00:00</c:v>
                </c:pt>
                <c:pt idx="353">
                  <c:v>2024-01-20 00:00:00+00:00</c:v>
                </c:pt>
                <c:pt idx="354">
                  <c:v>2024-01-21 00:00:00+00:00</c:v>
                </c:pt>
                <c:pt idx="355">
                  <c:v>2024-01-22 00:00:00+00:00</c:v>
                </c:pt>
                <c:pt idx="356">
                  <c:v>2024-01-23 00:00:00+00:00</c:v>
                </c:pt>
                <c:pt idx="357">
                  <c:v>2024-01-24 00:00:00+00:00</c:v>
                </c:pt>
                <c:pt idx="358">
                  <c:v>2024-01-25 00:00:00+00:00</c:v>
                </c:pt>
                <c:pt idx="359">
                  <c:v>2024-01-26 00:00:00+00:00</c:v>
                </c:pt>
                <c:pt idx="360">
                  <c:v>2024-01-27 00:00:00+00:00</c:v>
                </c:pt>
                <c:pt idx="361">
                  <c:v>2024-01-28 00:00:00+00:00</c:v>
                </c:pt>
                <c:pt idx="362">
                  <c:v>2024-01-29 00:00:00+00:00</c:v>
                </c:pt>
                <c:pt idx="363">
                  <c:v>2024-01-30 00:00:00+00:00</c:v>
                </c:pt>
                <c:pt idx="364">
                  <c:v>2024-01-31 00:00:00+00:00</c:v>
                </c:pt>
                <c:pt idx="365">
                  <c:v>2024-02-01 00:00:00+00:00</c:v>
                </c:pt>
                <c:pt idx="366">
                  <c:v>2024-02-02 00:00:00+00:00</c:v>
                </c:pt>
                <c:pt idx="367">
                  <c:v>2024-02-03 00:00:00+00:00</c:v>
                </c:pt>
                <c:pt idx="368">
                  <c:v>2024-02-04 00:00:00+00:00</c:v>
                </c:pt>
                <c:pt idx="369">
                  <c:v>2024-02-05 00:00:00+00:00</c:v>
                </c:pt>
                <c:pt idx="370">
                  <c:v>2024-02-06 00:00:00+00:00</c:v>
                </c:pt>
                <c:pt idx="371">
                  <c:v>2024-02-07 00:00:00+00:00</c:v>
                </c:pt>
                <c:pt idx="372">
                  <c:v>2024-02-08 00:00:00+00:00</c:v>
                </c:pt>
                <c:pt idx="373">
                  <c:v>2024-02-09 00:00:00+00:00</c:v>
                </c:pt>
                <c:pt idx="374">
                  <c:v>2024-02-10 00:00:00+00:00</c:v>
                </c:pt>
                <c:pt idx="375">
                  <c:v>2024-02-11 00:00:00+00:00</c:v>
                </c:pt>
                <c:pt idx="376">
                  <c:v>2024-02-12 00:00:00+00:00</c:v>
                </c:pt>
                <c:pt idx="377">
                  <c:v>2024-02-13 00:00:00+00:00</c:v>
                </c:pt>
                <c:pt idx="378">
                  <c:v>2024-02-14 00:00:00+00:00</c:v>
                </c:pt>
                <c:pt idx="379">
                  <c:v>2024-02-15 00:00:00+00:00</c:v>
                </c:pt>
                <c:pt idx="380">
                  <c:v>2024-02-16 00:00:00+00:00</c:v>
                </c:pt>
                <c:pt idx="381">
                  <c:v>2024-02-17 00:00:00+00:00</c:v>
                </c:pt>
                <c:pt idx="382">
                  <c:v>2024-02-18 00:00:00+00:00</c:v>
                </c:pt>
                <c:pt idx="383">
                  <c:v>2024-02-19 00:00:00+00:00</c:v>
                </c:pt>
                <c:pt idx="384">
                  <c:v>2024-02-20 00:00:00+00:00</c:v>
                </c:pt>
                <c:pt idx="385">
                  <c:v>2024-02-21 00:00:00+00:00</c:v>
                </c:pt>
                <c:pt idx="386">
                  <c:v>2024-02-22 00:00:00+00:00</c:v>
                </c:pt>
                <c:pt idx="387">
                  <c:v>2024-02-23 00:00:00+00:00</c:v>
                </c:pt>
                <c:pt idx="388">
                  <c:v>2024-02-24 00:00:00+00:00</c:v>
                </c:pt>
                <c:pt idx="389">
                  <c:v>2024-02-25 00:00:00+00:00</c:v>
                </c:pt>
                <c:pt idx="390">
                  <c:v>2024-02-26 00:00:00+00:00</c:v>
                </c:pt>
                <c:pt idx="391">
                  <c:v>2024-02-27 00:00:00+00:00</c:v>
                </c:pt>
                <c:pt idx="392">
                  <c:v>2024-02-28 00:00:00+00:00</c:v>
                </c:pt>
                <c:pt idx="393">
                  <c:v>2024-02-29 00:00:00+00:00</c:v>
                </c:pt>
                <c:pt idx="394">
                  <c:v>2024-03-01 00:00:00+00:00</c:v>
                </c:pt>
                <c:pt idx="395">
                  <c:v>2024-03-02 00:00:00+00:00</c:v>
                </c:pt>
                <c:pt idx="396">
                  <c:v>2024-03-03 00:00:00+00:00</c:v>
                </c:pt>
                <c:pt idx="397">
                  <c:v>2024-03-04 00:00:00+00:00</c:v>
                </c:pt>
                <c:pt idx="398">
                  <c:v>2024-03-05 00:00:00+00:00</c:v>
                </c:pt>
                <c:pt idx="399">
                  <c:v>2024-03-06 00:00:00+00:00</c:v>
                </c:pt>
                <c:pt idx="400">
                  <c:v>2024-03-07 00:00:00+00:00</c:v>
                </c:pt>
                <c:pt idx="401">
                  <c:v>2024-03-08 00:00:00+00:00</c:v>
                </c:pt>
                <c:pt idx="402">
                  <c:v>2024-03-09 00:00:00+00:00</c:v>
                </c:pt>
                <c:pt idx="403">
                  <c:v>2024-03-10 00:00:00+00:00</c:v>
                </c:pt>
                <c:pt idx="404">
                  <c:v>2024-03-11 00:00:00+00:00</c:v>
                </c:pt>
                <c:pt idx="405">
                  <c:v>2024-03-12 00:00:00+00:00</c:v>
                </c:pt>
                <c:pt idx="406">
                  <c:v>2024-03-13 00:00:00+00:00</c:v>
                </c:pt>
                <c:pt idx="407">
                  <c:v>2024-03-14 00:00:00+00:00</c:v>
                </c:pt>
                <c:pt idx="408">
                  <c:v>2024-03-15 00:00:00+00:00</c:v>
                </c:pt>
                <c:pt idx="409">
                  <c:v>2024-03-16 00:00:00+00:00</c:v>
                </c:pt>
                <c:pt idx="410">
                  <c:v>2024-03-17 00:00:00+00:00</c:v>
                </c:pt>
              </c:strCache>
            </c:strRef>
          </c:cat>
          <c:val>
            <c:numRef>
              <c:f>Biomasstest!$C$2:$C$250</c:f>
              <c:numCache>
                <c:formatCode>General</c:formatCode>
                <c:ptCount val="249"/>
                <c:pt idx="42">
                  <c:v>0</c:v>
                </c:pt>
                <c:pt idx="43">
                  <c:v>-9.7436637199617496E-2</c:v>
                </c:pt>
                <c:pt idx="44">
                  <c:v>-7.4072679633257296E-2</c:v>
                </c:pt>
                <c:pt idx="45">
                  <c:v>-0.37499527109448</c:v>
                </c:pt>
                <c:pt idx="46">
                  <c:v>-0.44438115559548103</c:v>
                </c:pt>
                <c:pt idx="47">
                  <c:v>-0.500734063227389</c:v>
                </c:pt>
                <c:pt idx="48">
                  <c:v>-0.199551127893101</c:v>
                </c:pt>
                <c:pt idx="49">
                  <c:v>-4.9560134210029298E-2</c:v>
                </c:pt>
                <c:pt idx="50">
                  <c:v>2.0287332663201499E-2</c:v>
                </c:pt>
                <c:pt idx="51">
                  <c:v>0.21829047060651799</c:v>
                </c:pt>
                <c:pt idx="52">
                  <c:v>0.145869876917672</c:v>
                </c:pt>
                <c:pt idx="53">
                  <c:v>0.160704417126872</c:v>
                </c:pt>
                <c:pt idx="54">
                  <c:v>-9.8336181615970002E-3</c:v>
                </c:pt>
                <c:pt idx="55">
                  <c:v>0.18626342542396601</c:v>
                </c:pt>
                <c:pt idx="56">
                  <c:v>0.23351582830002801</c:v>
                </c:pt>
                <c:pt idx="57">
                  <c:v>0.26754128835924701</c:v>
                </c:pt>
                <c:pt idx="58">
                  <c:v>0.206538752919524</c:v>
                </c:pt>
                <c:pt idx="59">
                  <c:v>7.8276518389252203E-2</c:v>
                </c:pt>
                <c:pt idx="60">
                  <c:v>2.2269463397996899E-2</c:v>
                </c:pt>
                <c:pt idx="61">
                  <c:v>2.4364342393070602E-3</c:v>
                </c:pt>
                <c:pt idx="62">
                  <c:v>-3.6995226227372002E-2</c:v>
                </c:pt>
                <c:pt idx="63">
                  <c:v>-2.53872576943301E-2</c:v>
                </c:pt>
                <c:pt idx="64">
                  <c:v>-5.6568586740926401E-2</c:v>
                </c:pt>
                <c:pt idx="65">
                  <c:v>0.12394610505963</c:v>
                </c:pt>
                <c:pt idx="66">
                  <c:v>0.131618848351131</c:v>
                </c:pt>
                <c:pt idx="67">
                  <c:v>0.25161436922899899</c:v>
                </c:pt>
                <c:pt idx="68">
                  <c:v>0.12558163891777499</c:v>
                </c:pt>
                <c:pt idx="69">
                  <c:v>0.27515107832362701</c:v>
                </c:pt>
                <c:pt idx="70">
                  <c:v>0.28907480283255799</c:v>
                </c:pt>
                <c:pt idx="71">
                  <c:v>0.40685623569989399</c:v>
                </c:pt>
                <c:pt idx="72">
                  <c:v>0.37355725844343002</c:v>
                </c:pt>
                <c:pt idx="73">
                  <c:v>0.49014640964957901</c:v>
                </c:pt>
                <c:pt idx="74">
                  <c:v>0.59817189156447603</c:v>
                </c:pt>
                <c:pt idx="75">
                  <c:v>0.54186953528161297</c:v>
                </c:pt>
                <c:pt idx="76">
                  <c:v>0.58404470679840803</c:v>
                </c:pt>
                <c:pt idx="77">
                  <c:v>0.60964148249375605</c:v>
                </c:pt>
                <c:pt idx="78">
                  <c:v>0.69114233764130195</c:v>
                </c:pt>
                <c:pt idx="79">
                  <c:v>0.56928077830069701</c:v>
                </c:pt>
                <c:pt idx="80">
                  <c:v>0.49575667865789003</c:v>
                </c:pt>
                <c:pt idx="81">
                  <c:v>0.31659848390775702</c:v>
                </c:pt>
                <c:pt idx="82">
                  <c:v>0.35866756161996299</c:v>
                </c:pt>
                <c:pt idx="83">
                  <c:v>0.34470367287690701</c:v>
                </c:pt>
                <c:pt idx="84">
                  <c:v>0.58453378671395795</c:v>
                </c:pt>
                <c:pt idx="85">
                  <c:v>0.61395606746107401</c:v>
                </c:pt>
                <c:pt idx="86">
                  <c:v>0.77371891175546204</c:v>
                </c:pt>
                <c:pt idx="87">
                  <c:v>0.84981566246287299</c:v>
                </c:pt>
                <c:pt idx="88">
                  <c:v>0.95846462688260903</c:v>
                </c:pt>
                <c:pt idx="89">
                  <c:v>1.0038136441245</c:v>
                </c:pt>
                <c:pt idx="90">
                  <c:v>0.83799572014558099</c:v>
                </c:pt>
                <c:pt idx="91">
                  <c:v>0.76936382111846402</c:v>
                </c:pt>
                <c:pt idx="92">
                  <c:v>0.68542649873919304</c:v>
                </c:pt>
                <c:pt idx="93">
                  <c:v>0.67357202459799403</c:v>
                </c:pt>
                <c:pt idx="94">
                  <c:v>0.89264894662891603</c:v>
                </c:pt>
                <c:pt idx="95">
                  <c:v>0.95269574035427596</c:v>
                </c:pt>
                <c:pt idx="96">
                  <c:v>1.2195550349566799</c:v>
                </c:pt>
                <c:pt idx="97">
                  <c:v>1.0752007682953699</c:v>
                </c:pt>
                <c:pt idx="98">
                  <c:v>1.1917033882418699</c:v>
                </c:pt>
                <c:pt idx="99">
                  <c:v>1.1512135545883699</c:v>
                </c:pt>
                <c:pt idx="100">
                  <c:v>1.08860512844841</c:v>
                </c:pt>
                <c:pt idx="101">
                  <c:v>1.0106656845948201</c:v>
                </c:pt>
                <c:pt idx="102">
                  <c:v>1.0174676602735699</c:v>
                </c:pt>
                <c:pt idx="103">
                  <c:v>1.0709024408738701</c:v>
                </c:pt>
                <c:pt idx="104">
                  <c:v>1.0812676526014799</c:v>
                </c:pt>
                <c:pt idx="105">
                  <c:v>1.0728555635499499</c:v>
                </c:pt>
                <c:pt idx="106">
                  <c:v>1.1650283355093101</c:v>
                </c:pt>
                <c:pt idx="107">
                  <c:v>1.07368700665943</c:v>
                </c:pt>
                <c:pt idx="108">
                  <c:v>1.27473331063336</c:v>
                </c:pt>
                <c:pt idx="109">
                  <c:v>1.2915527086826499</c:v>
                </c:pt>
                <c:pt idx="110">
                  <c:v>1.51709022015813</c:v>
                </c:pt>
                <c:pt idx="111">
                  <c:v>1.3536231888096899</c:v>
                </c:pt>
                <c:pt idx="112">
                  <c:v>1.43661504745658</c:v>
                </c:pt>
                <c:pt idx="113">
                  <c:v>1.54710474467911</c:v>
                </c:pt>
                <c:pt idx="114">
                  <c:v>1.61890627165588</c:v>
                </c:pt>
                <c:pt idx="115">
                  <c:v>1.5255405095463399</c:v>
                </c:pt>
                <c:pt idx="116">
                  <c:v>1.4361070891221199</c:v>
                </c:pt>
                <c:pt idx="117">
                  <c:v>1.49232701052154</c:v>
                </c:pt>
                <c:pt idx="118">
                  <c:v>1.5816296612894101</c:v>
                </c:pt>
                <c:pt idx="119">
                  <c:v>1.70664869758108</c:v>
                </c:pt>
                <c:pt idx="120">
                  <c:v>1.8263337611516499</c:v>
                </c:pt>
                <c:pt idx="121">
                  <c:v>1.9758245054631001</c:v>
                </c:pt>
                <c:pt idx="122">
                  <c:v>1.90359659136046</c:v>
                </c:pt>
                <c:pt idx="123">
                  <c:v>1.90451411898402</c:v>
                </c:pt>
                <c:pt idx="124">
                  <c:v>1.9884787213934001</c:v>
                </c:pt>
                <c:pt idx="125">
                  <c:v>1.93694313803861</c:v>
                </c:pt>
                <c:pt idx="126">
                  <c:v>1.9731555682947099</c:v>
                </c:pt>
                <c:pt idx="127">
                  <c:v>1.93159205455473</c:v>
                </c:pt>
                <c:pt idx="128">
                  <c:v>2.1698591693892402</c:v>
                </c:pt>
                <c:pt idx="129">
                  <c:v>2.2664649766020601</c:v>
                </c:pt>
                <c:pt idx="130">
                  <c:v>2.3951381781363201</c:v>
                </c:pt>
                <c:pt idx="131">
                  <c:v>2.4653518548544699</c:v>
                </c:pt>
                <c:pt idx="132">
                  <c:v>2.4874478396559101</c:v>
                </c:pt>
                <c:pt idx="133">
                  <c:v>2.4151694965754702</c:v>
                </c:pt>
                <c:pt idx="134">
                  <c:v>2.4339236447544201</c:v>
                </c:pt>
                <c:pt idx="135">
                  <c:v>2.5465865539026802</c:v>
                </c:pt>
                <c:pt idx="136">
                  <c:v>2.65824037467811</c:v>
                </c:pt>
                <c:pt idx="137">
                  <c:v>2.7474889647045599</c:v>
                </c:pt>
                <c:pt idx="138">
                  <c:v>2.6127555673688398</c:v>
                </c:pt>
                <c:pt idx="139">
                  <c:v>2.6062345075576601</c:v>
                </c:pt>
                <c:pt idx="140">
                  <c:v>2.4303431592639799</c:v>
                </c:pt>
                <c:pt idx="141">
                  <c:v>2.3255864505771999</c:v>
                </c:pt>
                <c:pt idx="142">
                  <c:v>2.2177744780733302</c:v>
                </c:pt>
                <c:pt idx="143">
                  <c:v>2.2959156081727699</c:v>
                </c:pt>
                <c:pt idx="144">
                  <c:v>2.29348004338416</c:v>
                </c:pt>
                <c:pt idx="145">
                  <c:v>2.18111401519932</c:v>
                </c:pt>
                <c:pt idx="146">
                  <c:v>2.1774556331648598</c:v>
                </c:pt>
                <c:pt idx="147">
                  <c:v>2.2802963874707101</c:v>
                </c:pt>
                <c:pt idx="148">
                  <c:v>2.5511331708454801</c:v>
                </c:pt>
                <c:pt idx="149">
                  <c:v>2.4955725518142802</c:v>
                </c:pt>
                <c:pt idx="150">
                  <c:v>2.5386364892889501</c:v>
                </c:pt>
                <c:pt idx="151">
                  <c:v>2.5247025590066499</c:v>
                </c:pt>
                <c:pt idx="152">
                  <c:v>2.4545840423665202</c:v>
                </c:pt>
                <c:pt idx="153">
                  <c:v>2.35448694338411</c:v>
                </c:pt>
                <c:pt idx="154">
                  <c:v>2.16478968132675</c:v>
                </c:pt>
                <c:pt idx="155">
                  <c:v>2.12453678162837</c:v>
                </c:pt>
                <c:pt idx="156">
                  <c:v>2.1223062112534801</c:v>
                </c:pt>
                <c:pt idx="157">
                  <c:v>2.2516549596687501</c:v>
                </c:pt>
                <c:pt idx="158">
                  <c:v>2.2368302758965299</c:v>
                </c:pt>
                <c:pt idx="159">
                  <c:v>2.32610355749999</c:v>
                </c:pt>
                <c:pt idx="160">
                  <c:v>2.0813667960052298</c:v>
                </c:pt>
                <c:pt idx="161">
                  <c:v>1.96252607096264</c:v>
                </c:pt>
                <c:pt idx="162">
                  <c:v>1.78568135442655</c:v>
                </c:pt>
                <c:pt idx="163">
                  <c:v>1.90018688954556</c:v>
                </c:pt>
                <c:pt idx="164">
                  <c:v>2.0805655535689902</c:v>
                </c:pt>
                <c:pt idx="165">
                  <c:v>2.1546644968562898</c:v>
                </c:pt>
                <c:pt idx="166">
                  <c:v>1.9939014989758299</c:v>
                </c:pt>
                <c:pt idx="167">
                  <c:v>1.84474404233822</c:v>
                </c:pt>
                <c:pt idx="168">
                  <c:v>1.6812733552307499</c:v>
                </c:pt>
                <c:pt idx="169">
                  <c:v>1.8432366368303801</c:v>
                </c:pt>
                <c:pt idx="170">
                  <c:v>1.7987225192220999</c:v>
                </c:pt>
                <c:pt idx="171">
                  <c:v>1.76085788415332</c:v>
                </c:pt>
                <c:pt idx="172">
                  <c:v>1.69285765808176</c:v>
                </c:pt>
                <c:pt idx="173">
                  <c:v>1.69285765808176</c:v>
                </c:pt>
                <c:pt idx="174">
                  <c:v>1.69285765808176</c:v>
                </c:pt>
                <c:pt idx="175">
                  <c:v>1.69285765808176</c:v>
                </c:pt>
                <c:pt idx="176">
                  <c:v>1.69285765808176</c:v>
                </c:pt>
                <c:pt idx="177">
                  <c:v>1.69285765808176</c:v>
                </c:pt>
                <c:pt idx="178">
                  <c:v>1.69285765808176</c:v>
                </c:pt>
                <c:pt idx="179">
                  <c:v>1.69285765808176</c:v>
                </c:pt>
                <c:pt idx="180">
                  <c:v>1.69285765808176</c:v>
                </c:pt>
                <c:pt idx="181">
                  <c:v>1.69285765808176</c:v>
                </c:pt>
                <c:pt idx="182">
                  <c:v>1.69285765808176</c:v>
                </c:pt>
                <c:pt idx="183">
                  <c:v>1.69285765808176</c:v>
                </c:pt>
                <c:pt idx="184">
                  <c:v>1.69285765808176</c:v>
                </c:pt>
                <c:pt idx="185">
                  <c:v>1.69285765808176</c:v>
                </c:pt>
                <c:pt idx="186">
                  <c:v>1.69285765808176</c:v>
                </c:pt>
                <c:pt idx="187">
                  <c:v>1.69285765808176</c:v>
                </c:pt>
                <c:pt idx="188">
                  <c:v>1.69285765808176</c:v>
                </c:pt>
                <c:pt idx="189">
                  <c:v>1.69285765808176</c:v>
                </c:pt>
                <c:pt idx="190">
                  <c:v>1.69285765808176</c:v>
                </c:pt>
                <c:pt idx="191">
                  <c:v>1.69285765808176</c:v>
                </c:pt>
                <c:pt idx="192">
                  <c:v>1.69285765808176</c:v>
                </c:pt>
                <c:pt idx="193">
                  <c:v>1.69285765808176</c:v>
                </c:pt>
                <c:pt idx="194">
                  <c:v>1.69285765808176</c:v>
                </c:pt>
                <c:pt idx="195">
                  <c:v>1.69285765808176</c:v>
                </c:pt>
                <c:pt idx="196">
                  <c:v>1.69285765808176</c:v>
                </c:pt>
                <c:pt idx="197">
                  <c:v>1.69285765808176</c:v>
                </c:pt>
                <c:pt idx="198">
                  <c:v>1.69285765808176</c:v>
                </c:pt>
                <c:pt idx="199">
                  <c:v>1.69285765808176</c:v>
                </c:pt>
                <c:pt idx="200">
                  <c:v>1.69285765808176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E-4EEC-AFB3-89EEA0BE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692704"/>
        <c:axId val="717692344"/>
      </c:lineChart>
      <c:scatterChart>
        <c:scatterStyle val="lineMarker"/>
        <c:varyColors val="0"/>
        <c:ser>
          <c:idx val="0"/>
          <c:order val="0"/>
          <c:tx>
            <c:strRef>
              <c:f>Biomasstest!$B$1</c:f>
              <c:strCache>
                <c:ptCount val="1"/>
                <c:pt idx="0">
                  <c:v>Biomass_measured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Biomasstest!$A$2:$A$250</c:f>
              <c:strCache>
                <c:ptCount val="249"/>
                <c:pt idx="0">
                  <c:v>2023-02-01 00:00:00+00:00</c:v>
                </c:pt>
                <c:pt idx="1">
                  <c:v>2023-02-02 00:00:00+00:00</c:v>
                </c:pt>
                <c:pt idx="2">
                  <c:v>2023-02-03 00:00:00+00:00</c:v>
                </c:pt>
                <c:pt idx="3">
                  <c:v>2023-02-04 00:00:00+00:00</c:v>
                </c:pt>
                <c:pt idx="4">
                  <c:v>2023-02-05 00:00:00+00:00</c:v>
                </c:pt>
                <c:pt idx="5">
                  <c:v>2023-02-06 00:00:00+00:00</c:v>
                </c:pt>
                <c:pt idx="6">
                  <c:v>2023-02-07 00:00:00+00:00</c:v>
                </c:pt>
                <c:pt idx="7">
                  <c:v>2023-02-08 00:00:00+00:00</c:v>
                </c:pt>
                <c:pt idx="8">
                  <c:v>2023-02-09 00:00:00+00:00</c:v>
                </c:pt>
                <c:pt idx="9">
                  <c:v>2023-02-10 00:00:00+00:00</c:v>
                </c:pt>
                <c:pt idx="10">
                  <c:v>2023-02-11 00:00:00+00:00</c:v>
                </c:pt>
                <c:pt idx="11">
                  <c:v>2023-02-12 00:00:00+00:00</c:v>
                </c:pt>
                <c:pt idx="12">
                  <c:v>2023-02-13 00:00:00+00:00</c:v>
                </c:pt>
                <c:pt idx="13">
                  <c:v>2023-02-14 00:00:00+00:00</c:v>
                </c:pt>
                <c:pt idx="14">
                  <c:v>2023-02-15 00:00:00+00:00</c:v>
                </c:pt>
                <c:pt idx="15">
                  <c:v>2023-02-16 00:00:00+00:00</c:v>
                </c:pt>
                <c:pt idx="16">
                  <c:v>2023-02-17 00:00:00+00:00</c:v>
                </c:pt>
                <c:pt idx="17">
                  <c:v>2023-02-18 00:00:00+00:00</c:v>
                </c:pt>
                <c:pt idx="18">
                  <c:v>2023-02-19 00:00:00+00:00</c:v>
                </c:pt>
                <c:pt idx="19">
                  <c:v>2023-02-20 00:00:00+00:00</c:v>
                </c:pt>
                <c:pt idx="20">
                  <c:v>2023-02-21 00:00:00+00:00</c:v>
                </c:pt>
                <c:pt idx="21">
                  <c:v>2023-02-22 00:00:00+00:00</c:v>
                </c:pt>
                <c:pt idx="22">
                  <c:v>2023-02-23 00:00:00+00:00</c:v>
                </c:pt>
                <c:pt idx="23">
                  <c:v>2023-02-24 00:00:00+00:00</c:v>
                </c:pt>
                <c:pt idx="24">
                  <c:v>2023-02-25 00:00:00+00:00</c:v>
                </c:pt>
                <c:pt idx="25">
                  <c:v>2023-02-26 00:00:00+00:00</c:v>
                </c:pt>
                <c:pt idx="26">
                  <c:v>2023-02-27 00:00:00+00:00</c:v>
                </c:pt>
                <c:pt idx="27">
                  <c:v>2023-02-28 00:00:00+00:00</c:v>
                </c:pt>
                <c:pt idx="28">
                  <c:v>2023-03-01 00:00:00+00:00</c:v>
                </c:pt>
                <c:pt idx="29">
                  <c:v>2023-03-02 00:00:00+00:00</c:v>
                </c:pt>
                <c:pt idx="30">
                  <c:v>2023-03-03 00:00:00+00:00</c:v>
                </c:pt>
                <c:pt idx="31">
                  <c:v>2023-03-04 00:00:00+00:00</c:v>
                </c:pt>
                <c:pt idx="32">
                  <c:v>2023-03-05 00:00:00+00:00</c:v>
                </c:pt>
                <c:pt idx="33">
                  <c:v>2023-03-06 00:00:00+00:00</c:v>
                </c:pt>
                <c:pt idx="34">
                  <c:v>2023-03-07 00:00:00+00:00</c:v>
                </c:pt>
                <c:pt idx="35">
                  <c:v>2023-03-08 00:00:00+00:00</c:v>
                </c:pt>
                <c:pt idx="36">
                  <c:v>2023-03-09 00:00:00+00:00</c:v>
                </c:pt>
                <c:pt idx="37">
                  <c:v>2023-03-10 00:00:00+00:00</c:v>
                </c:pt>
                <c:pt idx="38">
                  <c:v>2023-03-11 00:00:00+00:00</c:v>
                </c:pt>
                <c:pt idx="39">
                  <c:v>2023-03-12 00:00:00+00:00</c:v>
                </c:pt>
                <c:pt idx="40">
                  <c:v>2023-03-13 00:00:00+00:00</c:v>
                </c:pt>
                <c:pt idx="41">
                  <c:v>2023-03-14 00:00:00+00:00</c:v>
                </c:pt>
                <c:pt idx="42">
                  <c:v>2023-03-15 00:00:00+00:00</c:v>
                </c:pt>
                <c:pt idx="43">
                  <c:v>2023-03-16 00:00:00+00:00</c:v>
                </c:pt>
                <c:pt idx="44">
                  <c:v>2023-03-17 00:00:00+00:00</c:v>
                </c:pt>
                <c:pt idx="45">
                  <c:v>2023-03-18 00:00:00+00:00</c:v>
                </c:pt>
                <c:pt idx="46">
                  <c:v>2023-03-19 00:00:00+00:00</c:v>
                </c:pt>
                <c:pt idx="47">
                  <c:v>2023-03-20 00:00:00+00:00</c:v>
                </c:pt>
                <c:pt idx="48">
                  <c:v>2023-03-21 00:00:00+00:00</c:v>
                </c:pt>
                <c:pt idx="49">
                  <c:v>2023-03-22 00:00:00+00:00</c:v>
                </c:pt>
                <c:pt idx="50">
                  <c:v>2023-03-23 00:00:00+00:00</c:v>
                </c:pt>
                <c:pt idx="51">
                  <c:v>2023-03-24 00:00:00+00:00</c:v>
                </c:pt>
                <c:pt idx="52">
                  <c:v>2023-03-25 00:00:00+00:00</c:v>
                </c:pt>
                <c:pt idx="53">
                  <c:v>2023-03-26 00:00:00+00:00</c:v>
                </c:pt>
                <c:pt idx="54">
                  <c:v>2023-03-27 00:00:00+00:00</c:v>
                </c:pt>
                <c:pt idx="55">
                  <c:v>2023-03-28 00:00:00+00:00</c:v>
                </c:pt>
                <c:pt idx="56">
                  <c:v>2023-03-29 00:00:00+00:00</c:v>
                </c:pt>
                <c:pt idx="57">
                  <c:v>2023-03-30 00:00:00+00:00</c:v>
                </c:pt>
                <c:pt idx="58">
                  <c:v>2023-03-31 00:00:00+00:00</c:v>
                </c:pt>
                <c:pt idx="59">
                  <c:v>2023-04-01 00:00:00+00:00</c:v>
                </c:pt>
                <c:pt idx="60">
                  <c:v>2023-04-02 00:00:00+00:00</c:v>
                </c:pt>
                <c:pt idx="61">
                  <c:v>2023-04-03 00:00:00+00:00</c:v>
                </c:pt>
                <c:pt idx="62">
                  <c:v>2023-04-04 00:00:00+00:00</c:v>
                </c:pt>
                <c:pt idx="63">
                  <c:v>2023-04-05 00:00:00+00:00</c:v>
                </c:pt>
                <c:pt idx="64">
                  <c:v>2023-04-06 00:00:00+00:00</c:v>
                </c:pt>
                <c:pt idx="65">
                  <c:v>2023-04-07 00:00:00+00:00</c:v>
                </c:pt>
                <c:pt idx="66">
                  <c:v>2023-04-08 00:00:00+00:00</c:v>
                </c:pt>
                <c:pt idx="67">
                  <c:v>2023-04-09 00:00:00+00:00</c:v>
                </c:pt>
                <c:pt idx="68">
                  <c:v>2023-04-10 00:00:00+00:00</c:v>
                </c:pt>
                <c:pt idx="69">
                  <c:v>2023-04-11 00:00:00+00:00</c:v>
                </c:pt>
                <c:pt idx="70">
                  <c:v>2023-04-12 00:00:00+00:00</c:v>
                </c:pt>
                <c:pt idx="71">
                  <c:v>2023-04-13 00:00:00+00:00</c:v>
                </c:pt>
                <c:pt idx="72">
                  <c:v>2023-04-14 00:00:00+00:00</c:v>
                </c:pt>
                <c:pt idx="73">
                  <c:v>2023-04-15 00:00:00+00:00</c:v>
                </c:pt>
                <c:pt idx="74">
                  <c:v>2023-04-16 00:00:00+00:00</c:v>
                </c:pt>
                <c:pt idx="75">
                  <c:v>2023-04-17 00:00:00+00:00</c:v>
                </c:pt>
                <c:pt idx="76">
                  <c:v>2023-04-18 00:00:00+00:00</c:v>
                </c:pt>
                <c:pt idx="77">
                  <c:v>2023-04-19 00:00:00+00:00</c:v>
                </c:pt>
                <c:pt idx="78">
                  <c:v>2023-04-20 00:00:00+00:00</c:v>
                </c:pt>
                <c:pt idx="79">
                  <c:v>2023-04-21 00:00:00+00:00</c:v>
                </c:pt>
                <c:pt idx="80">
                  <c:v>2023-04-22 00:00:00+00:00</c:v>
                </c:pt>
                <c:pt idx="81">
                  <c:v>2023-04-23 00:00:00+00:00</c:v>
                </c:pt>
                <c:pt idx="82">
                  <c:v>2023-04-24 00:00:00+00:00</c:v>
                </c:pt>
                <c:pt idx="83">
                  <c:v>2023-04-25 00:00:00+00:00</c:v>
                </c:pt>
                <c:pt idx="84">
                  <c:v>2023-04-26 00:00:00+00:00</c:v>
                </c:pt>
                <c:pt idx="85">
                  <c:v>2023-04-27 00:00:00+00:00</c:v>
                </c:pt>
                <c:pt idx="86">
                  <c:v>2023-04-28 00:00:00+00:00</c:v>
                </c:pt>
                <c:pt idx="87">
                  <c:v>2023-04-29 00:00:00+00:00</c:v>
                </c:pt>
                <c:pt idx="88">
                  <c:v>2023-04-30 00:00:00+00:00</c:v>
                </c:pt>
                <c:pt idx="89">
                  <c:v>2023-05-01 00:00:00+00:00</c:v>
                </c:pt>
                <c:pt idx="90">
                  <c:v>2023-05-02 00:00:00+00:00</c:v>
                </c:pt>
                <c:pt idx="91">
                  <c:v>2023-05-03 00:00:00+00:00</c:v>
                </c:pt>
                <c:pt idx="92">
                  <c:v>2023-05-04 00:00:00+00:00</c:v>
                </c:pt>
                <c:pt idx="93">
                  <c:v>2023-05-05 00:00:00+00:00</c:v>
                </c:pt>
                <c:pt idx="94">
                  <c:v>2023-05-06 00:00:00+00:00</c:v>
                </c:pt>
                <c:pt idx="95">
                  <c:v>2023-05-07 00:00:00+00:00</c:v>
                </c:pt>
                <c:pt idx="96">
                  <c:v>2023-05-08 00:00:00+00:00</c:v>
                </c:pt>
                <c:pt idx="97">
                  <c:v>2023-05-09 00:00:00+00:00</c:v>
                </c:pt>
                <c:pt idx="98">
                  <c:v>2023-05-10 00:00:00+00:00</c:v>
                </c:pt>
                <c:pt idx="99">
                  <c:v>2023-05-11 00:00:00+00:00</c:v>
                </c:pt>
                <c:pt idx="100">
                  <c:v>2023-05-12 00:00:00+00:00</c:v>
                </c:pt>
                <c:pt idx="101">
                  <c:v>2023-05-13 00:00:00+00:00</c:v>
                </c:pt>
                <c:pt idx="102">
                  <c:v>2023-05-14 00:00:00+00:00</c:v>
                </c:pt>
                <c:pt idx="103">
                  <c:v>2023-05-15 00:00:00+00:00</c:v>
                </c:pt>
                <c:pt idx="104">
                  <c:v>2023-05-16 00:00:00+00:00</c:v>
                </c:pt>
                <c:pt idx="105">
                  <c:v>2023-05-17 00:00:00+00:00</c:v>
                </c:pt>
                <c:pt idx="106">
                  <c:v>2023-05-18 00:00:00+00:00</c:v>
                </c:pt>
                <c:pt idx="107">
                  <c:v>2023-05-19 00:00:00+00:00</c:v>
                </c:pt>
                <c:pt idx="108">
                  <c:v>2023-05-20 00:00:00+00:00</c:v>
                </c:pt>
                <c:pt idx="109">
                  <c:v>2023-05-21 00:00:00+00:00</c:v>
                </c:pt>
                <c:pt idx="110">
                  <c:v>2023-05-22 00:00:00+00:00</c:v>
                </c:pt>
                <c:pt idx="111">
                  <c:v>2023-05-23 00:00:00+00:00</c:v>
                </c:pt>
                <c:pt idx="112">
                  <c:v>2023-05-24 00:00:00+00:00</c:v>
                </c:pt>
                <c:pt idx="113">
                  <c:v>2023-05-25 00:00:00+00:00</c:v>
                </c:pt>
                <c:pt idx="114">
                  <c:v>2023-05-26 00:00:00+00:00</c:v>
                </c:pt>
                <c:pt idx="115">
                  <c:v>2023-05-27 00:00:00+00:00</c:v>
                </c:pt>
                <c:pt idx="116">
                  <c:v>2023-05-28 00:00:00+00:00</c:v>
                </c:pt>
                <c:pt idx="117">
                  <c:v>2023-05-29 00:00:00+00:00</c:v>
                </c:pt>
                <c:pt idx="118">
                  <c:v>2023-05-30 00:00:00+00:00</c:v>
                </c:pt>
                <c:pt idx="119">
                  <c:v>2023-05-31 00:00:00+00:00</c:v>
                </c:pt>
                <c:pt idx="120">
                  <c:v>2023-06-01 00:00:00+00:00</c:v>
                </c:pt>
                <c:pt idx="121">
                  <c:v>2023-06-02 00:00:00+00:00</c:v>
                </c:pt>
                <c:pt idx="122">
                  <c:v>2023-06-03 00:00:00+00:00</c:v>
                </c:pt>
                <c:pt idx="123">
                  <c:v>2023-06-04 00:00:00+00:00</c:v>
                </c:pt>
                <c:pt idx="124">
                  <c:v>2023-06-05 00:00:00+00:00</c:v>
                </c:pt>
                <c:pt idx="125">
                  <c:v>2023-06-06 00:00:00+00:00</c:v>
                </c:pt>
                <c:pt idx="126">
                  <c:v>2023-06-07 00:00:00+00:00</c:v>
                </c:pt>
                <c:pt idx="127">
                  <c:v>2023-06-08 00:00:00+00:00</c:v>
                </c:pt>
                <c:pt idx="128">
                  <c:v>2023-06-09 00:00:00+00:00</c:v>
                </c:pt>
                <c:pt idx="129">
                  <c:v>2023-06-10 00:00:00+00:00</c:v>
                </c:pt>
                <c:pt idx="130">
                  <c:v>2023-06-11 00:00:00+00:00</c:v>
                </c:pt>
                <c:pt idx="131">
                  <c:v>2023-06-12 00:00:00+00:00</c:v>
                </c:pt>
                <c:pt idx="132">
                  <c:v>2023-06-13 00:00:00+00:00</c:v>
                </c:pt>
                <c:pt idx="133">
                  <c:v>2023-06-14 00:00:00+00:00</c:v>
                </c:pt>
                <c:pt idx="134">
                  <c:v>2023-06-15 00:00:00+00:00</c:v>
                </c:pt>
                <c:pt idx="135">
                  <c:v>2023-06-16 00:00:00+00:00</c:v>
                </c:pt>
                <c:pt idx="136">
                  <c:v>2023-06-17 00:00:00+00:00</c:v>
                </c:pt>
                <c:pt idx="137">
                  <c:v>2023-06-18 00:00:00+00:00</c:v>
                </c:pt>
                <c:pt idx="138">
                  <c:v>2023-06-19 00:00:00+00:00</c:v>
                </c:pt>
                <c:pt idx="139">
                  <c:v>2023-06-20 00:00:00+00:00</c:v>
                </c:pt>
                <c:pt idx="140">
                  <c:v>2023-06-21 00:00:00+00:00</c:v>
                </c:pt>
                <c:pt idx="141">
                  <c:v>2023-06-22 00:00:00+00:00</c:v>
                </c:pt>
                <c:pt idx="142">
                  <c:v>2023-06-23 00:00:00+00:00</c:v>
                </c:pt>
                <c:pt idx="143">
                  <c:v>2023-06-24 00:00:00+00:00</c:v>
                </c:pt>
                <c:pt idx="144">
                  <c:v>2023-06-25 00:00:00+00:00</c:v>
                </c:pt>
                <c:pt idx="145">
                  <c:v>2023-06-26 00:00:00+00:00</c:v>
                </c:pt>
                <c:pt idx="146">
                  <c:v>2023-06-27 00:00:00+00:00</c:v>
                </c:pt>
                <c:pt idx="147">
                  <c:v>2023-06-28 00:00:00+00:00</c:v>
                </c:pt>
                <c:pt idx="148">
                  <c:v>2023-06-29 00:00:00+00:00</c:v>
                </c:pt>
                <c:pt idx="149">
                  <c:v>2023-06-30 00:00:00+00:00</c:v>
                </c:pt>
                <c:pt idx="150">
                  <c:v>2023-07-01 00:00:00+00:00</c:v>
                </c:pt>
                <c:pt idx="151">
                  <c:v>2023-07-02 00:00:00+00:00</c:v>
                </c:pt>
                <c:pt idx="152">
                  <c:v>2023-07-03 00:00:00+00:00</c:v>
                </c:pt>
                <c:pt idx="153">
                  <c:v>2023-07-04 00:00:00+00:00</c:v>
                </c:pt>
                <c:pt idx="154">
                  <c:v>2023-07-05 00:00:00+00:00</c:v>
                </c:pt>
                <c:pt idx="155">
                  <c:v>2023-07-06 00:00:00+00:00</c:v>
                </c:pt>
                <c:pt idx="156">
                  <c:v>2023-07-07 00:00:00+00:00</c:v>
                </c:pt>
                <c:pt idx="157">
                  <c:v>2023-07-08 00:00:00+00:00</c:v>
                </c:pt>
                <c:pt idx="158">
                  <c:v>2023-07-09 00:00:00+00:00</c:v>
                </c:pt>
                <c:pt idx="159">
                  <c:v>2023-07-10 00:00:00+00:00</c:v>
                </c:pt>
                <c:pt idx="160">
                  <c:v>2023-07-11 00:00:00+00:00</c:v>
                </c:pt>
                <c:pt idx="161">
                  <c:v>2023-07-12 00:00:00+00:00</c:v>
                </c:pt>
                <c:pt idx="162">
                  <c:v>2023-07-13 00:00:00+00:00</c:v>
                </c:pt>
                <c:pt idx="163">
                  <c:v>2023-07-14 00:00:00+00:00</c:v>
                </c:pt>
                <c:pt idx="164">
                  <c:v>2023-07-15 00:00:00+00:00</c:v>
                </c:pt>
                <c:pt idx="165">
                  <c:v>2023-07-16 00:00:00+00:00</c:v>
                </c:pt>
                <c:pt idx="166">
                  <c:v>2023-07-17 00:00:00+00:00</c:v>
                </c:pt>
                <c:pt idx="167">
                  <c:v>2023-07-18 00:00:00+00:00</c:v>
                </c:pt>
                <c:pt idx="168">
                  <c:v>2023-07-19 00:00:00+00:00</c:v>
                </c:pt>
                <c:pt idx="169">
                  <c:v>2023-07-20 00:00:00+00:00</c:v>
                </c:pt>
                <c:pt idx="170">
                  <c:v>2023-07-21 00:00:00+00:00</c:v>
                </c:pt>
                <c:pt idx="171">
                  <c:v>2023-07-22 00:00:00+00:00</c:v>
                </c:pt>
                <c:pt idx="172">
                  <c:v>2023-07-23 00:00:00+00:00</c:v>
                </c:pt>
                <c:pt idx="173">
                  <c:v>2023-07-24 00:00:00+00:00</c:v>
                </c:pt>
                <c:pt idx="174">
                  <c:v>2023-07-25 00:00:00+00:00</c:v>
                </c:pt>
                <c:pt idx="175">
                  <c:v>2023-07-26 00:00:00+00:00</c:v>
                </c:pt>
                <c:pt idx="176">
                  <c:v>2023-07-27 00:00:00+00:00</c:v>
                </c:pt>
                <c:pt idx="177">
                  <c:v>2023-07-28 00:00:00+00:00</c:v>
                </c:pt>
                <c:pt idx="178">
                  <c:v>2023-07-29 00:00:00+00:00</c:v>
                </c:pt>
                <c:pt idx="179">
                  <c:v>2023-07-30 00:00:00+00:00</c:v>
                </c:pt>
                <c:pt idx="180">
                  <c:v>2023-07-31 00:00:00+00:00</c:v>
                </c:pt>
                <c:pt idx="181">
                  <c:v>2023-08-01 00:00:00+00:00</c:v>
                </c:pt>
                <c:pt idx="182">
                  <c:v>2023-08-02 00:00:00+00:00</c:v>
                </c:pt>
                <c:pt idx="183">
                  <c:v>2023-08-03 00:00:00+00:00</c:v>
                </c:pt>
                <c:pt idx="184">
                  <c:v>2023-08-04 00:00:00+00:00</c:v>
                </c:pt>
                <c:pt idx="185">
                  <c:v>2023-08-05 00:00:00+00:00</c:v>
                </c:pt>
                <c:pt idx="186">
                  <c:v>2023-08-06 00:00:00+00:00</c:v>
                </c:pt>
                <c:pt idx="187">
                  <c:v>2023-08-07 00:00:00+00:00</c:v>
                </c:pt>
                <c:pt idx="188">
                  <c:v>2023-08-08 00:00:00+00:00</c:v>
                </c:pt>
                <c:pt idx="189">
                  <c:v>2023-08-09 00:00:00+00:00</c:v>
                </c:pt>
                <c:pt idx="190">
                  <c:v>2023-08-10 00:00:00+00:00</c:v>
                </c:pt>
                <c:pt idx="191">
                  <c:v>2023-08-11 00:00:00+00:00</c:v>
                </c:pt>
                <c:pt idx="192">
                  <c:v>2023-08-12 00:00:00+00:00</c:v>
                </c:pt>
                <c:pt idx="193">
                  <c:v>2023-08-13 00:00:00+00:00</c:v>
                </c:pt>
                <c:pt idx="194">
                  <c:v>2023-08-14 00:00:00+00:00</c:v>
                </c:pt>
                <c:pt idx="195">
                  <c:v>2023-08-15 00:00:00+00:00</c:v>
                </c:pt>
                <c:pt idx="196">
                  <c:v>2023-08-16 00:00:00+00:00</c:v>
                </c:pt>
                <c:pt idx="197">
                  <c:v>2023-08-17 00:00:00+00:00</c:v>
                </c:pt>
                <c:pt idx="198">
                  <c:v>2023-08-18 00:00:00+00:00</c:v>
                </c:pt>
                <c:pt idx="199">
                  <c:v>2023-08-19 00:00:00+00:00</c:v>
                </c:pt>
                <c:pt idx="200">
                  <c:v>2023-08-20 00:00:00+00:00</c:v>
                </c:pt>
                <c:pt idx="201">
                  <c:v>2023-08-21 00:00:00+00:00</c:v>
                </c:pt>
                <c:pt idx="202">
                  <c:v>2023-08-22 00:00:00+00:00</c:v>
                </c:pt>
                <c:pt idx="203">
                  <c:v>2023-08-23 00:00:00+00:00</c:v>
                </c:pt>
                <c:pt idx="204">
                  <c:v>2023-08-24 00:00:00+00:00</c:v>
                </c:pt>
                <c:pt idx="205">
                  <c:v>2023-08-25 00:00:00+00:00</c:v>
                </c:pt>
                <c:pt idx="206">
                  <c:v>2023-08-26 00:00:00+00:00</c:v>
                </c:pt>
                <c:pt idx="207">
                  <c:v>2023-08-27 00:00:00+00:00</c:v>
                </c:pt>
                <c:pt idx="208">
                  <c:v>2023-08-28 00:00:00+00:00</c:v>
                </c:pt>
                <c:pt idx="209">
                  <c:v>2023-08-29 00:00:00+00:00</c:v>
                </c:pt>
                <c:pt idx="210">
                  <c:v>2023-08-30 00:00:00+00:00</c:v>
                </c:pt>
                <c:pt idx="211">
                  <c:v>2023-08-31 00:00:00+00:00</c:v>
                </c:pt>
                <c:pt idx="212">
                  <c:v>2023-09-01 00:00:00+00:00</c:v>
                </c:pt>
                <c:pt idx="213">
                  <c:v>2023-09-02 00:00:00+00:00</c:v>
                </c:pt>
                <c:pt idx="214">
                  <c:v>2023-09-03 00:00:00+00:00</c:v>
                </c:pt>
                <c:pt idx="215">
                  <c:v>2023-09-04 00:00:00+00:00</c:v>
                </c:pt>
                <c:pt idx="216">
                  <c:v>2023-09-05 00:00:00+00:00</c:v>
                </c:pt>
                <c:pt idx="217">
                  <c:v>2023-09-06 00:00:00+00:00</c:v>
                </c:pt>
                <c:pt idx="218">
                  <c:v>2023-09-07 00:00:00+00:00</c:v>
                </c:pt>
                <c:pt idx="219">
                  <c:v>2023-09-08 00:00:00+00:00</c:v>
                </c:pt>
                <c:pt idx="220">
                  <c:v>2023-09-09 00:00:00+00:00</c:v>
                </c:pt>
                <c:pt idx="221">
                  <c:v>2023-09-10 00:00:00+00:00</c:v>
                </c:pt>
                <c:pt idx="222">
                  <c:v>2023-09-11 00:00:00+00:00</c:v>
                </c:pt>
                <c:pt idx="223">
                  <c:v>2023-09-12 00:00:00+00:00</c:v>
                </c:pt>
                <c:pt idx="224">
                  <c:v>2023-09-13 00:00:00+00:00</c:v>
                </c:pt>
                <c:pt idx="225">
                  <c:v>2023-09-14 00:00:00+00:00</c:v>
                </c:pt>
                <c:pt idx="226">
                  <c:v>2023-09-15 00:00:00+00:00</c:v>
                </c:pt>
                <c:pt idx="227">
                  <c:v>2023-09-16 00:00:00+00:00</c:v>
                </c:pt>
                <c:pt idx="228">
                  <c:v>2023-09-17 00:00:00+00:00</c:v>
                </c:pt>
                <c:pt idx="229">
                  <c:v>2023-09-18 00:00:00+00:00</c:v>
                </c:pt>
                <c:pt idx="230">
                  <c:v>2023-09-19 00:00:00+00:00</c:v>
                </c:pt>
                <c:pt idx="231">
                  <c:v>2023-09-20 00:00:00+00:00</c:v>
                </c:pt>
                <c:pt idx="232">
                  <c:v>2023-09-21 00:00:00+00:00</c:v>
                </c:pt>
                <c:pt idx="233">
                  <c:v>2023-09-22 00:00:00+00:00</c:v>
                </c:pt>
                <c:pt idx="234">
                  <c:v>2023-09-23 00:00:00+00:00</c:v>
                </c:pt>
                <c:pt idx="235">
                  <c:v>2023-09-24 00:00:00+00:00</c:v>
                </c:pt>
                <c:pt idx="236">
                  <c:v>2023-09-25 00:00:00+00:00</c:v>
                </c:pt>
                <c:pt idx="237">
                  <c:v>2023-09-26 00:00:00+00:00</c:v>
                </c:pt>
                <c:pt idx="238">
                  <c:v>2023-09-27 00:00:00+00:00</c:v>
                </c:pt>
                <c:pt idx="239">
                  <c:v>2023-09-28 00:00:00+00:00</c:v>
                </c:pt>
                <c:pt idx="240">
                  <c:v>2023-09-29 00:00:00+00:00</c:v>
                </c:pt>
                <c:pt idx="241">
                  <c:v>2023-09-30 00:00:00+00:00</c:v>
                </c:pt>
                <c:pt idx="242">
                  <c:v>2023-10-01 00:00:00+00:00</c:v>
                </c:pt>
                <c:pt idx="243">
                  <c:v>2023-10-02 00:00:00+00:00</c:v>
                </c:pt>
                <c:pt idx="244">
                  <c:v>2023-10-03 00:00:00+00:00</c:v>
                </c:pt>
                <c:pt idx="245">
                  <c:v>2023-10-04 00:00:00+00:00</c:v>
                </c:pt>
                <c:pt idx="246">
                  <c:v>2023-10-05 00:00:00+00:00</c:v>
                </c:pt>
                <c:pt idx="247">
                  <c:v>2023-10-06 00:00:00+00:00</c:v>
                </c:pt>
                <c:pt idx="248">
                  <c:v>2023-10-07 00:00:00+00:00</c:v>
                </c:pt>
              </c:strCache>
            </c:strRef>
          </c:xVal>
          <c:yVal>
            <c:numRef>
              <c:f>Biomasstest!$B$2:$B$250</c:f>
              <c:numCache>
                <c:formatCode>General</c:formatCode>
                <c:ptCount val="249"/>
                <c:pt idx="42">
                  <c:v>0</c:v>
                </c:pt>
                <c:pt idx="159">
                  <c:v>2.32610355749999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E-4EEC-AFB3-89EEA0BE7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692704"/>
        <c:axId val="717692344"/>
      </c:scatterChart>
      <c:catAx>
        <c:axId val="7176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92344"/>
        <c:crosses val="autoZero"/>
        <c:auto val="1"/>
        <c:lblAlgn val="ctr"/>
        <c:lblOffset val="100"/>
        <c:tickLblSkip val="40"/>
        <c:noMultiLvlLbl val="0"/>
      </c:catAx>
      <c:valAx>
        <c:axId val="717692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AGB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92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Above ground</a:t>
            </a:r>
            <a:r>
              <a:rPr lang="en-US" sz="1600" b="1" baseline="0"/>
              <a:t> fresh biomass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Biomasstest!$C$1</c:f>
              <c:strCache>
                <c:ptCount val="1"/>
                <c:pt idx="0">
                  <c:v>Biomass_Predicted_CRNS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Biomasstest!$A$2:$A$610</c:f>
              <c:strCache>
                <c:ptCount val="411"/>
                <c:pt idx="0">
                  <c:v>2023-02-01 00:00:00+00:00</c:v>
                </c:pt>
                <c:pt idx="1">
                  <c:v>2023-02-02 00:00:00+00:00</c:v>
                </c:pt>
                <c:pt idx="2">
                  <c:v>2023-02-03 00:00:00+00:00</c:v>
                </c:pt>
                <c:pt idx="3">
                  <c:v>2023-02-04 00:00:00+00:00</c:v>
                </c:pt>
                <c:pt idx="4">
                  <c:v>2023-02-05 00:00:00+00:00</c:v>
                </c:pt>
                <c:pt idx="5">
                  <c:v>2023-02-06 00:00:00+00:00</c:v>
                </c:pt>
                <c:pt idx="6">
                  <c:v>2023-02-07 00:00:00+00:00</c:v>
                </c:pt>
                <c:pt idx="7">
                  <c:v>2023-02-08 00:00:00+00:00</c:v>
                </c:pt>
                <c:pt idx="8">
                  <c:v>2023-02-09 00:00:00+00:00</c:v>
                </c:pt>
                <c:pt idx="9">
                  <c:v>2023-02-10 00:00:00+00:00</c:v>
                </c:pt>
                <c:pt idx="10">
                  <c:v>2023-02-11 00:00:00+00:00</c:v>
                </c:pt>
                <c:pt idx="11">
                  <c:v>2023-02-12 00:00:00+00:00</c:v>
                </c:pt>
                <c:pt idx="12">
                  <c:v>2023-02-13 00:00:00+00:00</c:v>
                </c:pt>
                <c:pt idx="13">
                  <c:v>2023-02-14 00:00:00+00:00</c:v>
                </c:pt>
                <c:pt idx="14">
                  <c:v>2023-02-15 00:00:00+00:00</c:v>
                </c:pt>
                <c:pt idx="15">
                  <c:v>2023-02-16 00:00:00+00:00</c:v>
                </c:pt>
                <c:pt idx="16">
                  <c:v>2023-02-17 00:00:00+00:00</c:v>
                </c:pt>
                <c:pt idx="17">
                  <c:v>2023-02-18 00:00:00+00:00</c:v>
                </c:pt>
                <c:pt idx="18">
                  <c:v>2023-02-19 00:00:00+00:00</c:v>
                </c:pt>
                <c:pt idx="19">
                  <c:v>2023-02-20 00:00:00+00:00</c:v>
                </c:pt>
                <c:pt idx="20">
                  <c:v>2023-02-21 00:00:00+00:00</c:v>
                </c:pt>
                <c:pt idx="21">
                  <c:v>2023-02-22 00:00:00+00:00</c:v>
                </c:pt>
                <c:pt idx="22">
                  <c:v>2023-02-23 00:00:00+00:00</c:v>
                </c:pt>
                <c:pt idx="23">
                  <c:v>2023-02-24 00:00:00+00:00</c:v>
                </c:pt>
                <c:pt idx="24">
                  <c:v>2023-02-25 00:00:00+00:00</c:v>
                </c:pt>
                <c:pt idx="25">
                  <c:v>2023-02-26 00:00:00+00:00</c:v>
                </c:pt>
                <c:pt idx="26">
                  <c:v>2023-02-27 00:00:00+00:00</c:v>
                </c:pt>
                <c:pt idx="27">
                  <c:v>2023-02-28 00:00:00+00:00</c:v>
                </c:pt>
                <c:pt idx="28">
                  <c:v>2023-03-01 00:00:00+00:00</c:v>
                </c:pt>
                <c:pt idx="29">
                  <c:v>2023-03-02 00:00:00+00:00</c:v>
                </c:pt>
                <c:pt idx="30">
                  <c:v>2023-03-03 00:00:00+00:00</c:v>
                </c:pt>
                <c:pt idx="31">
                  <c:v>2023-03-04 00:00:00+00:00</c:v>
                </c:pt>
                <c:pt idx="32">
                  <c:v>2023-03-05 00:00:00+00:00</c:v>
                </c:pt>
                <c:pt idx="33">
                  <c:v>2023-03-06 00:00:00+00:00</c:v>
                </c:pt>
                <c:pt idx="34">
                  <c:v>2023-03-07 00:00:00+00:00</c:v>
                </c:pt>
                <c:pt idx="35">
                  <c:v>2023-03-08 00:00:00+00:00</c:v>
                </c:pt>
                <c:pt idx="36">
                  <c:v>2023-03-09 00:00:00+00:00</c:v>
                </c:pt>
                <c:pt idx="37">
                  <c:v>2023-03-10 00:00:00+00:00</c:v>
                </c:pt>
                <c:pt idx="38">
                  <c:v>2023-03-11 00:00:00+00:00</c:v>
                </c:pt>
                <c:pt idx="39">
                  <c:v>2023-03-12 00:00:00+00:00</c:v>
                </c:pt>
                <c:pt idx="40">
                  <c:v>2023-03-13 00:00:00+00:00</c:v>
                </c:pt>
                <c:pt idx="41">
                  <c:v>2023-03-14 00:00:00+00:00</c:v>
                </c:pt>
                <c:pt idx="42">
                  <c:v>2023-03-15 00:00:00+00:00</c:v>
                </c:pt>
                <c:pt idx="43">
                  <c:v>2023-03-16 00:00:00+00:00</c:v>
                </c:pt>
                <c:pt idx="44">
                  <c:v>2023-03-17 00:00:00+00:00</c:v>
                </c:pt>
                <c:pt idx="45">
                  <c:v>2023-03-18 00:00:00+00:00</c:v>
                </c:pt>
                <c:pt idx="46">
                  <c:v>2023-03-19 00:00:00+00:00</c:v>
                </c:pt>
                <c:pt idx="47">
                  <c:v>2023-03-20 00:00:00+00:00</c:v>
                </c:pt>
                <c:pt idx="48">
                  <c:v>2023-03-21 00:00:00+00:00</c:v>
                </c:pt>
                <c:pt idx="49">
                  <c:v>2023-03-22 00:00:00+00:00</c:v>
                </c:pt>
                <c:pt idx="50">
                  <c:v>2023-03-23 00:00:00+00:00</c:v>
                </c:pt>
                <c:pt idx="51">
                  <c:v>2023-03-24 00:00:00+00:00</c:v>
                </c:pt>
                <c:pt idx="52">
                  <c:v>2023-03-25 00:00:00+00:00</c:v>
                </c:pt>
                <c:pt idx="53">
                  <c:v>2023-03-26 00:00:00+00:00</c:v>
                </c:pt>
                <c:pt idx="54">
                  <c:v>2023-03-27 00:00:00+00:00</c:v>
                </c:pt>
                <c:pt idx="55">
                  <c:v>2023-03-28 00:00:00+00:00</c:v>
                </c:pt>
                <c:pt idx="56">
                  <c:v>2023-03-29 00:00:00+00:00</c:v>
                </c:pt>
                <c:pt idx="57">
                  <c:v>2023-03-30 00:00:00+00:00</c:v>
                </c:pt>
                <c:pt idx="58">
                  <c:v>2023-03-31 00:00:00+00:00</c:v>
                </c:pt>
                <c:pt idx="59">
                  <c:v>2023-04-01 00:00:00+00:00</c:v>
                </c:pt>
                <c:pt idx="60">
                  <c:v>2023-04-02 00:00:00+00:00</c:v>
                </c:pt>
                <c:pt idx="61">
                  <c:v>2023-04-03 00:00:00+00:00</c:v>
                </c:pt>
                <c:pt idx="62">
                  <c:v>2023-04-04 00:00:00+00:00</c:v>
                </c:pt>
                <c:pt idx="63">
                  <c:v>2023-04-05 00:00:00+00:00</c:v>
                </c:pt>
                <c:pt idx="64">
                  <c:v>2023-04-06 00:00:00+00:00</c:v>
                </c:pt>
                <c:pt idx="65">
                  <c:v>2023-04-07 00:00:00+00:00</c:v>
                </c:pt>
                <c:pt idx="66">
                  <c:v>2023-04-08 00:00:00+00:00</c:v>
                </c:pt>
                <c:pt idx="67">
                  <c:v>2023-04-09 00:00:00+00:00</c:v>
                </c:pt>
                <c:pt idx="68">
                  <c:v>2023-04-10 00:00:00+00:00</c:v>
                </c:pt>
                <c:pt idx="69">
                  <c:v>2023-04-11 00:00:00+00:00</c:v>
                </c:pt>
                <c:pt idx="70">
                  <c:v>2023-04-12 00:00:00+00:00</c:v>
                </c:pt>
                <c:pt idx="71">
                  <c:v>2023-04-13 00:00:00+00:00</c:v>
                </c:pt>
                <c:pt idx="72">
                  <c:v>2023-04-14 00:00:00+00:00</c:v>
                </c:pt>
                <c:pt idx="73">
                  <c:v>2023-04-15 00:00:00+00:00</c:v>
                </c:pt>
                <c:pt idx="74">
                  <c:v>2023-04-16 00:00:00+00:00</c:v>
                </c:pt>
                <c:pt idx="75">
                  <c:v>2023-04-17 00:00:00+00:00</c:v>
                </c:pt>
                <c:pt idx="76">
                  <c:v>2023-04-18 00:00:00+00:00</c:v>
                </c:pt>
                <c:pt idx="77">
                  <c:v>2023-04-19 00:00:00+00:00</c:v>
                </c:pt>
                <c:pt idx="78">
                  <c:v>2023-04-20 00:00:00+00:00</c:v>
                </c:pt>
                <c:pt idx="79">
                  <c:v>2023-04-21 00:00:00+00:00</c:v>
                </c:pt>
                <c:pt idx="80">
                  <c:v>2023-04-22 00:00:00+00:00</c:v>
                </c:pt>
                <c:pt idx="81">
                  <c:v>2023-04-23 00:00:00+00:00</c:v>
                </c:pt>
                <c:pt idx="82">
                  <c:v>2023-04-24 00:00:00+00:00</c:v>
                </c:pt>
                <c:pt idx="83">
                  <c:v>2023-04-25 00:00:00+00:00</c:v>
                </c:pt>
                <c:pt idx="84">
                  <c:v>2023-04-26 00:00:00+00:00</c:v>
                </c:pt>
                <c:pt idx="85">
                  <c:v>2023-04-27 00:00:00+00:00</c:v>
                </c:pt>
                <c:pt idx="86">
                  <c:v>2023-04-28 00:00:00+00:00</c:v>
                </c:pt>
                <c:pt idx="87">
                  <c:v>2023-04-29 00:00:00+00:00</c:v>
                </c:pt>
                <c:pt idx="88">
                  <c:v>2023-04-30 00:00:00+00:00</c:v>
                </c:pt>
                <c:pt idx="89">
                  <c:v>2023-05-01 00:00:00+00:00</c:v>
                </c:pt>
                <c:pt idx="90">
                  <c:v>2023-05-02 00:00:00+00:00</c:v>
                </c:pt>
                <c:pt idx="91">
                  <c:v>2023-05-03 00:00:00+00:00</c:v>
                </c:pt>
                <c:pt idx="92">
                  <c:v>2023-05-04 00:00:00+00:00</c:v>
                </c:pt>
                <c:pt idx="93">
                  <c:v>2023-05-05 00:00:00+00:00</c:v>
                </c:pt>
                <c:pt idx="94">
                  <c:v>2023-05-06 00:00:00+00:00</c:v>
                </c:pt>
                <c:pt idx="95">
                  <c:v>2023-05-07 00:00:00+00:00</c:v>
                </c:pt>
                <c:pt idx="96">
                  <c:v>2023-05-08 00:00:00+00:00</c:v>
                </c:pt>
                <c:pt idx="97">
                  <c:v>2023-05-09 00:00:00+00:00</c:v>
                </c:pt>
                <c:pt idx="98">
                  <c:v>2023-05-10 00:00:00+00:00</c:v>
                </c:pt>
                <c:pt idx="99">
                  <c:v>2023-05-11 00:00:00+00:00</c:v>
                </c:pt>
                <c:pt idx="100">
                  <c:v>2023-05-12 00:00:00+00:00</c:v>
                </c:pt>
                <c:pt idx="101">
                  <c:v>2023-05-13 00:00:00+00:00</c:v>
                </c:pt>
                <c:pt idx="102">
                  <c:v>2023-05-14 00:00:00+00:00</c:v>
                </c:pt>
                <c:pt idx="103">
                  <c:v>2023-05-15 00:00:00+00:00</c:v>
                </c:pt>
                <c:pt idx="104">
                  <c:v>2023-05-16 00:00:00+00:00</c:v>
                </c:pt>
                <c:pt idx="105">
                  <c:v>2023-05-17 00:00:00+00:00</c:v>
                </c:pt>
                <c:pt idx="106">
                  <c:v>2023-05-18 00:00:00+00:00</c:v>
                </c:pt>
                <c:pt idx="107">
                  <c:v>2023-05-19 00:00:00+00:00</c:v>
                </c:pt>
                <c:pt idx="108">
                  <c:v>2023-05-20 00:00:00+00:00</c:v>
                </c:pt>
                <c:pt idx="109">
                  <c:v>2023-05-21 00:00:00+00:00</c:v>
                </c:pt>
                <c:pt idx="110">
                  <c:v>2023-05-22 00:00:00+00:00</c:v>
                </c:pt>
                <c:pt idx="111">
                  <c:v>2023-05-23 00:00:00+00:00</c:v>
                </c:pt>
                <c:pt idx="112">
                  <c:v>2023-05-24 00:00:00+00:00</c:v>
                </c:pt>
                <c:pt idx="113">
                  <c:v>2023-05-25 00:00:00+00:00</c:v>
                </c:pt>
                <c:pt idx="114">
                  <c:v>2023-05-26 00:00:00+00:00</c:v>
                </c:pt>
                <c:pt idx="115">
                  <c:v>2023-05-27 00:00:00+00:00</c:v>
                </c:pt>
                <c:pt idx="116">
                  <c:v>2023-05-28 00:00:00+00:00</c:v>
                </c:pt>
                <c:pt idx="117">
                  <c:v>2023-05-29 00:00:00+00:00</c:v>
                </c:pt>
                <c:pt idx="118">
                  <c:v>2023-05-30 00:00:00+00:00</c:v>
                </c:pt>
                <c:pt idx="119">
                  <c:v>2023-05-31 00:00:00+00:00</c:v>
                </c:pt>
                <c:pt idx="120">
                  <c:v>2023-06-01 00:00:00+00:00</c:v>
                </c:pt>
                <c:pt idx="121">
                  <c:v>2023-06-02 00:00:00+00:00</c:v>
                </c:pt>
                <c:pt idx="122">
                  <c:v>2023-06-03 00:00:00+00:00</c:v>
                </c:pt>
                <c:pt idx="123">
                  <c:v>2023-06-04 00:00:00+00:00</c:v>
                </c:pt>
                <c:pt idx="124">
                  <c:v>2023-06-05 00:00:00+00:00</c:v>
                </c:pt>
                <c:pt idx="125">
                  <c:v>2023-06-06 00:00:00+00:00</c:v>
                </c:pt>
                <c:pt idx="126">
                  <c:v>2023-06-07 00:00:00+00:00</c:v>
                </c:pt>
                <c:pt idx="127">
                  <c:v>2023-06-08 00:00:00+00:00</c:v>
                </c:pt>
                <c:pt idx="128">
                  <c:v>2023-06-09 00:00:00+00:00</c:v>
                </c:pt>
                <c:pt idx="129">
                  <c:v>2023-06-10 00:00:00+00:00</c:v>
                </c:pt>
                <c:pt idx="130">
                  <c:v>2023-06-11 00:00:00+00:00</c:v>
                </c:pt>
                <c:pt idx="131">
                  <c:v>2023-06-12 00:00:00+00:00</c:v>
                </c:pt>
                <c:pt idx="132">
                  <c:v>2023-06-13 00:00:00+00:00</c:v>
                </c:pt>
                <c:pt idx="133">
                  <c:v>2023-06-14 00:00:00+00:00</c:v>
                </c:pt>
                <c:pt idx="134">
                  <c:v>2023-06-15 00:00:00+00:00</c:v>
                </c:pt>
                <c:pt idx="135">
                  <c:v>2023-06-16 00:00:00+00:00</c:v>
                </c:pt>
                <c:pt idx="136">
                  <c:v>2023-06-17 00:00:00+00:00</c:v>
                </c:pt>
                <c:pt idx="137">
                  <c:v>2023-06-18 00:00:00+00:00</c:v>
                </c:pt>
                <c:pt idx="138">
                  <c:v>2023-06-19 00:00:00+00:00</c:v>
                </c:pt>
                <c:pt idx="139">
                  <c:v>2023-06-20 00:00:00+00:00</c:v>
                </c:pt>
                <c:pt idx="140">
                  <c:v>2023-06-21 00:00:00+00:00</c:v>
                </c:pt>
                <c:pt idx="141">
                  <c:v>2023-06-22 00:00:00+00:00</c:v>
                </c:pt>
                <c:pt idx="142">
                  <c:v>2023-06-23 00:00:00+00:00</c:v>
                </c:pt>
                <c:pt idx="143">
                  <c:v>2023-06-24 00:00:00+00:00</c:v>
                </c:pt>
                <c:pt idx="144">
                  <c:v>2023-06-25 00:00:00+00:00</c:v>
                </c:pt>
                <c:pt idx="145">
                  <c:v>2023-06-26 00:00:00+00:00</c:v>
                </c:pt>
                <c:pt idx="146">
                  <c:v>2023-06-27 00:00:00+00:00</c:v>
                </c:pt>
                <c:pt idx="147">
                  <c:v>2023-06-28 00:00:00+00:00</c:v>
                </c:pt>
                <c:pt idx="148">
                  <c:v>2023-06-29 00:00:00+00:00</c:v>
                </c:pt>
                <c:pt idx="149">
                  <c:v>2023-06-30 00:00:00+00:00</c:v>
                </c:pt>
                <c:pt idx="150">
                  <c:v>2023-07-01 00:00:00+00:00</c:v>
                </c:pt>
                <c:pt idx="151">
                  <c:v>2023-07-02 00:00:00+00:00</c:v>
                </c:pt>
                <c:pt idx="152">
                  <c:v>2023-07-03 00:00:00+00:00</c:v>
                </c:pt>
                <c:pt idx="153">
                  <c:v>2023-07-04 00:00:00+00:00</c:v>
                </c:pt>
                <c:pt idx="154">
                  <c:v>2023-07-05 00:00:00+00:00</c:v>
                </c:pt>
                <c:pt idx="155">
                  <c:v>2023-07-06 00:00:00+00:00</c:v>
                </c:pt>
                <c:pt idx="156">
                  <c:v>2023-07-07 00:00:00+00:00</c:v>
                </c:pt>
                <c:pt idx="157">
                  <c:v>2023-07-08 00:00:00+00:00</c:v>
                </c:pt>
                <c:pt idx="158">
                  <c:v>2023-07-09 00:00:00+00:00</c:v>
                </c:pt>
                <c:pt idx="159">
                  <c:v>2023-07-10 00:00:00+00:00</c:v>
                </c:pt>
                <c:pt idx="160">
                  <c:v>2023-07-11 00:00:00+00:00</c:v>
                </c:pt>
                <c:pt idx="161">
                  <c:v>2023-07-12 00:00:00+00:00</c:v>
                </c:pt>
                <c:pt idx="162">
                  <c:v>2023-07-13 00:00:00+00:00</c:v>
                </c:pt>
                <c:pt idx="163">
                  <c:v>2023-07-14 00:00:00+00:00</c:v>
                </c:pt>
                <c:pt idx="164">
                  <c:v>2023-07-15 00:00:00+00:00</c:v>
                </c:pt>
                <c:pt idx="165">
                  <c:v>2023-07-16 00:00:00+00:00</c:v>
                </c:pt>
                <c:pt idx="166">
                  <c:v>2023-07-17 00:00:00+00:00</c:v>
                </c:pt>
                <c:pt idx="167">
                  <c:v>2023-07-18 00:00:00+00:00</c:v>
                </c:pt>
                <c:pt idx="168">
                  <c:v>2023-07-19 00:00:00+00:00</c:v>
                </c:pt>
                <c:pt idx="169">
                  <c:v>2023-07-20 00:00:00+00:00</c:v>
                </c:pt>
                <c:pt idx="170">
                  <c:v>2023-07-21 00:00:00+00:00</c:v>
                </c:pt>
                <c:pt idx="171">
                  <c:v>2023-07-22 00:00:00+00:00</c:v>
                </c:pt>
                <c:pt idx="172">
                  <c:v>2023-07-23 00:00:00+00:00</c:v>
                </c:pt>
                <c:pt idx="173">
                  <c:v>2023-07-24 00:00:00+00:00</c:v>
                </c:pt>
                <c:pt idx="174">
                  <c:v>2023-07-25 00:00:00+00:00</c:v>
                </c:pt>
                <c:pt idx="175">
                  <c:v>2023-07-26 00:00:00+00:00</c:v>
                </c:pt>
                <c:pt idx="176">
                  <c:v>2023-07-27 00:00:00+00:00</c:v>
                </c:pt>
                <c:pt idx="177">
                  <c:v>2023-07-28 00:00:00+00:00</c:v>
                </c:pt>
                <c:pt idx="178">
                  <c:v>2023-07-29 00:00:00+00:00</c:v>
                </c:pt>
                <c:pt idx="179">
                  <c:v>2023-07-30 00:00:00+00:00</c:v>
                </c:pt>
                <c:pt idx="180">
                  <c:v>2023-07-31 00:00:00+00:00</c:v>
                </c:pt>
                <c:pt idx="181">
                  <c:v>2023-08-01 00:00:00+00:00</c:v>
                </c:pt>
                <c:pt idx="182">
                  <c:v>2023-08-02 00:00:00+00:00</c:v>
                </c:pt>
                <c:pt idx="183">
                  <c:v>2023-08-03 00:00:00+00:00</c:v>
                </c:pt>
                <c:pt idx="184">
                  <c:v>2023-08-04 00:00:00+00:00</c:v>
                </c:pt>
                <c:pt idx="185">
                  <c:v>2023-08-05 00:00:00+00:00</c:v>
                </c:pt>
                <c:pt idx="186">
                  <c:v>2023-08-06 00:00:00+00:00</c:v>
                </c:pt>
                <c:pt idx="187">
                  <c:v>2023-08-07 00:00:00+00:00</c:v>
                </c:pt>
                <c:pt idx="188">
                  <c:v>2023-08-08 00:00:00+00:00</c:v>
                </c:pt>
                <c:pt idx="189">
                  <c:v>2023-08-09 00:00:00+00:00</c:v>
                </c:pt>
                <c:pt idx="190">
                  <c:v>2023-08-10 00:00:00+00:00</c:v>
                </c:pt>
                <c:pt idx="191">
                  <c:v>2023-08-11 00:00:00+00:00</c:v>
                </c:pt>
                <c:pt idx="192">
                  <c:v>2023-08-12 00:00:00+00:00</c:v>
                </c:pt>
                <c:pt idx="193">
                  <c:v>2023-08-13 00:00:00+00:00</c:v>
                </c:pt>
                <c:pt idx="194">
                  <c:v>2023-08-14 00:00:00+00:00</c:v>
                </c:pt>
                <c:pt idx="195">
                  <c:v>2023-08-15 00:00:00+00:00</c:v>
                </c:pt>
                <c:pt idx="196">
                  <c:v>2023-08-16 00:00:00+00:00</c:v>
                </c:pt>
                <c:pt idx="197">
                  <c:v>2023-08-17 00:00:00+00:00</c:v>
                </c:pt>
                <c:pt idx="198">
                  <c:v>2023-08-18 00:00:00+00:00</c:v>
                </c:pt>
                <c:pt idx="199">
                  <c:v>2023-08-19 00:00:00+00:00</c:v>
                </c:pt>
                <c:pt idx="200">
                  <c:v>2023-08-20 00:00:00+00:00</c:v>
                </c:pt>
                <c:pt idx="201">
                  <c:v>2023-08-21 00:00:00+00:00</c:v>
                </c:pt>
                <c:pt idx="202">
                  <c:v>2023-08-22 00:00:00+00:00</c:v>
                </c:pt>
                <c:pt idx="203">
                  <c:v>2023-08-23 00:00:00+00:00</c:v>
                </c:pt>
                <c:pt idx="204">
                  <c:v>2023-08-24 00:00:00+00:00</c:v>
                </c:pt>
                <c:pt idx="205">
                  <c:v>2023-08-25 00:00:00+00:00</c:v>
                </c:pt>
                <c:pt idx="206">
                  <c:v>2023-08-26 00:00:00+00:00</c:v>
                </c:pt>
                <c:pt idx="207">
                  <c:v>2023-08-27 00:00:00+00:00</c:v>
                </c:pt>
                <c:pt idx="208">
                  <c:v>2023-08-28 00:00:00+00:00</c:v>
                </c:pt>
                <c:pt idx="209">
                  <c:v>2023-08-29 00:00:00+00:00</c:v>
                </c:pt>
                <c:pt idx="210">
                  <c:v>2023-08-30 00:00:00+00:00</c:v>
                </c:pt>
                <c:pt idx="211">
                  <c:v>2023-08-31 00:00:00+00:00</c:v>
                </c:pt>
                <c:pt idx="212">
                  <c:v>2023-09-01 00:00:00+00:00</c:v>
                </c:pt>
                <c:pt idx="213">
                  <c:v>2023-09-02 00:00:00+00:00</c:v>
                </c:pt>
                <c:pt idx="214">
                  <c:v>2023-09-03 00:00:00+00:00</c:v>
                </c:pt>
                <c:pt idx="215">
                  <c:v>2023-09-04 00:00:00+00:00</c:v>
                </c:pt>
                <c:pt idx="216">
                  <c:v>2023-09-05 00:00:00+00:00</c:v>
                </c:pt>
                <c:pt idx="217">
                  <c:v>2023-09-06 00:00:00+00:00</c:v>
                </c:pt>
                <c:pt idx="218">
                  <c:v>2023-09-07 00:00:00+00:00</c:v>
                </c:pt>
                <c:pt idx="219">
                  <c:v>2023-09-08 00:00:00+00:00</c:v>
                </c:pt>
                <c:pt idx="220">
                  <c:v>2023-09-09 00:00:00+00:00</c:v>
                </c:pt>
                <c:pt idx="221">
                  <c:v>2023-09-10 00:00:00+00:00</c:v>
                </c:pt>
                <c:pt idx="222">
                  <c:v>2023-09-11 00:00:00+00:00</c:v>
                </c:pt>
                <c:pt idx="223">
                  <c:v>2023-09-12 00:00:00+00:00</c:v>
                </c:pt>
                <c:pt idx="224">
                  <c:v>2023-09-13 00:00:00+00:00</c:v>
                </c:pt>
                <c:pt idx="225">
                  <c:v>2023-09-14 00:00:00+00:00</c:v>
                </c:pt>
                <c:pt idx="226">
                  <c:v>2023-09-15 00:00:00+00:00</c:v>
                </c:pt>
                <c:pt idx="227">
                  <c:v>2023-09-16 00:00:00+00:00</c:v>
                </c:pt>
                <c:pt idx="228">
                  <c:v>2023-09-17 00:00:00+00:00</c:v>
                </c:pt>
                <c:pt idx="229">
                  <c:v>2023-09-18 00:00:00+00:00</c:v>
                </c:pt>
                <c:pt idx="230">
                  <c:v>2023-09-19 00:00:00+00:00</c:v>
                </c:pt>
                <c:pt idx="231">
                  <c:v>2023-09-20 00:00:00+00:00</c:v>
                </c:pt>
                <c:pt idx="232">
                  <c:v>2023-09-21 00:00:00+00:00</c:v>
                </c:pt>
                <c:pt idx="233">
                  <c:v>2023-09-22 00:00:00+00:00</c:v>
                </c:pt>
                <c:pt idx="234">
                  <c:v>2023-09-23 00:00:00+00:00</c:v>
                </c:pt>
                <c:pt idx="235">
                  <c:v>2023-09-24 00:00:00+00:00</c:v>
                </c:pt>
                <c:pt idx="236">
                  <c:v>2023-09-25 00:00:00+00:00</c:v>
                </c:pt>
                <c:pt idx="237">
                  <c:v>2023-09-26 00:00:00+00:00</c:v>
                </c:pt>
                <c:pt idx="238">
                  <c:v>2023-09-27 00:00:00+00:00</c:v>
                </c:pt>
                <c:pt idx="239">
                  <c:v>2023-09-28 00:00:00+00:00</c:v>
                </c:pt>
                <c:pt idx="240">
                  <c:v>2023-09-29 00:00:00+00:00</c:v>
                </c:pt>
                <c:pt idx="241">
                  <c:v>2023-09-30 00:00:00+00:00</c:v>
                </c:pt>
                <c:pt idx="242">
                  <c:v>2023-10-01 00:00:00+00:00</c:v>
                </c:pt>
                <c:pt idx="243">
                  <c:v>2023-10-02 00:00:00+00:00</c:v>
                </c:pt>
                <c:pt idx="244">
                  <c:v>2023-10-03 00:00:00+00:00</c:v>
                </c:pt>
                <c:pt idx="245">
                  <c:v>2023-10-04 00:00:00+00:00</c:v>
                </c:pt>
                <c:pt idx="246">
                  <c:v>2023-10-05 00:00:00+00:00</c:v>
                </c:pt>
                <c:pt idx="247">
                  <c:v>2023-10-06 00:00:00+00:00</c:v>
                </c:pt>
                <c:pt idx="248">
                  <c:v>2023-10-07 00:00:00+00:00</c:v>
                </c:pt>
                <c:pt idx="249">
                  <c:v>2023-10-08 00:00:00+00:00</c:v>
                </c:pt>
                <c:pt idx="250">
                  <c:v>2023-10-09 00:00:00+00:00</c:v>
                </c:pt>
                <c:pt idx="251">
                  <c:v>2023-10-10 00:00:00+00:00</c:v>
                </c:pt>
                <c:pt idx="252">
                  <c:v>2023-10-11 00:00:00+00:00</c:v>
                </c:pt>
                <c:pt idx="253">
                  <c:v>2023-10-12 00:00:00+00:00</c:v>
                </c:pt>
                <c:pt idx="254">
                  <c:v>2023-10-13 00:00:00+00:00</c:v>
                </c:pt>
                <c:pt idx="255">
                  <c:v>2023-10-14 00:00:00+00:00</c:v>
                </c:pt>
                <c:pt idx="256">
                  <c:v>2023-10-15 00:00:00+00:00</c:v>
                </c:pt>
                <c:pt idx="257">
                  <c:v>2023-10-16 00:00:00+00:00</c:v>
                </c:pt>
                <c:pt idx="258">
                  <c:v>2023-10-17 00:00:00+00:00</c:v>
                </c:pt>
                <c:pt idx="259">
                  <c:v>2023-10-18 00:00:00+00:00</c:v>
                </c:pt>
                <c:pt idx="260">
                  <c:v>2023-10-19 00:00:00+00:00</c:v>
                </c:pt>
                <c:pt idx="261">
                  <c:v>2023-10-20 00:00:00+00:00</c:v>
                </c:pt>
                <c:pt idx="262">
                  <c:v>2023-10-21 00:00:00+00:00</c:v>
                </c:pt>
                <c:pt idx="263">
                  <c:v>2023-10-22 00:00:00+00:00</c:v>
                </c:pt>
                <c:pt idx="264">
                  <c:v>2023-10-23 00:00:00+00:00</c:v>
                </c:pt>
                <c:pt idx="265">
                  <c:v>2023-10-24 00:00:00+00:00</c:v>
                </c:pt>
                <c:pt idx="266">
                  <c:v>2023-10-25 00:00:00+00:00</c:v>
                </c:pt>
                <c:pt idx="267">
                  <c:v>2023-10-26 00:00:00+00:00</c:v>
                </c:pt>
                <c:pt idx="268">
                  <c:v>2023-10-27 00:00:00+00:00</c:v>
                </c:pt>
                <c:pt idx="269">
                  <c:v>2023-10-28 00:00:00+00:00</c:v>
                </c:pt>
                <c:pt idx="270">
                  <c:v>2023-10-29 00:00:00+00:00</c:v>
                </c:pt>
                <c:pt idx="271">
                  <c:v>2023-10-30 00:00:00+00:00</c:v>
                </c:pt>
                <c:pt idx="272">
                  <c:v>2023-10-31 00:00:00+00:00</c:v>
                </c:pt>
                <c:pt idx="273">
                  <c:v>2023-11-01 00:00:00+00:00</c:v>
                </c:pt>
                <c:pt idx="274">
                  <c:v>2023-11-02 00:00:00+00:00</c:v>
                </c:pt>
                <c:pt idx="275">
                  <c:v>2023-11-03 00:00:00+00:00</c:v>
                </c:pt>
                <c:pt idx="276">
                  <c:v>2023-11-04 00:00:00+00:00</c:v>
                </c:pt>
                <c:pt idx="277">
                  <c:v>2023-11-05 00:00:00+00:00</c:v>
                </c:pt>
                <c:pt idx="278">
                  <c:v>2023-11-06 00:00:00+00:00</c:v>
                </c:pt>
                <c:pt idx="279">
                  <c:v>2023-11-07 00:00:00+00:00</c:v>
                </c:pt>
                <c:pt idx="280">
                  <c:v>2023-11-08 00:00:00+00:00</c:v>
                </c:pt>
                <c:pt idx="281">
                  <c:v>2023-11-09 00:00:00+00:00</c:v>
                </c:pt>
                <c:pt idx="282">
                  <c:v>2023-11-10 00:00:00+00:00</c:v>
                </c:pt>
                <c:pt idx="283">
                  <c:v>2023-11-11 00:00:00+00:00</c:v>
                </c:pt>
                <c:pt idx="284">
                  <c:v>2023-11-12 00:00:00+00:00</c:v>
                </c:pt>
                <c:pt idx="285">
                  <c:v>2023-11-13 00:00:00+00:00</c:v>
                </c:pt>
                <c:pt idx="286">
                  <c:v>2023-11-14 00:00:00+00:00</c:v>
                </c:pt>
                <c:pt idx="287">
                  <c:v>2023-11-15 00:00:00+00:00</c:v>
                </c:pt>
                <c:pt idx="288">
                  <c:v>2023-11-16 00:00:00+00:00</c:v>
                </c:pt>
                <c:pt idx="289">
                  <c:v>2023-11-17 00:00:00+00:00</c:v>
                </c:pt>
                <c:pt idx="290">
                  <c:v>2023-11-18 00:00:00+00:00</c:v>
                </c:pt>
                <c:pt idx="291">
                  <c:v>2023-11-19 00:00:00+00:00</c:v>
                </c:pt>
                <c:pt idx="292">
                  <c:v>2023-11-20 00:00:00+00:00</c:v>
                </c:pt>
                <c:pt idx="293">
                  <c:v>2023-11-21 00:00:00+00:00</c:v>
                </c:pt>
                <c:pt idx="294">
                  <c:v>2023-11-22 00:00:00+00:00</c:v>
                </c:pt>
                <c:pt idx="295">
                  <c:v>2023-11-23 00:00:00+00:00</c:v>
                </c:pt>
                <c:pt idx="296">
                  <c:v>2023-11-24 00:00:00+00:00</c:v>
                </c:pt>
                <c:pt idx="297">
                  <c:v>2023-11-25 00:00:00+00:00</c:v>
                </c:pt>
                <c:pt idx="298">
                  <c:v>2023-11-26 00:00:00+00:00</c:v>
                </c:pt>
                <c:pt idx="299">
                  <c:v>2023-11-27 00:00:00+00:00</c:v>
                </c:pt>
                <c:pt idx="300">
                  <c:v>2023-11-28 00:00:00+00:00</c:v>
                </c:pt>
                <c:pt idx="301">
                  <c:v>2023-11-29 00:00:00+00:00</c:v>
                </c:pt>
                <c:pt idx="302">
                  <c:v>2023-11-30 00:00:00+00:00</c:v>
                </c:pt>
                <c:pt idx="303">
                  <c:v>2023-12-01 00:00:00+00:00</c:v>
                </c:pt>
                <c:pt idx="304">
                  <c:v>2023-12-02 00:00:00+00:00</c:v>
                </c:pt>
                <c:pt idx="305">
                  <c:v>2023-12-03 00:00:00+00:00</c:v>
                </c:pt>
                <c:pt idx="306">
                  <c:v>2023-12-04 00:00:00+00:00</c:v>
                </c:pt>
                <c:pt idx="307">
                  <c:v>2023-12-05 00:00:00+00:00</c:v>
                </c:pt>
                <c:pt idx="308">
                  <c:v>2023-12-06 00:00:00+00:00</c:v>
                </c:pt>
                <c:pt idx="309">
                  <c:v>2023-12-07 00:00:00+00:00</c:v>
                </c:pt>
                <c:pt idx="310">
                  <c:v>2023-12-08 00:00:00+00:00</c:v>
                </c:pt>
                <c:pt idx="311">
                  <c:v>2023-12-09 00:00:00+00:00</c:v>
                </c:pt>
                <c:pt idx="312">
                  <c:v>2023-12-10 00:00:00+00:00</c:v>
                </c:pt>
                <c:pt idx="313">
                  <c:v>2023-12-11 00:00:00+00:00</c:v>
                </c:pt>
                <c:pt idx="314">
                  <c:v>2023-12-12 00:00:00+00:00</c:v>
                </c:pt>
                <c:pt idx="315">
                  <c:v>2023-12-13 00:00:00+00:00</c:v>
                </c:pt>
                <c:pt idx="316">
                  <c:v>2023-12-14 00:00:00+00:00</c:v>
                </c:pt>
                <c:pt idx="317">
                  <c:v>2023-12-15 00:00:00+00:00</c:v>
                </c:pt>
                <c:pt idx="318">
                  <c:v>2023-12-16 00:00:00+00:00</c:v>
                </c:pt>
                <c:pt idx="319">
                  <c:v>2023-12-17 00:00:00+00:00</c:v>
                </c:pt>
                <c:pt idx="320">
                  <c:v>2023-12-18 00:00:00+00:00</c:v>
                </c:pt>
                <c:pt idx="321">
                  <c:v>2023-12-19 00:00:00+00:00</c:v>
                </c:pt>
                <c:pt idx="322">
                  <c:v>2023-12-20 00:00:00+00:00</c:v>
                </c:pt>
                <c:pt idx="323">
                  <c:v>2023-12-21 00:00:00+00:00</c:v>
                </c:pt>
                <c:pt idx="324">
                  <c:v>2023-12-22 00:00:00+00:00</c:v>
                </c:pt>
                <c:pt idx="325">
                  <c:v>2023-12-23 00:00:00+00:00</c:v>
                </c:pt>
                <c:pt idx="326">
                  <c:v>2023-12-24 00:00:00+00:00</c:v>
                </c:pt>
                <c:pt idx="327">
                  <c:v>2023-12-25 00:00:00+00:00</c:v>
                </c:pt>
                <c:pt idx="328">
                  <c:v>2023-12-26 00:00:00+00:00</c:v>
                </c:pt>
                <c:pt idx="329">
                  <c:v>2023-12-27 00:00:00+00:00</c:v>
                </c:pt>
                <c:pt idx="330">
                  <c:v>2023-12-28 00:00:00+00:00</c:v>
                </c:pt>
                <c:pt idx="331">
                  <c:v>2023-12-29 00:00:00+00:00</c:v>
                </c:pt>
                <c:pt idx="332">
                  <c:v>2023-12-30 00:00:00+00:00</c:v>
                </c:pt>
                <c:pt idx="333">
                  <c:v>2023-12-31 00:00:00+00:00</c:v>
                </c:pt>
                <c:pt idx="334">
                  <c:v>2024-01-01 00:00:00+00:00</c:v>
                </c:pt>
                <c:pt idx="335">
                  <c:v>2024-01-02 00:00:00+00:00</c:v>
                </c:pt>
                <c:pt idx="336">
                  <c:v>2024-01-03 00:00:00+00:00</c:v>
                </c:pt>
                <c:pt idx="337">
                  <c:v>2024-01-04 00:00:00+00:00</c:v>
                </c:pt>
                <c:pt idx="338">
                  <c:v>2024-01-05 00:00:00+00:00</c:v>
                </c:pt>
                <c:pt idx="339">
                  <c:v>2024-01-06 00:00:00+00:00</c:v>
                </c:pt>
                <c:pt idx="340">
                  <c:v>2024-01-07 00:00:00+00:00</c:v>
                </c:pt>
                <c:pt idx="341">
                  <c:v>2024-01-08 00:00:00+00:00</c:v>
                </c:pt>
                <c:pt idx="342">
                  <c:v>2024-01-09 00:00:00+00:00</c:v>
                </c:pt>
                <c:pt idx="343">
                  <c:v>2024-01-10 00:00:00+00:00</c:v>
                </c:pt>
                <c:pt idx="344">
                  <c:v>2024-01-11 00:00:00+00:00</c:v>
                </c:pt>
                <c:pt idx="345">
                  <c:v>2024-01-12 00:00:00+00:00</c:v>
                </c:pt>
                <c:pt idx="346">
                  <c:v>2024-01-13 00:00:00+00:00</c:v>
                </c:pt>
                <c:pt idx="347">
                  <c:v>2024-01-14 00:00:00+00:00</c:v>
                </c:pt>
                <c:pt idx="348">
                  <c:v>2024-01-15 00:00:00+00:00</c:v>
                </c:pt>
                <c:pt idx="349">
                  <c:v>2024-01-16 00:00:00+00:00</c:v>
                </c:pt>
                <c:pt idx="350">
                  <c:v>2024-01-17 00:00:00+00:00</c:v>
                </c:pt>
                <c:pt idx="351">
                  <c:v>2024-01-18 00:00:00+00:00</c:v>
                </c:pt>
                <c:pt idx="352">
                  <c:v>2024-01-19 00:00:00+00:00</c:v>
                </c:pt>
                <c:pt idx="353">
                  <c:v>2024-01-20 00:00:00+00:00</c:v>
                </c:pt>
                <c:pt idx="354">
                  <c:v>2024-01-21 00:00:00+00:00</c:v>
                </c:pt>
                <c:pt idx="355">
                  <c:v>2024-01-22 00:00:00+00:00</c:v>
                </c:pt>
                <c:pt idx="356">
                  <c:v>2024-01-23 00:00:00+00:00</c:v>
                </c:pt>
                <c:pt idx="357">
                  <c:v>2024-01-24 00:00:00+00:00</c:v>
                </c:pt>
                <c:pt idx="358">
                  <c:v>2024-01-25 00:00:00+00:00</c:v>
                </c:pt>
                <c:pt idx="359">
                  <c:v>2024-01-26 00:00:00+00:00</c:v>
                </c:pt>
                <c:pt idx="360">
                  <c:v>2024-01-27 00:00:00+00:00</c:v>
                </c:pt>
                <c:pt idx="361">
                  <c:v>2024-01-28 00:00:00+00:00</c:v>
                </c:pt>
                <c:pt idx="362">
                  <c:v>2024-01-29 00:00:00+00:00</c:v>
                </c:pt>
                <c:pt idx="363">
                  <c:v>2024-01-30 00:00:00+00:00</c:v>
                </c:pt>
                <c:pt idx="364">
                  <c:v>2024-01-31 00:00:00+00:00</c:v>
                </c:pt>
                <c:pt idx="365">
                  <c:v>2024-02-01 00:00:00+00:00</c:v>
                </c:pt>
                <c:pt idx="366">
                  <c:v>2024-02-02 00:00:00+00:00</c:v>
                </c:pt>
                <c:pt idx="367">
                  <c:v>2024-02-03 00:00:00+00:00</c:v>
                </c:pt>
                <c:pt idx="368">
                  <c:v>2024-02-04 00:00:00+00:00</c:v>
                </c:pt>
                <c:pt idx="369">
                  <c:v>2024-02-05 00:00:00+00:00</c:v>
                </c:pt>
                <c:pt idx="370">
                  <c:v>2024-02-06 00:00:00+00:00</c:v>
                </c:pt>
                <c:pt idx="371">
                  <c:v>2024-02-07 00:00:00+00:00</c:v>
                </c:pt>
                <c:pt idx="372">
                  <c:v>2024-02-08 00:00:00+00:00</c:v>
                </c:pt>
                <c:pt idx="373">
                  <c:v>2024-02-09 00:00:00+00:00</c:v>
                </c:pt>
                <c:pt idx="374">
                  <c:v>2024-02-10 00:00:00+00:00</c:v>
                </c:pt>
                <c:pt idx="375">
                  <c:v>2024-02-11 00:00:00+00:00</c:v>
                </c:pt>
                <c:pt idx="376">
                  <c:v>2024-02-12 00:00:00+00:00</c:v>
                </c:pt>
                <c:pt idx="377">
                  <c:v>2024-02-13 00:00:00+00:00</c:v>
                </c:pt>
                <c:pt idx="378">
                  <c:v>2024-02-14 00:00:00+00:00</c:v>
                </c:pt>
                <c:pt idx="379">
                  <c:v>2024-02-15 00:00:00+00:00</c:v>
                </c:pt>
                <c:pt idx="380">
                  <c:v>2024-02-16 00:00:00+00:00</c:v>
                </c:pt>
                <c:pt idx="381">
                  <c:v>2024-02-17 00:00:00+00:00</c:v>
                </c:pt>
                <c:pt idx="382">
                  <c:v>2024-02-18 00:00:00+00:00</c:v>
                </c:pt>
                <c:pt idx="383">
                  <c:v>2024-02-19 00:00:00+00:00</c:v>
                </c:pt>
                <c:pt idx="384">
                  <c:v>2024-02-20 00:00:00+00:00</c:v>
                </c:pt>
                <c:pt idx="385">
                  <c:v>2024-02-21 00:00:00+00:00</c:v>
                </c:pt>
                <c:pt idx="386">
                  <c:v>2024-02-22 00:00:00+00:00</c:v>
                </c:pt>
                <c:pt idx="387">
                  <c:v>2024-02-23 00:00:00+00:00</c:v>
                </c:pt>
                <c:pt idx="388">
                  <c:v>2024-02-24 00:00:00+00:00</c:v>
                </c:pt>
                <c:pt idx="389">
                  <c:v>2024-02-25 00:00:00+00:00</c:v>
                </c:pt>
                <c:pt idx="390">
                  <c:v>2024-02-26 00:00:00+00:00</c:v>
                </c:pt>
                <c:pt idx="391">
                  <c:v>2024-02-27 00:00:00+00:00</c:v>
                </c:pt>
                <c:pt idx="392">
                  <c:v>2024-02-28 00:00:00+00:00</c:v>
                </c:pt>
                <c:pt idx="393">
                  <c:v>2024-02-29 00:00:00+00:00</c:v>
                </c:pt>
                <c:pt idx="394">
                  <c:v>2024-03-01 00:00:00+00:00</c:v>
                </c:pt>
                <c:pt idx="395">
                  <c:v>2024-03-02 00:00:00+00:00</c:v>
                </c:pt>
                <c:pt idx="396">
                  <c:v>2024-03-03 00:00:00+00:00</c:v>
                </c:pt>
                <c:pt idx="397">
                  <c:v>2024-03-04 00:00:00+00:00</c:v>
                </c:pt>
                <c:pt idx="398">
                  <c:v>2024-03-05 00:00:00+00:00</c:v>
                </c:pt>
                <c:pt idx="399">
                  <c:v>2024-03-06 00:00:00+00:00</c:v>
                </c:pt>
                <c:pt idx="400">
                  <c:v>2024-03-07 00:00:00+00:00</c:v>
                </c:pt>
                <c:pt idx="401">
                  <c:v>2024-03-08 00:00:00+00:00</c:v>
                </c:pt>
                <c:pt idx="402">
                  <c:v>2024-03-09 00:00:00+00:00</c:v>
                </c:pt>
                <c:pt idx="403">
                  <c:v>2024-03-10 00:00:00+00:00</c:v>
                </c:pt>
                <c:pt idx="404">
                  <c:v>2024-03-11 00:00:00+00:00</c:v>
                </c:pt>
                <c:pt idx="405">
                  <c:v>2024-03-12 00:00:00+00:00</c:v>
                </c:pt>
                <c:pt idx="406">
                  <c:v>2024-03-13 00:00:00+00:00</c:v>
                </c:pt>
                <c:pt idx="407">
                  <c:v>2024-03-14 00:00:00+00:00</c:v>
                </c:pt>
                <c:pt idx="408">
                  <c:v>2024-03-15 00:00:00+00:00</c:v>
                </c:pt>
                <c:pt idx="409">
                  <c:v>2024-03-16 00:00:00+00:00</c:v>
                </c:pt>
                <c:pt idx="410">
                  <c:v>2024-03-17 00:00:00+00:00</c:v>
                </c:pt>
              </c:strCache>
            </c:strRef>
          </c:cat>
          <c:val>
            <c:numRef>
              <c:f>Biomasstest!$F$2:$F$250</c:f>
              <c:numCache>
                <c:formatCode>General</c:formatCode>
                <c:ptCount val="249"/>
                <c:pt idx="42">
                  <c:v>0</c:v>
                </c:pt>
                <c:pt idx="43">
                  <c:v>0.01</c:v>
                </c:pt>
                <c:pt idx="44">
                  <c:v>1.4999999999999999E-2</c:v>
                </c:pt>
                <c:pt idx="45">
                  <c:v>1.7000000000000001E-2</c:v>
                </c:pt>
                <c:pt idx="46">
                  <c:v>0.02</c:v>
                </c:pt>
                <c:pt idx="47">
                  <c:v>0.03</c:v>
                </c:pt>
                <c:pt idx="48">
                  <c:v>3.5000000000000003E-2</c:v>
                </c:pt>
                <c:pt idx="49">
                  <c:v>0.04</c:v>
                </c:pt>
                <c:pt idx="50">
                  <c:v>4.2000000000000003E-2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5.5E-2</c:v>
                </c:pt>
                <c:pt idx="55">
                  <c:v>5.7000000000000002E-2</c:v>
                </c:pt>
                <c:pt idx="56">
                  <c:v>0.06</c:v>
                </c:pt>
                <c:pt idx="57">
                  <c:v>7.0000000000000007E-2</c:v>
                </c:pt>
                <c:pt idx="58">
                  <c:v>0.08</c:v>
                </c:pt>
                <c:pt idx="59">
                  <c:v>0.09</c:v>
                </c:pt>
                <c:pt idx="60">
                  <c:v>0.1</c:v>
                </c:pt>
                <c:pt idx="61">
                  <c:v>0.11</c:v>
                </c:pt>
                <c:pt idx="62">
                  <c:v>0.115</c:v>
                </c:pt>
                <c:pt idx="63">
                  <c:v>0.12</c:v>
                </c:pt>
                <c:pt idx="64">
                  <c:v>0.121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9-42A7-BE04-6F98F9713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692704"/>
        <c:axId val="717692344"/>
      </c:lineChart>
      <c:catAx>
        <c:axId val="7176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92344"/>
        <c:crosses val="autoZero"/>
        <c:auto val="1"/>
        <c:lblAlgn val="ctr"/>
        <c:lblOffset val="100"/>
        <c:tickLblSkip val="40"/>
        <c:noMultiLvlLbl val="0"/>
      </c:catAx>
      <c:valAx>
        <c:axId val="71769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AGB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9270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Above-ground dry biomass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Biomasstest!$C$1</c:f>
              <c:strCache>
                <c:ptCount val="1"/>
                <c:pt idx="0">
                  <c:v>Biomass_Predicted_CRNS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Biomasstest!$A$2:$A$610</c:f>
              <c:strCache>
                <c:ptCount val="411"/>
                <c:pt idx="0">
                  <c:v>2023-02-01 00:00:00+00:00</c:v>
                </c:pt>
                <c:pt idx="1">
                  <c:v>2023-02-02 00:00:00+00:00</c:v>
                </c:pt>
                <c:pt idx="2">
                  <c:v>2023-02-03 00:00:00+00:00</c:v>
                </c:pt>
                <c:pt idx="3">
                  <c:v>2023-02-04 00:00:00+00:00</c:v>
                </c:pt>
                <c:pt idx="4">
                  <c:v>2023-02-05 00:00:00+00:00</c:v>
                </c:pt>
                <c:pt idx="5">
                  <c:v>2023-02-06 00:00:00+00:00</c:v>
                </c:pt>
                <c:pt idx="6">
                  <c:v>2023-02-07 00:00:00+00:00</c:v>
                </c:pt>
                <c:pt idx="7">
                  <c:v>2023-02-08 00:00:00+00:00</c:v>
                </c:pt>
                <c:pt idx="8">
                  <c:v>2023-02-09 00:00:00+00:00</c:v>
                </c:pt>
                <c:pt idx="9">
                  <c:v>2023-02-10 00:00:00+00:00</c:v>
                </c:pt>
                <c:pt idx="10">
                  <c:v>2023-02-11 00:00:00+00:00</c:v>
                </c:pt>
                <c:pt idx="11">
                  <c:v>2023-02-12 00:00:00+00:00</c:v>
                </c:pt>
                <c:pt idx="12">
                  <c:v>2023-02-13 00:00:00+00:00</c:v>
                </c:pt>
                <c:pt idx="13">
                  <c:v>2023-02-14 00:00:00+00:00</c:v>
                </c:pt>
                <c:pt idx="14">
                  <c:v>2023-02-15 00:00:00+00:00</c:v>
                </c:pt>
                <c:pt idx="15">
                  <c:v>2023-02-16 00:00:00+00:00</c:v>
                </c:pt>
                <c:pt idx="16">
                  <c:v>2023-02-17 00:00:00+00:00</c:v>
                </c:pt>
                <c:pt idx="17">
                  <c:v>2023-02-18 00:00:00+00:00</c:v>
                </c:pt>
                <c:pt idx="18">
                  <c:v>2023-02-19 00:00:00+00:00</c:v>
                </c:pt>
                <c:pt idx="19">
                  <c:v>2023-02-20 00:00:00+00:00</c:v>
                </c:pt>
                <c:pt idx="20">
                  <c:v>2023-02-21 00:00:00+00:00</c:v>
                </c:pt>
                <c:pt idx="21">
                  <c:v>2023-02-22 00:00:00+00:00</c:v>
                </c:pt>
                <c:pt idx="22">
                  <c:v>2023-02-23 00:00:00+00:00</c:v>
                </c:pt>
                <c:pt idx="23">
                  <c:v>2023-02-24 00:00:00+00:00</c:v>
                </c:pt>
                <c:pt idx="24">
                  <c:v>2023-02-25 00:00:00+00:00</c:v>
                </c:pt>
                <c:pt idx="25">
                  <c:v>2023-02-26 00:00:00+00:00</c:v>
                </c:pt>
                <c:pt idx="26">
                  <c:v>2023-02-27 00:00:00+00:00</c:v>
                </c:pt>
                <c:pt idx="27">
                  <c:v>2023-02-28 00:00:00+00:00</c:v>
                </c:pt>
                <c:pt idx="28">
                  <c:v>2023-03-01 00:00:00+00:00</c:v>
                </c:pt>
                <c:pt idx="29">
                  <c:v>2023-03-02 00:00:00+00:00</c:v>
                </c:pt>
                <c:pt idx="30">
                  <c:v>2023-03-03 00:00:00+00:00</c:v>
                </c:pt>
                <c:pt idx="31">
                  <c:v>2023-03-04 00:00:00+00:00</c:v>
                </c:pt>
                <c:pt idx="32">
                  <c:v>2023-03-05 00:00:00+00:00</c:v>
                </c:pt>
                <c:pt idx="33">
                  <c:v>2023-03-06 00:00:00+00:00</c:v>
                </c:pt>
                <c:pt idx="34">
                  <c:v>2023-03-07 00:00:00+00:00</c:v>
                </c:pt>
                <c:pt idx="35">
                  <c:v>2023-03-08 00:00:00+00:00</c:v>
                </c:pt>
                <c:pt idx="36">
                  <c:v>2023-03-09 00:00:00+00:00</c:v>
                </c:pt>
                <c:pt idx="37">
                  <c:v>2023-03-10 00:00:00+00:00</c:v>
                </c:pt>
                <c:pt idx="38">
                  <c:v>2023-03-11 00:00:00+00:00</c:v>
                </c:pt>
                <c:pt idx="39">
                  <c:v>2023-03-12 00:00:00+00:00</c:v>
                </c:pt>
                <c:pt idx="40">
                  <c:v>2023-03-13 00:00:00+00:00</c:v>
                </c:pt>
                <c:pt idx="41">
                  <c:v>2023-03-14 00:00:00+00:00</c:v>
                </c:pt>
                <c:pt idx="42">
                  <c:v>2023-03-15 00:00:00+00:00</c:v>
                </c:pt>
                <c:pt idx="43">
                  <c:v>2023-03-16 00:00:00+00:00</c:v>
                </c:pt>
                <c:pt idx="44">
                  <c:v>2023-03-17 00:00:00+00:00</c:v>
                </c:pt>
                <c:pt idx="45">
                  <c:v>2023-03-18 00:00:00+00:00</c:v>
                </c:pt>
                <c:pt idx="46">
                  <c:v>2023-03-19 00:00:00+00:00</c:v>
                </c:pt>
                <c:pt idx="47">
                  <c:v>2023-03-20 00:00:00+00:00</c:v>
                </c:pt>
                <c:pt idx="48">
                  <c:v>2023-03-21 00:00:00+00:00</c:v>
                </c:pt>
                <c:pt idx="49">
                  <c:v>2023-03-22 00:00:00+00:00</c:v>
                </c:pt>
                <c:pt idx="50">
                  <c:v>2023-03-23 00:00:00+00:00</c:v>
                </c:pt>
                <c:pt idx="51">
                  <c:v>2023-03-24 00:00:00+00:00</c:v>
                </c:pt>
                <c:pt idx="52">
                  <c:v>2023-03-25 00:00:00+00:00</c:v>
                </c:pt>
                <c:pt idx="53">
                  <c:v>2023-03-26 00:00:00+00:00</c:v>
                </c:pt>
                <c:pt idx="54">
                  <c:v>2023-03-27 00:00:00+00:00</c:v>
                </c:pt>
                <c:pt idx="55">
                  <c:v>2023-03-28 00:00:00+00:00</c:v>
                </c:pt>
                <c:pt idx="56">
                  <c:v>2023-03-29 00:00:00+00:00</c:v>
                </c:pt>
                <c:pt idx="57">
                  <c:v>2023-03-30 00:00:00+00:00</c:v>
                </c:pt>
                <c:pt idx="58">
                  <c:v>2023-03-31 00:00:00+00:00</c:v>
                </c:pt>
                <c:pt idx="59">
                  <c:v>2023-04-01 00:00:00+00:00</c:v>
                </c:pt>
                <c:pt idx="60">
                  <c:v>2023-04-02 00:00:00+00:00</c:v>
                </c:pt>
                <c:pt idx="61">
                  <c:v>2023-04-03 00:00:00+00:00</c:v>
                </c:pt>
                <c:pt idx="62">
                  <c:v>2023-04-04 00:00:00+00:00</c:v>
                </c:pt>
                <c:pt idx="63">
                  <c:v>2023-04-05 00:00:00+00:00</c:v>
                </c:pt>
                <c:pt idx="64">
                  <c:v>2023-04-06 00:00:00+00:00</c:v>
                </c:pt>
                <c:pt idx="65">
                  <c:v>2023-04-07 00:00:00+00:00</c:v>
                </c:pt>
                <c:pt idx="66">
                  <c:v>2023-04-08 00:00:00+00:00</c:v>
                </c:pt>
                <c:pt idx="67">
                  <c:v>2023-04-09 00:00:00+00:00</c:v>
                </c:pt>
                <c:pt idx="68">
                  <c:v>2023-04-10 00:00:00+00:00</c:v>
                </c:pt>
                <c:pt idx="69">
                  <c:v>2023-04-11 00:00:00+00:00</c:v>
                </c:pt>
                <c:pt idx="70">
                  <c:v>2023-04-12 00:00:00+00:00</c:v>
                </c:pt>
                <c:pt idx="71">
                  <c:v>2023-04-13 00:00:00+00:00</c:v>
                </c:pt>
                <c:pt idx="72">
                  <c:v>2023-04-14 00:00:00+00:00</c:v>
                </c:pt>
                <c:pt idx="73">
                  <c:v>2023-04-15 00:00:00+00:00</c:v>
                </c:pt>
                <c:pt idx="74">
                  <c:v>2023-04-16 00:00:00+00:00</c:v>
                </c:pt>
                <c:pt idx="75">
                  <c:v>2023-04-17 00:00:00+00:00</c:v>
                </c:pt>
                <c:pt idx="76">
                  <c:v>2023-04-18 00:00:00+00:00</c:v>
                </c:pt>
                <c:pt idx="77">
                  <c:v>2023-04-19 00:00:00+00:00</c:v>
                </c:pt>
                <c:pt idx="78">
                  <c:v>2023-04-20 00:00:00+00:00</c:v>
                </c:pt>
                <c:pt idx="79">
                  <c:v>2023-04-21 00:00:00+00:00</c:v>
                </c:pt>
                <c:pt idx="80">
                  <c:v>2023-04-22 00:00:00+00:00</c:v>
                </c:pt>
                <c:pt idx="81">
                  <c:v>2023-04-23 00:00:00+00:00</c:v>
                </c:pt>
                <c:pt idx="82">
                  <c:v>2023-04-24 00:00:00+00:00</c:v>
                </c:pt>
                <c:pt idx="83">
                  <c:v>2023-04-25 00:00:00+00:00</c:v>
                </c:pt>
                <c:pt idx="84">
                  <c:v>2023-04-26 00:00:00+00:00</c:v>
                </c:pt>
                <c:pt idx="85">
                  <c:v>2023-04-27 00:00:00+00:00</c:v>
                </c:pt>
                <c:pt idx="86">
                  <c:v>2023-04-28 00:00:00+00:00</c:v>
                </c:pt>
                <c:pt idx="87">
                  <c:v>2023-04-29 00:00:00+00:00</c:v>
                </c:pt>
                <c:pt idx="88">
                  <c:v>2023-04-30 00:00:00+00:00</c:v>
                </c:pt>
                <c:pt idx="89">
                  <c:v>2023-05-01 00:00:00+00:00</c:v>
                </c:pt>
                <c:pt idx="90">
                  <c:v>2023-05-02 00:00:00+00:00</c:v>
                </c:pt>
                <c:pt idx="91">
                  <c:v>2023-05-03 00:00:00+00:00</c:v>
                </c:pt>
                <c:pt idx="92">
                  <c:v>2023-05-04 00:00:00+00:00</c:v>
                </c:pt>
                <c:pt idx="93">
                  <c:v>2023-05-05 00:00:00+00:00</c:v>
                </c:pt>
                <c:pt idx="94">
                  <c:v>2023-05-06 00:00:00+00:00</c:v>
                </c:pt>
                <c:pt idx="95">
                  <c:v>2023-05-07 00:00:00+00:00</c:v>
                </c:pt>
                <c:pt idx="96">
                  <c:v>2023-05-08 00:00:00+00:00</c:v>
                </c:pt>
                <c:pt idx="97">
                  <c:v>2023-05-09 00:00:00+00:00</c:v>
                </c:pt>
                <c:pt idx="98">
                  <c:v>2023-05-10 00:00:00+00:00</c:v>
                </c:pt>
                <c:pt idx="99">
                  <c:v>2023-05-11 00:00:00+00:00</c:v>
                </c:pt>
                <c:pt idx="100">
                  <c:v>2023-05-12 00:00:00+00:00</c:v>
                </c:pt>
                <c:pt idx="101">
                  <c:v>2023-05-13 00:00:00+00:00</c:v>
                </c:pt>
                <c:pt idx="102">
                  <c:v>2023-05-14 00:00:00+00:00</c:v>
                </c:pt>
                <c:pt idx="103">
                  <c:v>2023-05-15 00:00:00+00:00</c:v>
                </c:pt>
                <c:pt idx="104">
                  <c:v>2023-05-16 00:00:00+00:00</c:v>
                </c:pt>
                <c:pt idx="105">
                  <c:v>2023-05-17 00:00:00+00:00</c:v>
                </c:pt>
                <c:pt idx="106">
                  <c:v>2023-05-18 00:00:00+00:00</c:v>
                </c:pt>
                <c:pt idx="107">
                  <c:v>2023-05-19 00:00:00+00:00</c:v>
                </c:pt>
                <c:pt idx="108">
                  <c:v>2023-05-20 00:00:00+00:00</c:v>
                </c:pt>
                <c:pt idx="109">
                  <c:v>2023-05-21 00:00:00+00:00</c:v>
                </c:pt>
                <c:pt idx="110">
                  <c:v>2023-05-22 00:00:00+00:00</c:v>
                </c:pt>
                <c:pt idx="111">
                  <c:v>2023-05-23 00:00:00+00:00</c:v>
                </c:pt>
                <c:pt idx="112">
                  <c:v>2023-05-24 00:00:00+00:00</c:v>
                </c:pt>
                <c:pt idx="113">
                  <c:v>2023-05-25 00:00:00+00:00</c:v>
                </c:pt>
                <c:pt idx="114">
                  <c:v>2023-05-26 00:00:00+00:00</c:v>
                </c:pt>
                <c:pt idx="115">
                  <c:v>2023-05-27 00:00:00+00:00</c:v>
                </c:pt>
                <c:pt idx="116">
                  <c:v>2023-05-28 00:00:00+00:00</c:v>
                </c:pt>
                <c:pt idx="117">
                  <c:v>2023-05-29 00:00:00+00:00</c:v>
                </c:pt>
                <c:pt idx="118">
                  <c:v>2023-05-30 00:00:00+00:00</c:v>
                </c:pt>
                <c:pt idx="119">
                  <c:v>2023-05-31 00:00:00+00:00</c:v>
                </c:pt>
                <c:pt idx="120">
                  <c:v>2023-06-01 00:00:00+00:00</c:v>
                </c:pt>
                <c:pt idx="121">
                  <c:v>2023-06-02 00:00:00+00:00</c:v>
                </c:pt>
                <c:pt idx="122">
                  <c:v>2023-06-03 00:00:00+00:00</c:v>
                </c:pt>
                <c:pt idx="123">
                  <c:v>2023-06-04 00:00:00+00:00</c:v>
                </c:pt>
                <c:pt idx="124">
                  <c:v>2023-06-05 00:00:00+00:00</c:v>
                </c:pt>
                <c:pt idx="125">
                  <c:v>2023-06-06 00:00:00+00:00</c:v>
                </c:pt>
                <c:pt idx="126">
                  <c:v>2023-06-07 00:00:00+00:00</c:v>
                </c:pt>
                <c:pt idx="127">
                  <c:v>2023-06-08 00:00:00+00:00</c:v>
                </c:pt>
                <c:pt idx="128">
                  <c:v>2023-06-09 00:00:00+00:00</c:v>
                </c:pt>
                <c:pt idx="129">
                  <c:v>2023-06-10 00:00:00+00:00</c:v>
                </c:pt>
                <c:pt idx="130">
                  <c:v>2023-06-11 00:00:00+00:00</c:v>
                </c:pt>
                <c:pt idx="131">
                  <c:v>2023-06-12 00:00:00+00:00</c:v>
                </c:pt>
                <c:pt idx="132">
                  <c:v>2023-06-13 00:00:00+00:00</c:v>
                </c:pt>
                <c:pt idx="133">
                  <c:v>2023-06-14 00:00:00+00:00</c:v>
                </c:pt>
                <c:pt idx="134">
                  <c:v>2023-06-15 00:00:00+00:00</c:v>
                </c:pt>
                <c:pt idx="135">
                  <c:v>2023-06-16 00:00:00+00:00</c:v>
                </c:pt>
                <c:pt idx="136">
                  <c:v>2023-06-17 00:00:00+00:00</c:v>
                </c:pt>
                <c:pt idx="137">
                  <c:v>2023-06-18 00:00:00+00:00</c:v>
                </c:pt>
                <c:pt idx="138">
                  <c:v>2023-06-19 00:00:00+00:00</c:v>
                </c:pt>
                <c:pt idx="139">
                  <c:v>2023-06-20 00:00:00+00:00</c:v>
                </c:pt>
                <c:pt idx="140">
                  <c:v>2023-06-21 00:00:00+00:00</c:v>
                </c:pt>
                <c:pt idx="141">
                  <c:v>2023-06-22 00:00:00+00:00</c:v>
                </c:pt>
                <c:pt idx="142">
                  <c:v>2023-06-23 00:00:00+00:00</c:v>
                </c:pt>
                <c:pt idx="143">
                  <c:v>2023-06-24 00:00:00+00:00</c:v>
                </c:pt>
                <c:pt idx="144">
                  <c:v>2023-06-25 00:00:00+00:00</c:v>
                </c:pt>
                <c:pt idx="145">
                  <c:v>2023-06-26 00:00:00+00:00</c:v>
                </c:pt>
                <c:pt idx="146">
                  <c:v>2023-06-27 00:00:00+00:00</c:v>
                </c:pt>
                <c:pt idx="147">
                  <c:v>2023-06-28 00:00:00+00:00</c:v>
                </c:pt>
                <c:pt idx="148">
                  <c:v>2023-06-29 00:00:00+00:00</c:v>
                </c:pt>
                <c:pt idx="149">
                  <c:v>2023-06-30 00:00:00+00:00</c:v>
                </c:pt>
                <c:pt idx="150">
                  <c:v>2023-07-01 00:00:00+00:00</c:v>
                </c:pt>
                <c:pt idx="151">
                  <c:v>2023-07-02 00:00:00+00:00</c:v>
                </c:pt>
                <c:pt idx="152">
                  <c:v>2023-07-03 00:00:00+00:00</c:v>
                </c:pt>
                <c:pt idx="153">
                  <c:v>2023-07-04 00:00:00+00:00</c:v>
                </c:pt>
                <c:pt idx="154">
                  <c:v>2023-07-05 00:00:00+00:00</c:v>
                </c:pt>
                <c:pt idx="155">
                  <c:v>2023-07-06 00:00:00+00:00</c:v>
                </c:pt>
                <c:pt idx="156">
                  <c:v>2023-07-07 00:00:00+00:00</c:v>
                </c:pt>
                <c:pt idx="157">
                  <c:v>2023-07-08 00:00:00+00:00</c:v>
                </c:pt>
                <c:pt idx="158">
                  <c:v>2023-07-09 00:00:00+00:00</c:v>
                </c:pt>
                <c:pt idx="159">
                  <c:v>2023-07-10 00:00:00+00:00</c:v>
                </c:pt>
                <c:pt idx="160">
                  <c:v>2023-07-11 00:00:00+00:00</c:v>
                </c:pt>
                <c:pt idx="161">
                  <c:v>2023-07-12 00:00:00+00:00</c:v>
                </c:pt>
                <c:pt idx="162">
                  <c:v>2023-07-13 00:00:00+00:00</c:v>
                </c:pt>
                <c:pt idx="163">
                  <c:v>2023-07-14 00:00:00+00:00</c:v>
                </c:pt>
                <c:pt idx="164">
                  <c:v>2023-07-15 00:00:00+00:00</c:v>
                </c:pt>
                <c:pt idx="165">
                  <c:v>2023-07-16 00:00:00+00:00</c:v>
                </c:pt>
                <c:pt idx="166">
                  <c:v>2023-07-17 00:00:00+00:00</c:v>
                </c:pt>
                <c:pt idx="167">
                  <c:v>2023-07-18 00:00:00+00:00</c:v>
                </c:pt>
                <c:pt idx="168">
                  <c:v>2023-07-19 00:00:00+00:00</c:v>
                </c:pt>
                <c:pt idx="169">
                  <c:v>2023-07-20 00:00:00+00:00</c:v>
                </c:pt>
                <c:pt idx="170">
                  <c:v>2023-07-21 00:00:00+00:00</c:v>
                </c:pt>
                <c:pt idx="171">
                  <c:v>2023-07-22 00:00:00+00:00</c:v>
                </c:pt>
                <c:pt idx="172">
                  <c:v>2023-07-23 00:00:00+00:00</c:v>
                </c:pt>
                <c:pt idx="173">
                  <c:v>2023-07-24 00:00:00+00:00</c:v>
                </c:pt>
                <c:pt idx="174">
                  <c:v>2023-07-25 00:00:00+00:00</c:v>
                </c:pt>
                <c:pt idx="175">
                  <c:v>2023-07-26 00:00:00+00:00</c:v>
                </c:pt>
                <c:pt idx="176">
                  <c:v>2023-07-27 00:00:00+00:00</c:v>
                </c:pt>
                <c:pt idx="177">
                  <c:v>2023-07-28 00:00:00+00:00</c:v>
                </c:pt>
                <c:pt idx="178">
                  <c:v>2023-07-29 00:00:00+00:00</c:v>
                </c:pt>
                <c:pt idx="179">
                  <c:v>2023-07-30 00:00:00+00:00</c:v>
                </c:pt>
                <c:pt idx="180">
                  <c:v>2023-07-31 00:00:00+00:00</c:v>
                </c:pt>
                <c:pt idx="181">
                  <c:v>2023-08-01 00:00:00+00:00</c:v>
                </c:pt>
                <c:pt idx="182">
                  <c:v>2023-08-02 00:00:00+00:00</c:v>
                </c:pt>
                <c:pt idx="183">
                  <c:v>2023-08-03 00:00:00+00:00</c:v>
                </c:pt>
                <c:pt idx="184">
                  <c:v>2023-08-04 00:00:00+00:00</c:v>
                </c:pt>
                <c:pt idx="185">
                  <c:v>2023-08-05 00:00:00+00:00</c:v>
                </c:pt>
                <c:pt idx="186">
                  <c:v>2023-08-06 00:00:00+00:00</c:v>
                </c:pt>
                <c:pt idx="187">
                  <c:v>2023-08-07 00:00:00+00:00</c:v>
                </c:pt>
                <c:pt idx="188">
                  <c:v>2023-08-08 00:00:00+00:00</c:v>
                </c:pt>
                <c:pt idx="189">
                  <c:v>2023-08-09 00:00:00+00:00</c:v>
                </c:pt>
                <c:pt idx="190">
                  <c:v>2023-08-10 00:00:00+00:00</c:v>
                </c:pt>
                <c:pt idx="191">
                  <c:v>2023-08-11 00:00:00+00:00</c:v>
                </c:pt>
                <c:pt idx="192">
                  <c:v>2023-08-12 00:00:00+00:00</c:v>
                </c:pt>
                <c:pt idx="193">
                  <c:v>2023-08-13 00:00:00+00:00</c:v>
                </c:pt>
                <c:pt idx="194">
                  <c:v>2023-08-14 00:00:00+00:00</c:v>
                </c:pt>
                <c:pt idx="195">
                  <c:v>2023-08-15 00:00:00+00:00</c:v>
                </c:pt>
                <c:pt idx="196">
                  <c:v>2023-08-16 00:00:00+00:00</c:v>
                </c:pt>
                <c:pt idx="197">
                  <c:v>2023-08-17 00:00:00+00:00</c:v>
                </c:pt>
                <c:pt idx="198">
                  <c:v>2023-08-18 00:00:00+00:00</c:v>
                </c:pt>
                <c:pt idx="199">
                  <c:v>2023-08-19 00:00:00+00:00</c:v>
                </c:pt>
                <c:pt idx="200">
                  <c:v>2023-08-20 00:00:00+00:00</c:v>
                </c:pt>
                <c:pt idx="201">
                  <c:v>2023-08-21 00:00:00+00:00</c:v>
                </c:pt>
                <c:pt idx="202">
                  <c:v>2023-08-22 00:00:00+00:00</c:v>
                </c:pt>
                <c:pt idx="203">
                  <c:v>2023-08-23 00:00:00+00:00</c:v>
                </c:pt>
                <c:pt idx="204">
                  <c:v>2023-08-24 00:00:00+00:00</c:v>
                </c:pt>
                <c:pt idx="205">
                  <c:v>2023-08-25 00:00:00+00:00</c:v>
                </c:pt>
                <c:pt idx="206">
                  <c:v>2023-08-26 00:00:00+00:00</c:v>
                </c:pt>
                <c:pt idx="207">
                  <c:v>2023-08-27 00:00:00+00:00</c:v>
                </c:pt>
                <c:pt idx="208">
                  <c:v>2023-08-28 00:00:00+00:00</c:v>
                </c:pt>
                <c:pt idx="209">
                  <c:v>2023-08-29 00:00:00+00:00</c:v>
                </c:pt>
                <c:pt idx="210">
                  <c:v>2023-08-30 00:00:00+00:00</c:v>
                </c:pt>
                <c:pt idx="211">
                  <c:v>2023-08-31 00:00:00+00:00</c:v>
                </c:pt>
                <c:pt idx="212">
                  <c:v>2023-09-01 00:00:00+00:00</c:v>
                </c:pt>
                <c:pt idx="213">
                  <c:v>2023-09-02 00:00:00+00:00</c:v>
                </c:pt>
                <c:pt idx="214">
                  <c:v>2023-09-03 00:00:00+00:00</c:v>
                </c:pt>
                <c:pt idx="215">
                  <c:v>2023-09-04 00:00:00+00:00</c:v>
                </c:pt>
                <c:pt idx="216">
                  <c:v>2023-09-05 00:00:00+00:00</c:v>
                </c:pt>
                <c:pt idx="217">
                  <c:v>2023-09-06 00:00:00+00:00</c:v>
                </c:pt>
                <c:pt idx="218">
                  <c:v>2023-09-07 00:00:00+00:00</c:v>
                </c:pt>
                <c:pt idx="219">
                  <c:v>2023-09-08 00:00:00+00:00</c:v>
                </c:pt>
                <c:pt idx="220">
                  <c:v>2023-09-09 00:00:00+00:00</c:v>
                </c:pt>
                <c:pt idx="221">
                  <c:v>2023-09-10 00:00:00+00:00</c:v>
                </c:pt>
                <c:pt idx="222">
                  <c:v>2023-09-11 00:00:00+00:00</c:v>
                </c:pt>
                <c:pt idx="223">
                  <c:v>2023-09-12 00:00:00+00:00</c:v>
                </c:pt>
                <c:pt idx="224">
                  <c:v>2023-09-13 00:00:00+00:00</c:v>
                </c:pt>
                <c:pt idx="225">
                  <c:v>2023-09-14 00:00:00+00:00</c:v>
                </c:pt>
                <c:pt idx="226">
                  <c:v>2023-09-15 00:00:00+00:00</c:v>
                </c:pt>
                <c:pt idx="227">
                  <c:v>2023-09-16 00:00:00+00:00</c:v>
                </c:pt>
                <c:pt idx="228">
                  <c:v>2023-09-17 00:00:00+00:00</c:v>
                </c:pt>
                <c:pt idx="229">
                  <c:v>2023-09-18 00:00:00+00:00</c:v>
                </c:pt>
                <c:pt idx="230">
                  <c:v>2023-09-19 00:00:00+00:00</c:v>
                </c:pt>
                <c:pt idx="231">
                  <c:v>2023-09-20 00:00:00+00:00</c:v>
                </c:pt>
                <c:pt idx="232">
                  <c:v>2023-09-21 00:00:00+00:00</c:v>
                </c:pt>
                <c:pt idx="233">
                  <c:v>2023-09-22 00:00:00+00:00</c:v>
                </c:pt>
                <c:pt idx="234">
                  <c:v>2023-09-23 00:00:00+00:00</c:v>
                </c:pt>
                <c:pt idx="235">
                  <c:v>2023-09-24 00:00:00+00:00</c:v>
                </c:pt>
                <c:pt idx="236">
                  <c:v>2023-09-25 00:00:00+00:00</c:v>
                </c:pt>
                <c:pt idx="237">
                  <c:v>2023-09-26 00:00:00+00:00</c:v>
                </c:pt>
                <c:pt idx="238">
                  <c:v>2023-09-27 00:00:00+00:00</c:v>
                </c:pt>
                <c:pt idx="239">
                  <c:v>2023-09-28 00:00:00+00:00</c:v>
                </c:pt>
                <c:pt idx="240">
                  <c:v>2023-09-29 00:00:00+00:00</c:v>
                </c:pt>
                <c:pt idx="241">
                  <c:v>2023-09-30 00:00:00+00:00</c:v>
                </c:pt>
                <c:pt idx="242">
                  <c:v>2023-10-01 00:00:00+00:00</c:v>
                </c:pt>
                <c:pt idx="243">
                  <c:v>2023-10-02 00:00:00+00:00</c:v>
                </c:pt>
                <c:pt idx="244">
                  <c:v>2023-10-03 00:00:00+00:00</c:v>
                </c:pt>
                <c:pt idx="245">
                  <c:v>2023-10-04 00:00:00+00:00</c:v>
                </c:pt>
                <c:pt idx="246">
                  <c:v>2023-10-05 00:00:00+00:00</c:v>
                </c:pt>
                <c:pt idx="247">
                  <c:v>2023-10-06 00:00:00+00:00</c:v>
                </c:pt>
                <c:pt idx="248">
                  <c:v>2023-10-07 00:00:00+00:00</c:v>
                </c:pt>
                <c:pt idx="249">
                  <c:v>2023-10-08 00:00:00+00:00</c:v>
                </c:pt>
                <c:pt idx="250">
                  <c:v>2023-10-09 00:00:00+00:00</c:v>
                </c:pt>
                <c:pt idx="251">
                  <c:v>2023-10-10 00:00:00+00:00</c:v>
                </c:pt>
                <c:pt idx="252">
                  <c:v>2023-10-11 00:00:00+00:00</c:v>
                </c:pt>
                <c:pt idx="253">
                  <c:v>2023-10-12 00:00:00+00:00</c:v>
                </c:pt>
                <c:pt idx="254">
                  <c:v>2023-10-13 00:00:00+00:00</c:v>
                </c:pt>
                <c:pt idx="255">
                  <c:v>2023-10-14 00:00:00+00:00</c:v>
                </c:pt>
                <c:pt idx="256">
                  <c:v>2023-10-15 00:00:00+00:00</c:v>
                </c:pt>
                <c:pt idx="257">
                  <c:v>2023-10-16 00:00:00+00:00</c:v>
                </c:pt>
                <c:pt idx="258">
                  <c:v>2023-10-17 00:00:00+00:00</c:v>
                </c:pt>
                <c:pt idx="259">
                  <c:v>2023-10-18 00:00:00+00:00</c:v>
                </c:pt>
                <c:pt idx="260">
                  <c:v>2023-10-19 00:00:00+00:00</c:v>
                </c:pt>
                <c:pt idx="261">
                  <c:v>2023-10-20 00:00:00+00:00</c:v>
                </c:pt>
                <c:pt idx="262">
                  <c:v>2023-10-21 00:00:00+00:00</c:v>
                </c:pt>
                <c:pt idx="263">
                  <c:v>2023-10-22 00:00:00+00:00</c:v>
                </c:pt>
                <c:pt idx="264">
                  <c:v>2023-10-23 00:00:00+00:00</c:v>
                </c:pt>
                <c:pt idx="265">
                  <c:v>2023-10-24 00:00:00+00:00</c:v>
                </c:pt>
                <c:pt idx="266">
                  <c:v>2023-10-25 00:00:00+00:00</c:v>
                </c:pt>
                <c:pt idx="267">
                  <c:v>2023-10-26 00:00:00+00:00</c:v>
                </c:pt>
                <c:pt idx="268">
                  <c:v>2023-10-27 00:00:00+00:00</c:v>
                </c:pt>
                <c:pt idx="269">
                  <c:v>2023-10-28 00:00:00+00:00</c:v>
                </c:pt>
                <c:pt idx="270">
                  <c:v>2023-10-29 00:00:00+00:00</c:v>
                </c:pt>
                <c:pt idx="271">
                  <c:v>2023-10-30 00:00:00+00:00</c:v>
                </c:pt>
                <c:pt idx="272">
                  <c:v>2023-10-31 00:00:00+00:00</c:v>
                </c:pt>
                <c:pt idx="273">
                  <c:v>2023-11-01 00:00:00+00:00</c:v>
                </c:pt>
                <c:pt idx="274">
                  <c:v>2023-11-02 00:00:00+00:00</c:v>
                </c:pt>
                <c:pt idx="275">
                  <c:v>2023-11-03 00:00:00+00:00</c:v>
                </c:pt>
                <c:pt idx="276">
                  <c:v>2023-11-04 00:00:00+00:00</c:v>
                </c:pt>
                <c:pt idx="277">
                  <c:v>2023-11-05 00:00:00+00:00</c:v>
                </c:pt>
                <c:pt idx="278">
                  <c:v>2023-11-06 00:00:00+00:00</c:v>
                </c:pt>
                <c:pt idx="279">
                  <c:v>2023-11-07 00:00:00+00:00</c:v>
                </c:pt>
                <c:pt idx="280">
                  <c:v>2023-11-08 00:00:00+00:00</c:v>
                </c:pt>
                <c:pt idx="281">
                  <c:v>2023-11-09 00:00:00+00:00</c:v>
                </c:pt>
                <c:pt idx="282">
                  <c:v>2023-11-10 00:00:00+00:00</c:v>
                </c:pt>
                <c:pt idx="283">
                  <c:v>2023-11-11 00:00:00+00:00</c:v>
                </c:pt>
                <c:pt idx="284">
                  <c:v>2023-11-12 00:00:00+00:00</c:v>
                </c:pt>
                <c:pt idx="285">
                  <c:v>2023-11-13 00:00:00+00:00</c:v>
                </c:pt>
                <c:pt idx="286">
                  <c:v>2023-11-14 00:00:00+00:00</c:v>
                </c:pt>
                <c:pt idx="287">
                  <c:v>2023-11-15 00:00:00+00:00</c:v>
                </c:pt>
                <c:pt idx="288">
                  <c:v>2023-11-16 00:00:00+00:00</c:v>
                </c:pt>
                <c:pt idx="289">
                  <c:v>2023-11-17 00:00:00+00:00</c:v>
                </c:pt>
                <c:pt idx="290">
                  <c:v>2023-11-18 00:00:00+00:00</c:v>
                </c:pt>
                <c:pt idx="291">
                  <c:v>2023-11-19 00:00:00+00:00</c:v>
                </c:pt>
                <c:pt idx="292">
                  <c:v>2023-11-20 00:00:00+00:00</c:v>
                </c:pt>
                <c:pt idx="293">
                  <c:v>2023-11-21 00:00:00+00:00</c:v>
                </c:pt>
                <c:pt idx="294">
                  <c:v>2023-11-22 00:00:00+00:00</c:v>
                </c:pt>
                <c:pt idx="295">
                  <c:v>2023-11-23 00:00:00+00:00</c:v>
                </c:pt>
                <c:pt idx="296">
                  <c:v>2023-11-24 00:00:00+00:00</c:v>
                </c:pt>
                <c:pt idx="297">
                  <c:v>2023-11-25 00:00:00+00:00</c:v>
                </c:pt>
                <c:pt idx="298">
                  <c:v>2023-11-26 00:00:00+00:00</c:v>
                </c:pt>
                <c:pt idx="299">
                  <c:v>2023-11-27 00:00:00+00:00</c:v>
                </c:pt>
                <c:pt idx="300">
                  <c:v>2023-11-28 00:00:00+00:00</c:v>
                </c:pt>
                <c:pt idx="301">
                  <c:v>2023-11-29 00:00:00+00:00</c:v>
                </c:pt>
                <c:pt idx="302">
                  <c:v>2023-11-30 00:00:00+00:00</c:v>
                </c:pt>
                <c:pt idx="303">
                  <c:v>2023-12-01 00:00:00+00:00</c:v>
                </c:pt>
                <c:pt idx="304">
                  <c:v>2023-12-02 00:00:00+00:00</c:v>
                </c:pt>
                <c:pt idx="305">
                  <c:v>2023-12-03 00:00:00+00:00</c:v>
                </c:pt>
                <c:pt idx="306">
                  <c:v>2023-12-04 00:00:00+00:00</c:v>
                </c:pt>
                <c:pt idx="307">
                  <c:v>2023-12-05 00:00:00+00:00</c:v>
                </c:pt>
                <c:pt idx="308">
                  <c:v>2023-12-06 00:00:00+00:00</c:v>
                </c:pt>
                <c:pt idx="309">
                  <c:v>2023-12-07 00:00:00+00:00</c:v>
                </c:pt>
                <c:pt idx="310">
                  <c:v>2023-12-08 00:00:00+00:00</c:v>
                </c:pt>
                <c:pt idx="311">
                  <c:v>2023-12-09 00:00:00+00:00</c:v>
                </c:pt>
                <c:pt idx="312">
                  <c:v>2023-12-10 00:00:00+00:00</c:v>
                </c:pt>
                <c:pt idx="313">
                  <c:v>2023-12-11 00:00:00+00:00</c:v>
                </c:pt>
                <c:pt idx="314">
                  <c:v>2023-12-12 00:00:00+00:00</c:v>
                </c:pt>
                <c:pt idx="315">
                  <c:v>2023-12-13 00:00:00+00:00</c:v>
                </c:pt>
                <c:pt idx="316">
                  <c:v>2023-12-14 00:00:00+00:00</c:v>
                </c:pt>
                <c:pt idx="317">
                  <c:v>2023-12-15 00:00:00+00:00</c:v>
                </c:pt>
                <c:pt idx="318">
                  <c:v>2023-12-16 00:00:00+00:00</c:v>
                </c:pt>
                <c:pt idx="319">
                  <c:v>2023-12-17 00:00:00+00:00</c:v>
                </c:pt>
                <c:pt idx="320">
                  <c:v>2023-12-18 00:00:00+00:00</c:v>
                </c:pt>
                <c:pt idx="321">
                  <c:v>2023-12-19 00:00:00+00:00</c:v>
                </c:pt>
                <c:pt idx="322">
                  <c:v>2023-12-20 00:00:00+00:00</c:v>
                </c:pt>
                <c:pt idx="323">
                  <c:v>2023-12-21 00:00:00+00:00</c:v>
                </c:pt>
                <c:pt idx="324">
                  <c:v>2023-12-22 00:00:00+00:00</c:v>
                </c:pt>
                <c:pt idx="325">
                  <c:v>2023-12-23 00:00:00+00:00</c:v>
                </c:pt>
                <c:pt idx="326">
                  <c:v>2023-12-24 00:00:00+00:00</c:v>
                </c:pt>
                <c:pt idx="327">
                  <c:v>2023-12-25 00:00:00+00:00</c:v>
                </c:pt>
                <c:pt idx="328">
                  <c:v>2023-12-26 00:00:00+00:00</c:v>
                </c:pt>
                <c:pt idx="329">
                  <c:v>2023-12-27 00:00:00+00:00</c:v>
                </c:pt>
                <c:pt idx="330">
                  <c:v>2023-12-28 00:00:00+00:00</c:v>
                </c:pt>
                <c:pt idx="331">
                  <c:v>2023-12-29 00:00:00+00:00</c:v>
                </c:pt>
                <c:pt idx="332">
                  <c:v>2023-12-30 00:00:00+00:00</c:v>
                </c:pt>
                <c:pt idx="333">
                  <c:v>2023-12-31 00:00:00+00:00</c:v>
                </c:pt>
                <c:pt idx="334">
                  <c:v>2024-01-01 00:00:00+00:00</c:v>
                </c:pt>
                <c:pt idx="335">
                  <c:v>2024-01-02 00:00:00+00:00</c:v>
                </c:pt>
                <c:pt idx="336">
                  <c:v>2024-01-03 00:00:00+00:00</c:v>
                </c:pt>
                <c:pt idx="337">
                  <c:v>2024-01-04 00:00:00+00:00</c:v>
                </c:pt>
                <c:pt idx="338">
                  <c:v>2024-01-05 00:00:00+00:00</c:v>
                </c:pt>
                <c:pt idx="339">
                  <c:v>2024-01-06 00:00:00+00:00</c:v>
                </c:pt>
                <c:pt idx="340">
                  <c:v>2024-01-07 00:00:00+00:00</c:v>
                </c:pt>
                <c:pt idx="341">
                  <c:v>2024-01-08 00:00:00+00:00</c:v>
                </c:pt>
                <c:pt idx="342">
                  <c:v>2024-01-09 00:00:00+00:00</c:v>
                </c:pt>
                <c:pt idx="343">
                  <c:v>2024-01-10 00:00:00+00:00</c:v>
                </c:pt>
                <c:pt idx="344">
                  <c:v>2024-01-11 00:00:00+00:00</c:v>
                </c:pt>
                <c:pt idx="345">
                  <c:v>2024-01-12 00:00:00+00:00</c:v>
                </c:pt>
                <c:pt idx="346">
                  <c:v>2024-01-13 00:00:00+00:00</c:v>
                </c:pt>
                <c:pt idx="347">
                  <c:v>2024-01-14 00:00:00+00:00</c:v>
                </c:pt>
                <c:pt idx="348">
                  <c:v>2024-01-15 00:00:00+00:00</c:v>
                </c:pt>
                <c:pt idx="349">
                  <c:v>2024-01-16 00:00:00+00:00</c:v>
                </c:pt>
                <c:pt idx="350">
                  <c:v>2024-01-17 00:00:00+00:00</c:v>
                </c:pt>
                <c:pt idx="351">
                  <c:v>2024-01-18 00:00:00+00:00</c:v>
                </c:pt>
                <c:pt idx="352">
                  <c:v>2024-01-19 00:00:00+00:00</c:v>
                </c:pt>
                <c:pt idx="353">
                  <c:v>2024-01-20 00:00:00+00:00</c:v>
                </c:pt>
                <c:pt idx="354">
                  <c:v>2024-01-21 00:00:00+00:00</c:v>
                </c:pt>
                <c:pt idx="355">
                  <c:v>2024-01-22 00:00:00+00:00</c:v>
                </c:pt>
                <c:pt idx="356">
                  <c:v>2024-01-23 00:00:00+00:00</c:v>
                </c:pt>
                <c:pt idx="357">
                  <c:v>2024-01-24 00:00:00+00:00</c:v>
                </c:pt>
                <c:pt idx="358">
                  <c:v>2024-01-25 00:00:00+00:00</c:v>
                </c:pt>
                <c:pt idx="359">
                  <c:v>2024-01-26 00:00:00+00:00</c:v>
                </c:pt>
                <c:pt idx="360">
                  <c:v>2024-01-27 00:00:00+00:00</c:v>
                </c:pt>
                <c:pt idx="361">
                  <c:v>2024-01-28 00:00:00+00:00</c:v>
                </c:pt>
                <c:pt idx="362">
                  <c:v>2024-01-29 00:00:00+00:00</c:v>
                </c:pt>
                <c:pt idx="363">
                  <c:v>2024-01-30 00:00:00+00:00</c:v>
                </c:pt>
                <c:pt idx="364">
                  <c:v>2024-01-31 00:00:00+00:00</c:v>
                </c:pt>
                <c:pt idx="365">
                  <c:v>2024-02-01 00:00:00+00:00</c:v>
                </c:pt>
                <c:pt idx="366">
                  <c:v>2024-02-02 00:00:00+00:00</c:v>
                </c:pt>
                <c:pt idx="367">
                  <c:v>2024-02-03 00:00:00+00:00</c:v>
                </c:pt>
                <c:pt idx="368">
                  <c:v>2024-02-04 00:00:00+00:00</c:v>
                </c:pt>
                <c:pt idx="369">
                  <c:v>2024-02-05 00:00:00+00:00</c:v>
                </c:pt>
                <c:pt idx="370">
                  <c:v>2024-02-06 00:00:00+00:00</c:v>
                </c:pt>
                <c:pt idx="371">
                  <c:v>2024-02-07 00:00:00+00:00</c:v>
                </c:pt>
                <c:pt idx="372">
                  <c:v>2024-02-08 00:00:00+00:00</c:v>
                </c:pt>
                <c:pt idx="373">
                  <c:v>2024-02-09 00:00:00+00:00</c:v>
                </c:pt>
                <c:pt idx="374">
                  <c:v>2024-02-10 00:00:00+00:00</c:v>
                </c:pt>
                <c:pt idx="375">
                  <c:v>2024-02-11 00:00:00+00:00</c:v>
                </c:pt>
                <c:pt idx="376">
                  <c:v>2024-02-12 00:00:00+00:00</c:v>
                </c:pt>
                <c:pt idx="377">
                  <c:v>2024-02-13 00:00:00+00:00</c:v>
                </c:pt>
                <c:pt idx="378">
                  <c:v>2024-02-14 00:00:00+00:00</c:v>
                </c:pt>
                <c:pt idx="379">
                  <c:v>2024-02-15 00:00:00+00:00</c:v>
                </c:pt>
                <c:pt idx="380">
                  <c:v>2024-02-16 00:00:00+00:00</c:v>
                </c:pt>
                <c:pt idx="381">
                  <c:v>2024-02-17 00:00:00+00:00</c:v>
                </c:pt>
                <c:pt idx="382">
                  <c:v>2024-02-18 00:00:00+00:00</c:v>
                </c:pt>
                <c:pt idx="383">
                  <c:v>2024-02-19 00:00:00+00:00</c:v>
                </c:pt>
                <c:pt idx="384">
                  <c:v>2024-02-20 00:00:00+00:00</c:v>
                </c:pt>
                <c:pt idx="385">
                  <c:v>2024-02-21 00:00:00+00:00</c:v>
                </c:pt>
                <c:pt idx="386">
                  <c:v>2024-02-22 00:00:00+00:00</c:v>
                </c:pt>
                <c:pt idx="387">
                  <c:v>2024-02-23 00:00:00+00:00</c:v>
                </c:pt>
                <c:pt idx="388">
                  <c:v>2024-02-24 00:00:00+00:00</c:v>
                </c:pt>
                <c:pt idx="389">
                  <c:v>2024-02-25 00:00:00+00:00</c:v>
                </c:pt>
                <c:pt idx="390">
                  <c:v>2024-02-26 00:00:00+00:00</c:v>
                </c:pt>
                <c:pt idx="391">
                  <c:v>2024-02-27 00:00:00+00:00</c:v>
                </c:pt>
                <c:pt idx="392">
                  <c:v>2024-02-28 00:00:00+00:00</c:v>
                </c:pt>
                <c:pt idx="393">
                  <c:v>2024-02-29 00:00:00+00:00</c:v>
                </c:pt>
                <c:pt idx="394">
                  <c:v>2024-03-01 00:00:00+00:00</c:v>
                </c:pt>
                <c:pt idx="395">
                  <c:v>2024-03-02 00:00:00+00:00</c:v>
                </c:pt>
                <c:pt idx="396">
                  <c:v>2024-03-03 00:00:00+00:00</c:v>
                </c:pt>
                <c:pt idx="397">
                  <c:v>2024-03-04 00:00:00+00:00</c:v>
                </c:pt>
                <c:pt idx="398">
                  <c:v>2024-03-05 00:00:00+00:00</c:v>
                </c:pt>
                <c:pt idx="399">
                  <c:v>2024-03-06 00:00:00+00:00</c:v>
                </c:pt>
                <c:pt idx="400">
                  <c:v>2024-03-07 00:00:00+00:00</c:v>
                </c:pt>
                <c:pt idx="401">
                  <c:v>2024-03-08 00:00:00+00:00</c:v>
                </c:pt>
                <c:pt idx="402">
                  <c:v>2024-03-09 00:00:00+00:00</c:v>
                </c:pt>
                <c:pt idx="403">
                  <c:v>2024-03-10 00:00:00+00:00</c:v>
                </c:pt>
                <c:pt idx="404">
                  <c:v>2024-03-11 00:00:00+00:00</c:v>
                </c:pt>
                <c:pt idx="405">
                  <c:v>2024-03-12 00:00:00+00:00</c:v>
                </c:pt>
                <c:pt idx="406">
                  <c:v>2024-03-13 00:00:00+00:00</c:v>
                </c:pt>
                <c:pt idx="407">
                  <c:v>2024-03-14 00:00:00+00:00</c:v>
                </c:pt>
                <c:pt idx="408">
                  <c:v>2024-03-15 00:00:00+00:00</c:v>
                </c:pt>
                <c:pt idx="409">
                  <c:v>2024-03-16 00:00:00+00:00</c:v>
                </c:pt>
                <c:pt idx="410">
                  <c:v>2024-03-17 00:00:00+00:00</c:v>
                </c:pt>
              </c:strCache>
            </c:strRef>
          </c:cat>
          <c:val>
            <c:numRef>
              <c:f>Biomasstest!$C$2:$C$250</c:f>
              <c:numCache>
                <c:formatCode>General</c:formatCode>
                <c:ptCount val="249"/>
                <c:pt idx="42">
                  <c:v>0</c:v>
                </c:pt>
                <c:pt idx="43">
                  <c:v>-9.7436637199617496E-2</c:v>
                </c:pt>
                <c:pt idx="44">
                  <c:v>-7.4072679633257296E-2</c:v>
                </c:pt>
                <c:pt idx="45">
                  <c:v>-0.37499527109448</c:v>
                </c:pt>
                <c:pt idx="46">
                  <c:v>-0.44438115559548103</c:v>
                </c:pt>
                <c:pt idx="47">
                  <c:v>-0.500734063227389</c:v>
                </c:pt>
                <c:pt idx="48">
                  <c:v>-0.199551127893101</c:v>
                </c:pt>
                <c:pt idx="49">
                  <c:v>-4.9560134210029298E-2</c:v>
                </c:pt>
                <c:pt idx="50">
                  <c:v>2.0287332663201499E-2</c:v>
                </c:pt>
                <c:pt idx="51">
                  <c:v>0.21829047060651799</c:v>
                </c:pt>
                <c:pt idx="52">
                  <c:v>0.145869876917672</c:v>
                </c:pt>
                <c:pt idx="53">
                  <c:v>0.160704417126872</c:v>
                </c:pt>
                <c:pt idx="54">
                  <c:v>-9.8336181615970002E-3</c:v>
                </c:pt>
                <c:pt idx="55">
                  <c:v>0.18626342542396601</c:v>
                </c:pt>
                <c:pt idx="56">
                  <c:v>0.23351582830002801</c:v>
                </c:pt>
                <c:pt idx="57">
                  <c:v>0.26754128835924701</c:v>
                </c:pt>
                <c:pt idx="58">
                  <c:v>0.206538752919524</c:v>
                </c:pt>
                <c:pt idx="59">
                  <c:v>7.8276518389252203E-2</c:v>
                </c:pt>
                <c:pt idx="60">
                  <c:v>2.2269463397996899E-2</c:v>
                </c:pt>
                <c:pt idx="61">
                  <c:v>2.4364342393070602E-3</c:v>
                </c:pt>
                <c:pt idx="62">
                  <c:v>-3.6995226227372002E-2</c:v>
                </c:pt>
                <c:pt idx="63">
                  <c:v>-2.53872576943301E-2</c:v>
                </c:pt>
                <c:pt idx="64">
                  <c:v>-5.6568586740926401E-2</c:v>
                </c:pt>
                <c:pt idx="65">
                  <c:v>0.12394610505963</c:v>
                </c:pt>
                <c:pt idx="66">
                  <c:v>0.131618848351131</c:v>
                </c:pt>
                <c:pt idx="67">
                  <c:v>0.25161436922899899</c:v>
                </c:pt>
                <c:pt idx="68">
                  <c:v>0.12558163891777499</c:v>
                </c:pt>
                <c:pt idx="69">
                  <c:v>0.27515107832362701</c:v>
                </c:pt>
                <c:pt idx="70">
                  <c:v>0.28907480283255799</c:v>
                </c:pt>
                <c:pt idx="71">
                  <c:v>0.40685623569989399</c:v>
                </c:pt>
                <c:pt idx="72">
                  <c:v>0.37355725844343002</c:v>
                </c:pt>
                <c:pt idx="73">
                  <c:v>0.49014640964957901</c:v>
                </c:pt>
                <c:pt idx="74">
                  <c:v>0.59817189156447603</c:v>
                </c:pt>
                <c:pt idx="75">
                  <c:v>0.54186953528161297</c:v>
                </c:pt>
                <c:pt idx="76">
                  <c:v>0.58404470679840803</c:v>
                </c:pt>
                <c:pt idx="77">
                  <c:v>0.60964148249375605</c:v>
                </c:pt>
                <c:pt idx="78">
                  <c:v>0.69114233764130195</c:v>
                </c:pt>
                <c:pt idx="79">
                  <c:v>0.56928077830069701</c:v>
                </c:pt>
                <c:pt idx="80">
                  <c:v>0.49575667865789003</c:v>
                </c:pt>
                <c:pt idx="81">
                  <c:v>0.31659848390775702</c:v>
                </c:pt>
                <c:pt idx="82">
                  <c:v>0.35866756161996299</c:v>
                </c:pt>
                <c:pt idx="83">
                  <c:v>0.34470367287690701</c:v>
                </c:pt>
                <c:pt idx="84">
                  <c:v>0.58453378671395795</c:v>
                </c:pt>
                <c:pt idx="85">
                  <c:v>0.61395606746107401</c:v>
                </c:pt>
                <c:pt idx="86">
                  <c:v>0.77371891175546204</c:v>
                </c:pt>
                <c:pt idx="87">
                  <c:v>0.84981566246287299</c:v>
                </c:pt>
                <c:pt idx="88">
                  <c:v>0.95846462688260903</c:v>
                </c:pt>
                <c:pt idx="89">
                  <c:v>1.0038136441245</c:v>
                </c:pt>
                <c:pt idx="90">
                  <c:v>0.83799572014558099</c:v>
                </c:pt>
                <c:pt idx="91">
                  <c:v>0.76936382111846402</c:v>
                </c:pt>
                <c:pt idx="92">
                  <c:v>0.68542649873919304</c:v>
                </c:pt>
                <c:pt idx="93">
                  <c:v>0.67357202459799403</c:v>
                </c:pt>
                <c:pt idx="94">
                  <c:v>0.89264894662891603</c:v>
                </c:pt>
                <c:pt idx="95">
                  <c:v>0.95269574035427596</c:v>
                </c:pt>
                <c:pt idx="96">
                  <c:v>1.2195550349566799</c:v>
                </c:pt>
                <c:pt idx="97">
                  <c:v>1.0752007682953699</c:v>
                </c:pt>
                <c:pt idx="98">
                  <c:v>1.1917033882418699</c:v>
                </c:pt>
                <c:pt idx="99">
                  <c:v>1.1512135545883699</c:v>
                </c:pt>
                <c:pt idx="100">
                  <c:v>1.08860512844841</c:v>
                </c:pt>
                <c:pt idx="101">
                  <c:v>1.0106656845948201</c:v>
                </c:pt>
                <c:pt idx="102">
                  <c:v>1.0174676602735699</c:v>
                </c:pt>
                <c:pt idx="103">
                  <c:v>1.0709024408738701</c:v>
                </c:pt>
                <c:pt idx="104">
                  <c:v>1.0812676526014799</c:v>
                </c:pt>
                <c:pt idx="105">
                  <c:v>1.0728555635499499</c:v>
                </c:pt>
                <c:pt idx="106">
                  <c:v>1.1650283355093101</c:v>
                </c:pt>
                <c:pt idx="107">
                  <c:v>1.07368700665943</c:v>
                </c:pt>
                <c:pt idx="108">
                  <c:v>1.27473331063336</c:v>
                </c:pt>
                <c:pt idx="109">
                  <c:v>1.2915527086826499</c:v>
                </c:pt>
                <c:pt idx="110">
                  <c:v>1.51709022015813</c:v>
                </c:pt>
                <c:pt idx="111">
                  <c:v>1.3536231888096899</c:v>
                </c:pt>
                <c:pt idx="112">
                  <c:v>1.43661504745658</c:v>
                </c:pt>
                <c:pt idx="113">
                  <c:v>1.54710474467911</c:v>
                </c:pt>
                <c:pt idx="114">
                  <c:v>1.61890627165588</c:v>
                </c:pt>
                <c:pt idx="115">
                  <c:v>1.5255405095463399</c:v>
                </c:pt>
                <c:pt idx="116">
                  <c:v>1.4361070891221199</c:v>
                </c:pt>
                <c:pt idx="117">
                  <c:v>1.49232701052154</c:v>
                </c:pt>
                <c:pt idx="118">
                  <c:v>1.5816296612894101</c:v>
                </c:pt>
                <c:pt idx="119">
                  <c:v>1.70664869758108</c:v>
                </c:pt>
                <c:pt idx="120">
                  <c:v>1.8263337611516499</c:v>
                </c:pt>
                <c:pt idx="121">
                  <c:v>1.9758245054631001</c:v>
                </c:pt>
                <c:pt idx="122">
                  <c:v>1.90359659136046</c:v>
                </c:pt>
                <c:pt idx="123">
                  <c:v>1.90451411898402</c:v>
                </c:pt>
                <c:pt idx="124">
                  <c:v>1.9884787213934001</c:v>
                </c:pt>
                <c:pt idx="125">
                  <c:v>1.93694313803861</c:v>
                </c:pt>
                <c:pt idx="126">
                  <c:v>1.9731555682947099</c:v>
                </c:pt>
                <c:pt idx="127">
                  <c:v>1.93159205455473</c:v>
                </c:pt>
                <c:pt idx="128">
                  <c:v>2.1698591693892402</c:v>
                </c:pt>
                <c:pt idx="129">
                  <c:v>2.2664649766020601</c:v>
                </c:pt>
                <c:pt idx="130">
                  <c:v>2.3951381781363201</c:v>
                </c:pt>
                <c:pt idx="131">
                  <c:v>2.4653518548544699</c:v>
                </c:pt>
                <c:pt idx="132">
                  <c:v>2.4874478396559101</c:v>
                </c:pt>
                <c:pt idx="133">
                  <c:v>2.4151694965754702</c:v>
                </c:pt>
                <c:pt idx="134">
                  <c:v>2.4339236447544201</c:v>
                </c:pt>
                <c:pt idx="135">
                  <c:v>2.5465865539026802</c:v>
                </c:pt>
                <c:pt idx="136">
                  <c:v>2.65824037467811</c:v>
                </c:pt>
                <c:pt idx="137">
                  <c:v>2.7474889647045599</c:v>
                </c:pt>
                <c:pt idx="138">
                  <c:v>2.6127555673688398</c:v>
                </c:pt>
                <c:pt idx="139">
                  <c:v>2.6062345075576601</c:v>
                </c:pt>
                <c:pt idx="140">
                  <c:v>2.4303431592639799</c:v>
                </c:pt>
                <c:pt idx="141">
                  <c:v>2.3255864505771999</c:v>
                </c:pt>
                <c:pt idx="142">
                  <c:v>2.2177744780733302</c:v>
                </c:pt>
                <c:pt idx="143">
                  <c:v>2.2959156081727699</c:v>
                </c:pt>
                <c:pt idx="144">
                  <c:v>2.29348004338416</c:v>
                </c:pt>
                <c:pt idx="145">
                  <c:v>2.18111401519932</c:v>
                </c:pt>
                <c:pt idx="146">
                  <c:v>2.1774556331648598</c:v>
                </c:pt>
                <c:pt idx="147">
                  <c:v>2.2802963874707101</c:v>
                </c:pt>
                <c:pt idx="148">
                  <c:v>2.5511331708454801</c:v>
                </c:pt>
                <c:pt idx="149">
                  <c:v>2.4955725518142802</c:v>
                </c:pt>
                <c:pt idx="150">
                  <c:v>2.5386364892889501</c:v>
                </c:pt>
                <c:pt idx="151">
                  <c:v>2.5247025590066499</c:v>
                </c:pt>
                <c:pt idx="152">
                  <c:v>2.4545840423665202</c:v>
                </c:pt>
                <c:pt idx="153">
                  <c:v>2.35448694338411</c:v>
                </c:pt>
                <c:pt idx="154">
                  <c:v>2.16478968132675</c:v>
                </c:pt>
                <c:pt idx="155">
                  <c:v>2.12453678162837</c:v>
                </c:pt>
                <c:pt idx="156">
                  <c:v>2.1223062112534801</c:v>
                </c:pt>
                <c:pt idx="157">
                  <c:v>2.2516549596687501</c:v>
                </c:pt>
                <c:pt idx="158">
                  <c:v>2.2368302758965299</c:v>
                </c:pt>
                <c:pt idx="159">
                  <c:v>2.32610355749999</c:v>
                </c:pt>
                <c:pt idx="160">
                  <c:v>2.0813667960052298</c:v>
                </c:pt>
                <c:pt idx="161">
                  <c:v>1.96252607096264</c:v>
                </c:pt>
                <c:pt idx="162">
                  <c:v>1.78568135442655</c:v>
                </c:pt>
                <c:pt idx="163">
                  <c:v>1.90018688954556</c:v>
                </c:pt>
                <c:pt idx="164">
                  <c:v>2.0805655535689902</c:v>
                </c:pt>
                <c:pt idx="165">
                  <c:v>2.1546644968562898</c:v>
                </c:pt>
                <c:pt idx="166">
                  <c:v>1.9939014989758299</c:v>
                </c:pt>
                <c:pt idx="167">
                  <c:v>1.84474404233822</c:v>
                </c:pt>
                <c:pt idx="168">
                  <c:v>1.6812733552307499</c:v>
                </c:pt>
                <c:pt idx="169">
                  <c:v>1.8432366368303801</c:v>
                </c:pt>
                <c:pt idx="170">
                  <c:v>1.7987225192220999</c:v>
                </c:pt>
                <c:pt idx="171">
                  <c:v>1.76085788415332</c:v>
                </c:pt>
                <c:pt idx="172">
                  <c:v>1.69285765808176</c:v>
                </c:pt>
                <c:pt idx="173">
                  <c:v>1.69285765808176</c:v>
                </c:pt>
                <c:pt idx="174">
                  <c:v>1.69285765808176</c:v>
                </c:pt>
                <c:pt idx="175">
                  <c:v>1.69285765808176</c:v>
                </c:pt>
                <c:pt idx="176">
                  <c:v>1.69285765808176</c:v>
                </c:pt>
                <c:pt idx="177">
                  <c:v>1.69285765808176</c:v>
                </c:pt>
                <c:pt idx="178">
                  <c:v>1.69285765808176</c:v>
                </c:pt>
                <c:pt idx="179">
                  <c:v>1.69285765808176</c:v>
                </c:pt>
                <c:pt idx="180">
                  <c:v>1.69285765808176</c:v>
                </c:pt>
                <c:pt idx="181">
                  <c:v>1.69285765808176</c:v>
                </c:pt>
                <c:pt idx="182">
                  <c:v>1.69285765808176</c:v>
                </c:pt>
                <c:pt idx="183">
                  <c:v>1.69285765808176</c:v>
                </c:pt>
                <c:pt idx="184">
                  <c:v>1.69285765808176</c:v>
                </c:pt>
                <c:pt idx="185">
                  <c:v>1.69285765808176</c:v>
                </c:pt>
                <c:pt idx="186">
                  <c:v>1.69285765808176</c:v>
                </c:pt>
                <c:pt idx="187">
                  <c:v>1.69285765808176</c:v>
                </c:pt>
                <c:pt idx="188">
                  <c:v>1.69285765808176</c:v>
                </c:pt>
                <c:pt idx="189">
                  <c:v>1.69285765808176</c:v>
                </c:pt>
                <c:pt idx="190">
                  <c:v>1.69285765808176</c:v>
                </c:pt>
                <c:pt idx="191">
                  <c:v>1.69285765808176</c:v>
                </c:pt>
                <c:pt idx="192">
                  <c:v>1.69285765808176</c:v>
                </c:pt>
                <c:pt idx="193">
                  <c:v>1.69285765808176</c:v>
                </c:pt>
                <c:pt idx="194">
                  <c:v>1.69285765808176</c:v>
                </c:pt>
                <c:pt idx="195">
                  <c:v>1.69285765808176</c:v>
                </c:pt>
                <c:pt idx="196">
                  <c:v>1.69285765808176</c:v>
                </c:pt>
                <c:pt idx="197">
                  <c:v>1.69285765808176</c:v>
                </c:pt>
                <c:pt idx="198">
                  <c:v>1.69285765808176</c:v>
                </c:pt>
                <c:pt idx="199">
                  <c:v>1.69285765808176</c:v>
                </c:pt>
                <c:pt idx="200">
                  <c:v>1.69285765808176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1-4D09-8F3E-48C215773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692704"/>
        <c:axId val="717692344"/>
      </c:lineChart>
      <c:scatterChart>
        <c:scatterStyle val="lineMarker"/>
        <c:varyColors val="0"/>
        <c:ser>
          <c:idx val="0"/>
          <c:order val="0"/>
          <c:tx>
            <c:strRef>
              <c:f>Biomasstest!$B$1</c:f>
              <c:strCache>
                <c:ptCount val="1"/>
                <c:pt idx="0">
                  <c:v>Biomass_measured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Biomasstest!$A$2:$A$250</c:f>
              <c:strCache>
                <c:ptCount val="249"/>
                <c:pt idx="0">
                  <c:v>2023-02-01 00:00:00+00:00</c:v>
                </c:pt>
                <c:pt idx="1">
                  <c:v>2023-02-02 00:00:00+00:00</c:v>
                </c:pt>
                <c:pt idx="2">
                  <c:v>2023-02-03 00:00:00+00:00</c:v>
                </c:pt>
                <c:pt idx="3">
                  <c:v>2023-02-04 00:00:00+00:00</c:v>
                </c:pt>
                <c:pt idx="4">
                  <c:v>2023-02-05 00:00:00+00:00</c:v>
                </c:pt>
                <c:pt idx="5">
                  <c:v>2023-02-06 00:00:00+00:00</c:v>
                </c:pt>
                <c:pt idx="6">
                  <c:v>2023-02-07 00:00:00+00:00</c:v>
                </c:pt>
                <c:pt idx="7">
                  <c:v>2023-02-08 00:00:00+00:00</c:v>
                </c:pt>
                <c:pt idx="8">
                  <c:v>2023-02-09 00:00:00+00:00</c:v>
                </c:pt>
                <c:pt idx="9">
                  <c:v>2023-02-10 00:00:00+00:00</c:v>
                </c:pt>
                <c:pt idx="10">
                  <c:v>2023-02-11 00:00:00+00:00</c:v>
                </c:pt>
                <c:pt idx="11">
                  <c:v>2023-02-12 00:00:00+00:00</c:v>
                </c:pt>
                <c:pt idx="12">
                  <c:v>2023-02-13 00:00:00+00:00</c:v>
                </c:pt>
                <c:pt idx="13">
                  <c:v>2023-02-14 00:00:00+00:00</c:v>
                </c:pt>
                <c:pt idx="14">
                  <c:v>2023-02-15 00:00:00+00:00</c:v>
                </c:pt>
                <c:pt idx="15">
                  <c:v>2023-02-16 00:00:00+00:00</c:v>
                </c:pt>
                <c:pt idx="16">
                  <c:v>2023-02-17 00:00:00+00:00</c:v>
                </c:pt>
                <c:pt idx="17">
                  <c:v>2023-02-18 00:00:00+00:00</c:v>
                </c:pt>
                <c:pt idx="18">
                  <c:v>2023-02-19 00:00:00+00:00</c:v>
                </c:pt>
                <c:pt idx="19">
                  <c:v>2023-02-20 00:00:00+00:00</c:v>
                </c:pt>
                <c:pt idx="20">
                  <c:v>2023-02-21 00:00:00+00:00</c:v>
                </c:pt>
                <c:pt idx="21">
                  <c:v>2023-02-22 00:00:00+00:00</c:v>
                </c:pt>
                <c:pt idx="22">
                  <c:v>2023-02-23 00:00:00+00:00</c:v>
                </c:pt>
                <c:pt idx="23">
                  <c:v>2023-02-24 00:00:00+00:00</c:v>
                </c:pt>
                <c:pt idx="24">
                  <c:v>2023-02-25 00:00:00+00:00</c:v>
                </c:pt>
                <c:pt idx="25">
                  <c:v>2023-02-26 00:00:00+00:00</c:v>
                </c:pt>
                <c:pt idx="26">
                  <c:v>2023-02-27 00:00:00+00:00</c:v>
                </c:pt>
                <c:pt idx="27">
                  <c:v>2023-02-28 00:00:00+00:00</c:v>
                </c:pt>
                <c:pt idx="28">
                  <c:v>2023-03-01 00:00:00+00:00</c:v>
                </c:pt>
                <c:pt idx="29">
                  <c:v>2023-03-02 00:00:00+00:00</c:v>
                </c:pt>
                <c:pt idx="30">
                  <c:v>2023-03-03 00:00:00+00:00</c:v>
                </c:pt>
                <c:pt idx="31">
                  <c:v>2023-03-04 00:00:00+00:00</c:v>
                </c:pt>
                <c:pt idx="32">
                  <c:v>2023-03-05 00:00:00+00:00</c:v>
                </c:pt>
                <c:pt idx="33">
                  <c:v>2023-03-06 00:00:00+00:00</c:v>
                </c:pt>
                <c:pt idx="34">
                  <c:v>2023-03-07 00:00:00+00:00</c:v>
                </c:pt>
                <c:pt idx="35">
                  <c:v>2023-03-08 00:00:00+00:00</c:v>
                </c:pt>
                <c:pt idx="36">
                  <c:v>2023-03-09 00:00:00+00:00</c:v>
                </c:pt>
                <c:pt idx="37">
                  <c:v>2023-03-10 00:00:00+00:00</c:v>
                </c:pt>
                <c:pt idx="38">
                  <c:v>2023-03-11 00:00:00+00:00</c:v>
                </c:pt>
                <c:pt idx="39">
                  <c:v>2023-03-12 00:00:00+00:00</c:v>
                </c:pt>
                <c:pt idx="40">
                  <c:v>2023-03-13 00:00:00+00:00</c:v>
                </c:pt>
                <c:pt idx="41">
                  <c:v>2023-03-14 00:00:00+00:00</c:v>
                </c:pt>
                <c:pt idx="42">
                  <c:v>2023-03-15 00:00:00+00:00</c:v>
                </c:pt>
                <c:pt idx="43">
                  <c:v>2023-03-16 00:00:00+00:00</c:v>
                </c:pt>
                <c:pt idx="44">
                  <c:v>2023-03-17 00:00:00+00:00</c:v>
                </c:pt>
                <c:pt idx="45">
                  <c:v>2023-03-18 00:00:00+00:00</c:v>
                </c:pt>
                <c:pt idx="46">
                  <c:v>2023-03-19 00:00:00+00:00</c:v>
                </c:pt>
                <c:pt idx="47">
                  <c:v>2023-03-20 00:00:00+00:00</c:v>
                </c:pt>
                <c:pt idx="48">
                  <c:v>2023-03-21 00:00:00+00:00</c:v>
                </c:pt>
                <c:pt idx="49">
                  <c:v>2023-03-22 00:00:00+00:00</c:v>
                </c:pt>
                <c:pt idx="50">
                  <c:v>2023-03-23 00:00:00+00:00</c:v>
                </c:pt>
                <c:pt idx="51">
                  <c:v>2023-03-24 00:00:00+00:00</c:v>
                </c:pt>
                <c:pt idx="52">
                  <c:v>2023-03-25 00:00:00+00:00</c:v>
                </c:pt>
                <c:pt idx="53">
                  <c:v>2023-03-26 00:00:00+00:00</c:v>
                </c:pt>
                <c:pt idx="54">
                  <c:v>2023-03-27 00:00:00+00:00</c:v>
                </c:pt>
                <c:pt idx="55">
                  <c:v>2023-03-28 00:00:00+00:00</c:v>
                </c:pt>
                <c:pt idx="56">
                  <c:v>2023-03-29 00:00:00+00:00</c:v>
                </c:pt>
                <c:pt idx="57">
                  <c:v>2023-03-30 00:00:00+00:00</c:v>
                </c:pt>
                <c:pt idx="58">
                  <c:v>2023-03-31 00:00:00+00:00</c:v>
                </c:pt>
                <c:pt idx="59">
                  <c:v>2023-04-01 00:00:00+00:00</c:v>
                </c:pt>
                <c:pt idx="60">
                  <c:v>2023-04-02 00:00:00+00:00</c:v>
                </c:pt>
                <c:pt idx="61">
                  <c:v>2023-04-03 00:00:00+00:00</c:v>
                </c:pt>
                <c:pt idx="62">
                  <c:v>2023-04-04 00:00:00+00:00</c:v>
                </c:pt>
                <c:pt idx="63">
                  <c:v>2023-04-05 00:00:00+00:00</c:v>
                </c:pt>
                <c:pt idx="64">
                  <c:v>2023-04-06 00:00:00+00:00</c:v>
                </c:pt>
                <c:pt idx="65">
                  <c:v>2023-04-07 00:00:00+00:00</c:v>
                </c:pt>
                <c:pt idx="66">
                  <c:v>2023-04-08 00:00:00+00:00</c:v>
                </c:pt>
                <c:pt idx="67">
                  <c:v>2023-04-09 00:00:00+00:00</c:v>
                </c:pt>
                <c:pt idx="68">
                  <c:v>2023-04-10 00:00:00+00:00</c:v>
                </c:pt>
                <c:pt idx="69">
                  <c:v>2023-04-11 00:00:00+00:00</c:v>
                </c:pt>
                <c:pt idx="70">
                  <c:v>2023-04-12 00:00:00+00:00</c:v>
                </c:pt>
                <c:pt idx="71">
                  <c:v>2023-04-13 00:00:00+00:00</c:v>
                </c:pt>
                <c:pt idx="72">
                  <c:v>2023-04-14 00:00:00+00:00</c:v>
                </c:pt>
                <c:pt idx="73">
                  <c:v>2023-04-15 00:00:00+00:00</c:v>
                </c:pt>
                <c:pt idx="74">
                  <c:v>2023-04-16 00:00:00+00:00</c:v>
                </c:pt>
                <c:pt idx="75">
                  <c:v>2023-04-17 00:00:00+00:00</c:v>
                </c:pt>
                <c:pt idx="76">
                  <c:v>2023-04-18 00:00:00+00:00</c:v>
                </c:pt>
                <c:pt idx="77">
                  <c:v>2023-04-19 00:00:00+00:00</c:v>
                </c:pt>
                <c:pt idx="78">
                  <c:v>2023-04-20 00:00:00+00:00</c:v>
                </c:pt>
                <c:pt idx="79">
                  <c:v>2023-04-21 00:00:00+00:00</c:v>
                </c:pt>
                <c:pt idx="80">
                  <c:v>2023-04-22 00:00:00+00:00</c:v>
                </c:pt>
                <c:pt idx="81">
                  <c:v>2023-04-23 00:00:00+00:00</c:v>
                </c:pt>
                <c:pt idx="82">
                  <c:v>2023-04-24 00:00:00+00:00</c:v>
                </c:pt>
                <c:pt idx="83">
                  <c:v>2023-04-25 00:00:00+00:00</c:v>
                </c:pt>
                <c:pt idx="84">
                  <c:v>2023-04-26 00:00:00+00:00</c:v>
                </c:pt>
                <c:pt idx="85">
                  <c:v>2023-04-27 00:00:00+00:00</c:v>
                </c:pt>
                <c:pt idx="86">
                  <c:v>2023-04-28 00:00:00+00:00</c:v>
                </c:pt>
                <c:pt idx="87">
                  <c:v>2023-04-29 00:00:00+00:00</c:v>
                </c:pt>
                <c:pt idx="88">
                  <c:v>2023-04-30 00:00:00+00:00</c:v>
                </c:pt>
                <c:pt idx="89">
                  <c:v>2023-05-01 00:00:00+00:00</c:v>
                </c:pt>
                <c:pt idx="90">
                  <c:v>2023-05-02 00:00:00+00:00</c:v>
                </c:pt>
                <c:pt idx="91">
                  <c:v>2023-05-03 00:00:00+00:00</c:v>
                </c:pt>
                <c:pt idx="92">
                  <c:v>2023-05-04 00:00:00+00:00</c:v>
                </c:pt>
                <c:pt idx="93">
                  <c:v>2023-05-05 00:00:00+00:00</c:v>
                </c:pt>
                <c:pt idx="94">
                  <c:v>2023-05-06 00:00:00+00:00</c:v>
                </c:pt>
                <c:pt idx="95">
                  <c:v>2023-05-07 00:00:00+00:00</c:v>
                </c:pt>
                <c:pt idx="96">
                  <c:v>2023-05-08 00:00:00+00:00</c:v>
                </c:pt>
                <c:pt idx="97">
                  <c:v>2023-05-09 00:00:00+00:00</c:v>
                </c:pt>
                <c:pt idx="98">
                  <c:v>2023-05-10 00:00:00+00:00</c:v>
                </c:pt>
                <c:pt idx="99">
                  <c:v>2023-05-11 00:00:00+00:00</c:v>
                </c:pt>
                <c:pt idx="100">
                  <c:v>2023-05-12 00:00:00+00:00</c:v>
                </c:pt>
                <c:pt idx="101">
                  <c:v>2023-05-13 00:00:00+00:00</c:v>
                </c:pt>
                <c:pt idx="102">
                  <c:v>2023-05-14 00:00:00+00:00</c:v>
                </c:pt>
                <c:pt idx="103">
                  <c:v>2023-05-15 00:00:00+00:00</c:v>
                </c:pt>
                <c:pt idx="104">
                  <c:v>2023-05-16 00:00:00+00:00</c:v>
                </c:pt>
                <c:pt idx="105">
                  <c:v>2023-05-17 00:00:00+00:00</c:v>
                </c:pt>
                <c:pt idx="106">
                  <c:v>2023-05-18 00:00:00+00:00</c:v>
                </c:pt>
                <c:pt idx="107">
                  <c:v>2023-05-19 00:00:00+00:00</c:v>
                </c:pt>
                <c:pt idx="108">
                  <c:v>2023-05-20 00:00:00+00:00</c:v>
                </c:pt>
                <c:pt idx="109">
                  <c:v>2023-05-21 00:00:00+00:00</c:v>
                </c:pt>
                <c:pt idx="110">
                  <c:v>2023-05-22 00:00:00+00:00</c:v>
                </c:pt>
                <c:pt idx="111">
                  <c:v>2023-05-23 00:00:00+00:00</c:v>
                </c:pt>
                <c:pt idx="112">
                  <c:v>2023-05-24 00:00:00+00:00</c:v>
                </c:pt>
                <c:pt idx="113">
                  <c:v>2023-05-25 00:00:00+00:00</c:v>
                </c:pt>
                <c:pt idx="114">
                  <c:v>2023-05-26 00:00:00+00:00</c:v>
                </c:pt>
                <c:pt idx="115">
                  <c:v>2023-05-27 00:00:00+00:00</c:v>
                </c:pt>
                <c:pt idx="116">
                  <c:v>2023-05-28 00:00:00+00:00</c:v>
                </c:pt>
                <c:pt idx="117">
                  <c:v>2023-05-29 00:00:00+00:00</c:v>
                </c:pt>
                <c:pt idx="118">
                  <c:v>2023-05-30 00:00:00+00:00</c:v>
                </c:pt>
                <c:pt idx="119">
                  <c:v>2023-05-31 00:00:00+00:00</c:v>
                </c:pt>
                <c:pt idx="120">
                  <c:v>2023-06-01 00:00:00+00:00</c:v>
                </c:pt>
                <c:pt idx="121">
                  <c:v>2023-06-02 00:00:00+00:00</c:v>
                </c:pt>
                <c:pt idx="122">
                  <c:v>2023-06-03 00:00:00+00:00</c:v>
                </c:pt>
                <c:pt idx="123">
                  <c:v>2023-06-04 00:00:00+00:00</c:v>
                </c:pt>
                <c:pt idx="124">
                  <c:v>2023-06-05 00:00:00+00:00</c:v>
                </c:pt>
                <c:pt idx="125">
                  <c:v>2023-06-06 00:00:00+00:00</c:v>
                </c:pt>
                <c:pt idx="126">
                  <c:v>2023-06-07 00:00:00+00:00</c:v>
                </c:pt>
                <c:pt idx="127">
                  <c:v>2023-06-08 00:00:00+00:00</c:v>
                </c:pt>
                <c:pt idx="128">
                  <c:v>2023-06-09 00:00:00+00:00</c:v>
                </c:pt>
                <c:pt idx="129">
                  <c:v>2023-06-10 00:00:00+00:00</c:v>
                </c:pt>
                <c:pt idx="130">
                  <c:v>2023-06-11 00:00:00+00:00</c:v>
                </c:pt>
                <c:pt idx="131">
                  <c:v>2023-06-12 00:00:00+00:00</c:v>
                </c:pt>
                <c:pt idx="132">
                  <c:v>2023-06-13 00:00:00+00:00</c:v>
                </c:pt>
                <c:pt idx="133">
                  <c:v>2023-06-14 00:00:00+00:00</c:v>
                </c:pt>
                <c:pt idx="134">
                  <c:v>2023-06-15 00:00:00+00:00</c:v>
                </c:pt>
                <c:pt idx="135">
                  <c:v>2023-06-16 00:00:00+00:00</c:v>
                </c:pt>
                <c:pt idx="136">
                  <c:v>2023-06-17 00:00:00+00:00</c:v>
                </c:pt>
                <c:pt idx="137">
                  <c:v>2023-06-18 00:00:00+00:00</c:v>
                </c:pt>
                <c:pt idx="138">
                  <c:v>2023-06-19 00:00:00+00:00</c:v>
                </c:pt>
                <c:pt idx="139">
                  <c:v>2023-06-20 00:00:00+00:00</c:v>
                </c:pt>
                <c:pt idx="140">
                  <c:v>2023-06-21 00:00:00+00:00</c:v>
                </c:pt>
                <c:pt idx="141">
                  <c:v>2023-06-22 00:00:00+00:00</c:v>
                </c:pt>
                <c:pt idx="142">
                  <c:v>2023-06-23 00:00:00+00:00</c:v>
                </c:pt>
                <c:pt idx="143">
                  <c:v>2023-06-24 00:00:00+00:00</c:v>
                </c:pt>
                <c:pt idx="144">
                  <c:v>2023-06-25 00:00:00+00:00</c:v>
                </c:pt>
                <c:pt idx="145">
                  <c:v>2023-06-26 00:00:00+00:00</c:v>
                </c:pt>
                <c:pt idx="146">
                  <c:v>2023-06-27 00:00:00+00:00</c:v>
                </c:pt>
                <c:pt idx="147">
                  <c:v>2023-06-28 00:00:00+00:00</c:v>
                </c:pt>
                <c:pt idx="148">
                  <c:v>2023-06-29 00:00:00+00:00</c:v>
                </c:pt>
                <c:pt idx="149">
                  <c:v>2023-06-30 00:00:00+00:00</c:v>
                </c:pt>
                <c:pt idx="150">
                  <c:v>2023-07-01 00:00:00+00:00</c:v>
                </c:pt>
                <c:pt idx="151">
                  <c:v>2023-07-02 00:00:00+00:00</c:v>
                </c:pt>
                <c:pt idx="152">
                  <c:v>2023-07-03 00:00:00+00:00</c:v>
                </c:pt>
                <c:pt idx="153">
                  <c:v>2023-07-04 00:00:00+00:00</c:v>
                </c:pt>
                <c:pt idx="154">
                  <c:v>2023-07-05 00:00:00+00:00</c:v>
                </c:pt>
                <c:pt idx="155">
                  <c:v>2023-07-06 00:00:00+00:00</c:v>
                </c:pt>
                <c:pt idx="156">
                  <c:v>2023-07-07 00:00:00+00:00</c:v>
                </c:pt>
                <c:pt idx="157">
                  <c:v>2023-07-08 00:00:00+00:00</c:v>
                </c:pt>
                <c:pt idx="158">
                  <c:v>2023-07-09 00:00:00+00:00</c:v>
                </c:pt>
                <c:pt idx="159">
                  <c:v>2023-07-10 00:00:00+00:00</c:v>
                </c:pt>
                <c:pt idx="160">
                  <c:v>2023-07-11 00:00:00+00:00</c:v>
                </c:pt>
                <c:pt idx="161">
                  <c:v>2023-07-12 00:00:00+00:00</c:v>
                </c:pt>
                <c:pt idx="162">
                  <c:v>2023-07-13 00:00:00+00:00</c:v>
                </c:pt>
                <c:pt idx="163">
                  <c:v>2023-07-14 00:00:00+00:00</c:v>
                </c:pt>
                <c:pt idx="164">
                  <c:v>2023-07-15 00:00:00+00:00</c:v>
                </c:pt>
                <c:pt idx="165">
                  <c:v>2023-07-16 00:00:00+00:00</c:v>
                </c:pt>
                <c:pt idx="166">
                  <c:v>2023-07-17 00:00:00+00:00</c:v>
                </c:pt>
                <c:pt idx="167">
                  <c:v>2023-07-18 00:00:00+00:00</c:v>
                </c:pt>
                <c:pt idx="168">
                  <c:v>2023-07-19 00:00:00+00:00</c:v>
                </c:pt>
                <c:pt idx="169">
                  <c:v>2023-07-20 00:00:00+00:00</c:v>
                </c:pt>
                <c:pt idx="170">
                  <c:v>2023-07-21 00:00:00+00:00</c:v>
                </c:pt>
                <c:pt idx="171">
                  <c:v>2023-07-22 00:00:00+00:00</c:v>
                </c:pt>
                <c:pt idx="172">
                  <c:v>2023-07-23 00:00:00+00:00</c:v>
                </c:pt>
                <c:pt idx="173">
                  <c:v>2023-07-24 00:00:00+00:00</c:v>
                </c:pt>
                <c:pt idx="174">
                  <c:v>2023-07-25 00:00:00+00:00</c:v>
                </c:pt>
                <c:pt idx="175">
                  <c:v>2023-07-26 00:00:00+00:00</c:v>
                </c:pt>
                <c:pt idx="176">
                  <c:v>2023-07-27 00:00:00+00:00</c:v>
                </c:pt>
                <c:pt idx="177">
                  <c:v>2023-07-28 00:00:00+00:00</c:v>
                </c:pt>
                <c:pt idx="178">
                  <c:v>2023-07-29 00:00:00+00:00</c:v>
                </c:pt>
                <c:pt idx="179">
                  <c:v>2023-07-30 00:00:00+00:00</c:v>
                </c:pt>
                <c:pt idx="180">
                  <c:v>2023-07-31 00:00:00+00:00</c:v>
                </c:pt>
                <c:pt idx="181">
                  <c:v>2023-08-01 00:00:00+00:00</c:v>
                </c:pt>
                <c:pt idx="182">
                  <c:v>2023-08-02 00:00:00+00:00</c:v>
                </c:pt>
                <c:pt idx="183">
                  <c:v>2023-08-03 00:00:00+00:00</c:v>
                </c:pt>
                <c:pt idx="184">
                  <c:v>2023-08-04 00:00:00+00:00</c:v>
                </c:pt>
                <c:pt idx="185">
                  <c:v>2023-08-05 00:00:00+00:00</c:v>
                </c:pt>
                <c:pt idx="186">
                  <c:v>2023-08-06 00:00:00+00:00</c:v>
                </c:pt>
                <c:pt idx="187">
                  <c:v>2023-08-07 00:00:00+00:00</c:v>
                </c:pt>
                <c:pt idx="188">
                  <c:v>2023-08-08 00:00:00+00:00</c:v>
                </c:pt>
                <c:pt idx="189">
                  <c:v>2023-08-09 00:00:00+00:00</c:v>
                </c:pt>
                <c:pt idx="190">
                  <c:v>2023-08-10 00:00:00+00:00</c:v>
                </c:pt>
                <c:pt idx="191">
                  <c:v>2023-08-11 00:00:00+00:00</c:v>
                </c:pt>
                <c:pt idx="192">
                  <c:v>2023-08-12 00:00:00+00:00</c:v>
                </c:pt>
                <c:pt idx="193">
                  <c:v>2023-08-13 00:00:00+00:00</c:v>
                </c:pt>
                <c:pt idx="194">
                  <c:v>2023-08-14 00:00:00+00:00</c:v>
                </c:pt>
                <c:pt idx="195">
                  <c:v>2023-08-15 00:00:00+00:00</c:v>
                </c:pt>
                <c:pt idx="196">
                  <c:v>2023-08-16 00:00:00+00:00</c:v>
                </c:pt>
                <c:pt idx="197">
                  <c:v>2023-08-17 00:00:00+00:00</c:v>
                </c:pt>
                <c:pt idx="198">
                  <c:v>2023-08-18 00:00:00+00:00</c:v>
                </c:pt>
                <c:pt idx="199">
                  <c:v>2023-08-19 00:00:00+00:00</c:v>
                </c:pt>
                <c:pt idx="200">
                  <c:v>2023-08-20 00:00:00+00:00</c:v>
                </c:pt>
                <c:pt idx="201">
                  <c:v>2023-08-21 00:00:00+00:00</c:v>
                </c:pt>
                <c:pt idx="202">
                  <c:v>2023-08-22 00:00:00+00:00</c:v>
                </c:pt>
                <c:pt idx="203">
                  <c:v>2023-08-23 00:00:00+00:00</c:v>
                </c:pt>
                <c:pt idx="204">
                  <c:v>2023-08-24 00:00:00+00:00</c:v>
                </c:pt>
                <c:pt idx="205">
                  <c:v>2023-08-25 00:00:00+00:00</c:v>
                </c:pt>
                <c:pt idx="206">
                  <c:v>2023-08-26 00:00:00+00:00</c:v>
                </c:pt>
                <c:pt idx="207">
                  <c:v>2023-08-27 00:00:00+00:00</c:v>
                </c:pt>
                <c:pt idx="208">
                  <c:v>2023-08-28 00:00:00+00:00</c:v>
                </c:pt>
                <c:pt idx="209">
                  <c:v>2023-08-29 00:00:00+00:00</c:v>
                </c:pt>
                <c:pt idx="210">
                  <c:v>2023-08-30 00:00:00+00:00</c:v>
                </c:pt>
                <c:pt idx="211">
                  <c:v>2023-08-31 00:00:00+00:00</c:v>
                </c:pt>
                <c:pt idx="212">
                  <c:v>2023-09-01 00:00:00+00:00</c:v>
                </c:pt>
                <c:pt idx="213">
                  <c:v>2023-09-02 00:00:00+00:00</c:v>
                </c:pt>
                <c:pt idx="214">
                  <c:v>2023-09-03 00:00:00+00:00</c:v>
                </c:pt>
                <c:pt idx="215">
                  <c:v>2023-09-04 00:00:00+00:00</c:v>
                </c:pt>
                <c:pt idx="216">
                  <c:v>2023-09-05 00:00:00+00:00</c:v>
                </c:pt>
                <c:pt idx="217">
                  <c:v>2023-09-06 00:00:00+00:00</c:v>
                </c:pt>
                <c:pt idx="218">
                  <c:v>2023-09-07 00:00:00+00:00</c:v>
                </c:pt>
                <c:pt idx="219">
                  <c:v>2023-09-08 00:00:00+00:00</c:v>
                </c:pt>
                <c:pt idx="220">
                  <c:v>2023-09-09 00:00:00+00:00</c:v>
                </c:pt>
                <c:pt idx="221">
                  <c:v>2023-09-10 00:00:00+00:00</c:v>
                </c:pt>
                <c:pt idx="222">
                  <c:v>2023-09-11 00:00:00+00:00</c:v>
                </c:pt>
                <c:pt idx="223">
                  <c:v>2023-09-12 00:00:00+00:00</c:v>
                </c:pt>
                <c:pt idx="224">
                  <c:v>2023-09-13 00:00:00+00:00</c:v>
                </c:pt>
                <c:pt idx="225">
                  <c:v>2023-09-14 00:00:00+00:00</c:v>
                </c:pt>
                <c:pt idx="226">
                  <c:v>2023-09-15 00:00:00+00:00</c:v>
                </c:pt>
                <c:pt idx="227">
                  <c:v>2023-09-16 00:00:00+00:00</c:v>
                </c:pt>
                <c:pt idx="228">
                  <c:v>2023-09-17 00:00:00+00:00</c:v>
                </c:pt>
                <c:pt idx="229">
                  <c:v>2023-09-18 00:00:00+00:00</c:v>
                </c:pt>
                <c:pt idx="230">
                  <c:v>2023-09-19 00:00:00+00:00</c:v>
                </c:pt>
                <c:pt idx="231">
                  <c:v>2023-09-20 00:00:00+00:00</c:v>
                </c:pt>
                <c:pt idx="232">
                  <c:v>2023-09-21 00:00:00+00:00</c:v>
                </c:pt>
                <c:pt idx="233">
                  <c:v>2023-09-22 00:00:00+00:00</c:v>
                </c:pt>
                <c:pt idx="234">
                  <c:v>2023-09-23 00:00:00+00:00</c:v>
                </c:pt>
                <c:pt idx="235">
                  <c:v>2023-09-24 00:00:00+00:00</c:v>
                </c:pt>
                <c:pt idx="236">
                  <c:v>2023-09-25 00:00:00+00:00</c:v>
                </c:pt>
                <c:pt idx="237">
                  <c:v>2023-09-26 00:00:00+00:00</c:v>
                </c:pt>
                <c:pt idx="238">
                  <c:v>2023-09-27 00:00:00+00:00</c:v>
                </c:pt>
                <c:pt idx="239">
                  <c:v>2023-09-28 00:00:00+00:00</c:v>
                </c:pt>
                <c:pt idx="240">
                  <c:v>2023-09-29 00:00:00+00:00</c:v>
                </c:pt>
                <c:pt idx="241">
                  <c:v>2023-09-30 00:00:00+00:00</c:v>
                </c:pt>
                <c:pt idx="242">
                  <c:v>2023-10-01 00:00:00+00:00</c:v>
                </c:pt>
                <c:pt idx="243">
                  <c:v>2023-10-02 00:00:00+00:00</c:v>
                </c:pt>
                <c:pt idx="244">
                  <c:v>2023-10-03 00:00:00+00:00</c:v>
                </c:pt>
                <c:pt idx="245">
                  <c:v>2023-10-04 00:00:00+00:00</c:v>
                </c:pt>
                <c:pt idx="246">
                  <c:v>2023-10-05 00:00:00+00:00</c:v>
                </c:pt>
                <c:pt idx="247">
                  <c:v>2023-10-06 00:00:00+00:00</c:v>
                </c:pt>
                <c:pt idx="248">
                  <c:v>2023-10-07 00:00:00+00:00</c:v>
                </c:pt>
              </c:strCache>
            </c:strRef>
          </c:xVal>
          <c:yVal>
            <c:numRef>
              <c:f>Biomasstest!$B$2:$B$250</c:f>
              <c:numCache>
                <c:formatCode>General</c:formatCode>
                <c:ptCount val="249"/>
                <c:pt idx="42">
                  <c:v>0</c:v>
                </c:pt>
                <c:pt idx="159">
                  <c:v>2.32610355749999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1-4D09-8F3E-48C215773299}"/>
            </c:ext>
          </c:extLst>
        </c:ser>
        <c:ser>
          <c:idx val="2"/>
          <c:order val="2"/>
          <c:tx>
            <c:v>total biomass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Biomasstest!$A$2:$A$300</c:f>
              <c:strCache>
                <c:ptCount val="299"/>
                <c:pt idx="0">
                  <c:v>2023-02-01 00:00:00+00:00</c:v>
                </c:pt>
                <c:pt idx="1">
                  <c:v>2023-02-02 00:00:00+00:00</c:v>
                </c:pt>
                <c:pt idx="2">
                  <c:v>2023-02-03 00:00:00+00:00</c:v>
                </c:pt>
                <c:pt idx="3">
                  <c:v>2023-02-04 00:00:00+00:00</c:v>
                </c:pt>
                <c:pt idx="4">
                  <c:v>2023-02-05 00:00:00+00:00</c:v>
                </c:pt>
                <c:pt idx="5">
                  <c:v>2023-02-06 00:00:00+00:00</c:v>
                </c:pt>
                <c:pt idx="6">
                  <c:v>2023-02-07 00:00:00+00:00</c:v>
                </c:pt>
                <c:pt idx="7">
                  <c:v>2023-02-08 00:00:00+00:00</c:v>
                </c:pt>
                <c:pt idx="8">
                  <c:v>2023-02-09 00:00:00+00:00</c:v>
                </c:pt>
                <c:pt idx="9">
                  <c:v>2023-02-10 00:00:00+00:00</c:v>
                </c:pt>
                <c:pt idx="10">
                  <c:v>2023-02-11 00:00:00+00:00</c:v>
                </c:pt>
                <c:pt idx="11">
                  <c:v>2023-02-12 00:00:00+00:00</c:v>
                </c:pt>
                <c:pt idx="12">
                  <c:v>2023-02-13 00:00:00+00:00</c:v>
                </c:pt>
                <c:pt idx="13">
                  <c:v>2023-02-14 00:00:00+00:00</c:v>
                </c:pt>
                <c:pt idx="14">
                  <c:v>2023-02-15 00:00:00+00:00</c:v>
                </c:pt>
                <c:pt idx="15">
                  <c:v>2023-02-16 00:00:00+00:00</c:v>
                </c:pt>
                <c:pt idx="16">
                  <c:v>2023-02-17 00:00:00+00:00</c:v>
                </c:pt>
                <c:pt idx="17">
                  <c:v>2023-02-18 00:00:00+00:00</c:v>
                </c:pt>
                <c:pt idx="18">
                  <c:v>2023-02-19 00:00:00+00:00</c:v>
                </c:pt>
                <c:pt idx="19">
                  <c:v>2023-02-20 00:00:00+00:00</c:v>
                </c:pt>
                <c:pt idx="20">
                  <c:v>2023-02-21 00:00:00+00:00</c:v>
                </c:pt>
                <c:pt idx="21">
                  <c:v>2023-02-22 00:00:00+00:00</c:v>
                </c:pt>
                <c:pt idx="22">
                  <c:v>2023-02-23 00:00:00+00:00</c:v>
                </c:pt>
                <c:pt idx="23">
                  <c:v>2023-02-24 00:00:00+00:00</c:v>
                </c:pt>
                <c:pt idx="24">
                  <c:v>2023-02-25 00:00:00+00:00</c:v>
                </c:pt>
                <c:pt idx="25">
                  <c:v>2023-02-26 00:00:00+00:00</c:v>
                </c:pt>
                <c:pt idx="26">
                  <c:v>2023-02-27 00:00:00+00:00</c:v>
                </c:pt>
                <c:pt idx="27">
                  <c:v>2023-02-28 00:00:00+00:00</c:v>
                </c:pt>
                <c:pt idx="28">
                  <c:v>2023-03-01 00:00:00+00:00</c:v>
                </c:pt>
                <c:pt idx="29">
                  <c:v>2023-03-02 00:00:00+00:00</c:v>
                </c:pt>
                <c:pt idx="30">
                  <c:v>2023-03-03 00:00:00+00:00</c:v>
                </c:pt>
                <c:pt idx="31">
                  <c:v>2023-03-04 00:00:00+00:00</c:v>
                </c:pt>
                <c:pt idx="32">
                  <c:v>2023-03-05 00:00:00+00:00</c:v>
                </c:pt>
                <c:pt idx="33">
                  <c:v>2023-03-06 00:00:00+00:00</c:v>
                </c:pt>
                <c:pt idx="34">
                  <c:v>2023-03-07 00:00:00+00:00</c:v>
                </c:pt>
                <c:pt idx="35">
                  <c:v>2023-03-08 00:00:00+00:00</c:v>
                </c:pt>
                <c:pt idx="36">
                  <c:v>2023-03-09 00:00:00+00:00</c:v>
                </c:pt>
                <c:pt idx="37">
                  <c:v>2023-03-10 00:00:00+00:00</c:v>
                </c:pt>
                <c:pt idx="38">
                  <c:v>2023-03-11 00:00:00+00:00</c:v>
                </c:pt>
                <c:pt idx="39">
                  <c:v>2023-03-12 00:00:00+00:00</c:v>
                </c:pt>
                <c:pt idx="40">
                  <c:v>2023-03-13 00:00:00+00:00</c:v>
                </c:pt>
                <c:pt idx="41">
                  <c:v>2023-03-14 00:00:00+00:00</c:v>
                </c:pt>
                <c:pt idx="42">
                  <c:v>2023-03-15 00:00:00+00:00</c:v>
                </c:pt>
                <c:pt idx="43">
                  <c:v>2023-03-16 00:00:00+00:00</c:v>
                </c:pt>
                <c:pt idx="44">
                  <c:v>2023-03-17 00:00:00+00:00</c:v>
                </c:pt>
                <c:pt idx="45">
                  <c:v>2023-03-18 00:00:00+00:00</c:v>
                </c:pt>
                <c:pt idx="46">
                  <c:v>2023-03-19 00:00:00+00:00</c:v>
                </c:pt>
                <c:pt idx="47">
                  <c:v>2023-03-20 00:00:00+00:00</c:v>
                </c:pt>
                <c:pt idx="48">
                  <c:v>2023-03-21 00:00:00+00:00</c:v>
                </c:pt>
                <c:pt idx="49">
                  <c:v>2023-03-22 00:00:00+00:00</c:v>
                </c:pt>
                <c:pt idx="50">
                  <c:v>2023-03-23 00:00:00+00:00</c:v>
                </c:pt>
                <c:pt idx="51">
                  <c:v>2023-03-24 00:00:00+00:00</c:v>
                </c:pt>
                <c:pt idx="52">
                  <c:v>2023-03-25 00:00:00+00:00</c:v>
                </c:pt>
                <c:pt idx="53">
                  <c:v>2023-03-26 00:00:00+00:00</c:v>
                </c:pt>
                <c:pt idx="54">
                  <c:v>2023-03-27 00:00:00+00:00</c:v>
                </c:pt>
                <c:pt idx="55">
                  <c:v>2023-03-28 00:00:00+00:00</c:v>
                </c:pt>
                <c:pt idx="56">
                  <c:v>2023-03-29 00:00:00+00:00</c:v>
                </c:pt>
                <c:pt idx="57">
                  <c:v>2023-03-30 00:00:00+00:00</c:v>
                </c:pt>
                <c:pt idx="58">
                  <c:v>2023-03-31 00:00:00+00:00</c:v>
                </c:pt>
                <c:pt idx="59">
                  <c:v>2023-04-01 00:00:00+00:00</c:v>
                </c:pt>
                <c:pt idx="60">
                  <c:v>2023-04-02 00:00:00+00:00</c:v>
                </c:pt>
                <c:pt idx="61">
                  <c:v>2023-04-03 00:00:00+00:00</c:v>
                </c:pt>
                <c:pt idx="62">
                  <c:v>2023-04-04 00:00:00+00:00</c:v>
                </c:pt>
                <c:pt idx="63">
                  <c:v>2023-04-05 00:00:00+00:00</c:v>
                </c:pt>
                <c:pt idx="64">
                  <c:v>2023-04-06 00:00:00+00:00</c:v>
                </c:pt>
                <c:pt idx="65">
                  <c:v>2023-04-07 00:00:00+00:00</c:v>
                </c:pt>
                <c:pt idx="66">
                  <c:v>2023-04-08 00:00:00+00:00</c:v>
                </c:pt>
                <c:pt idx="67">
                  <c:v>2023-04-09 00:00:00+00:00</c:v>
                </c:pt>
                <c:pt idx="68">
                  <c:v>2023-04-10 00:00:00+00:00</c:v>
                </c:pt>
                <c:pt idx="69">
                  <c:v>2023-04-11 00:00:00+00:00</c:v>
                </c:pt>
                <c:pt idx="70">
                  <c:v>2023-04-12 00:00:00+00:00</c:v>
                </c:pt>
                <c:pt idx="71">
                  <c:v>2023-04-13 00:00:00+00:00</c:v>
                </c:pt>
                <c:pt idx="72">
                  <c:v>2023-04-14 00:00:00+00:00</c:v>
                </c:pt>
                <c:pt idx="73">
                  <c:v>2023-04-15 00:00:00+00:00</c:v>
                </c:pt>
                <c:pt idx="74">
                  <c:v>2023-04-16 00:00:00+00:00</c:v>
                </c:pt>
                <c:pt idx="75">
                  <c:v>2023-04-17 00:00:00+00:00</c:v>
                </c:pt>
                <c:pt idx="76">
                  <c:v>2023-04-18 00:00:00+00:00</c:v>
                </c:pt>
                <c:pt idx="77">
                  <c:v>2023-04-19 00:00:00+00:00</c:v>
                </c:pt>
                <c:pt idx="78">
                  <c:v>2023-04-20 00:00:00+00:00</c:v>
                </c:pt>
                <c:pt idx="79">
                  <c:v>2023-04-21 00:00:00+00:00</c:v>
                </c:pt>
                <c:pt idx="80">
                  <c:v>2023-04-22 00:00:00+00:00</c:v>
                </c:pt>
                <c:pt idx="81">
                  <c:v>2023-04-23 00:00:00+00:00</c:v>
                </c:pt>
                <c:pt idx="82">
                  <c:v>2023-04-24 00:00:00+00:00</c:v>
                </c:pt>
                <c:pt idx="83">
                  <c:v>2023-04-25 00:00:00+00:00</c:v>
                </c:pt>
                <c:pt idx="84">
                  <c:v>2023-04-26 00:00:00+00:00</c:v>
                </c:pt>
                <c:pt idx="85">
                  <c:v>2023-04-27 00:00:00+00:00</c:v>
                </c:pt>
                <c:pt idx="86">
                  <c:v>2023-04-28 00:00:00+00:00</c:v>
                </c:pt>
                <c:pt idx="87">
                  <c:v>2023-04-29 00:00:00+00:00</c:v>
                </c:pt>
                <c:pt idx="88">
                  <c:v>2023-04-30 00:00:00+00:00</c:v>
                </c:pt>
                <c:pt idx="89">
                  <c:v>2023-05-01 00:00:00+00:00</c:v>
                </c:pt>
                <c:pt idx="90">
                  <c:v>2023-05-02 00:00:00+00:00</c:v>
                </c:pt>
                <c:pt idx="91">
                  <c:v>2023-05-03 00:00:00+00:00</c:v>
                </c:pt>
                <c:pt idx="92">
                  <c:v>2023-05-04 00:00:00+00:00</c:v>
                </c:pt>
                <c:pt idx="93">
                  <c:v>2023-05-05 00:00:00+00:00</c:v>
                </c:pt>
                <c:pt idx="94">
                  <c:v>2023-05-06 00:00:00+00:00</c:v>
                </c:pt>
                <c:pt idx="95">
                  <c:v>2023-05-07 00:00:00+00:00</c:v>
                </c:pt>
                <c:pt idx="96">
                  <c:v>2023-05-08 00:00:00+00:00</c:v>
                </c:pt>
                <c:pt idx="97">
                  <c:v>2023-05-09 00:00:00+00:00</c:v>
                </c:pt>
                <c:pt idx="98">
                  <c:v>2023-05-10 00:00:00+00:00</c:v>
                </c:pt>
                <c:pt idx="99">
                  <c:v>2023-05-11 00:00:00+00:00</c:v>
                </c:pt>
                <c:pt idx="100">
                  <c:v>2023-05-12 00:00:00+00:00</c:v>
                </c:pt>
                <c:pt idx="101">
                  <c:v>2023-05-13 00:00:00+00:00</c:v>
                </c:pt>
                <c:pt idx="102">
                  <c:v>2023-05-14 00:00:00+00:00</c:v>
                </c:pt>
                <c:pt idx="103">
                  <c:v>2023-05-15 00:00:00+00:00</c:v>
                </c:pt>
                <c:pt idx="104">
                  <c:v>2023-05-16 00:00:00+00:00</c:v>
                </c:pt>
                <c:pt idx="105">
                  <c:v>2023-05-17 00:00:00+00:00</c:v>
                </c:pt>
                <c:pt idx="106">
                  <c:v>2023-05-18 00:00:00+00:00</c:v>
                </c:pt>
                <c:pt idx="107">
                  <c:v>2023-05-19 00:00:00+00:00</c:v>
                </c:pt>
                <c:pt idx="108">
                  <c:v>2023-05-20 00:00:00+00:00</c:v>
                </c:pt>
                <c:pt idx="109">
                  <c:v>2023-05-21 00:00:00+00:00</c:v>
                </c:pt>
                <c:pt idx="110">
                  <c:v>2023-05-22 00:00:00+00:00</c:v>
                </c:pt>
                <c:pt idx="111">
                  <c:v>2023-05-23 00:00:00+00:00</c:v>
                </c:pt>
                <c:pt idx="112">
                  <c:v>2023-05-24 00:00:00+00:00</c:v>
                </c:pt>
                <c:pt idx="113">
                  <c:v>2023-05-25 00:00:00+00:00</c:v>
                </c:pt>
                <c:pt idx="114">
                  <c:v>2023-05-26 00:00:00+00:00</c:v>
                </c:pt>
                <c:pt idx="115">
                  <c:v>2023-05-27 00:00:00+00:00</c:v>
                </c:pt>
                <c:pt idx="116">
                  <c:v>2023-05-28 00:00:00+00:00</c:v>
                </c:pt>
                <c:pt idx="117">
                  <c:v>2023-05-29 00:00:00+00:00</c:v>
                </c:pt>
                <c:pt idx="118">
                  <c:v>2023-05-30 00:00:00+00:00</c:v>
                </c:pt>
                <c:pt idx="119">
                  <c:v>2023-05-31 00:00:00+00:00</c:v>
                </c:pt>
                <c:pt idx="120">
                  <c:v>2023-06-01 00:00:00+00:00</c:v>
                </c:pt>
                <c:pt idx="121">
                  <c:v>2023-06-02 00:00:00+00:00</c:v>
                </c:pt>
                <c:pt idx="122">
                  <c:v>2023-06-03 00:00:00+00:00</c:v>
                </c:pt>
                <c:pt idx="123">
                  <c:v>2023-06-04 00:00:00+00:00</c:v>
                </c:pt>
                <c:pt idx="124">
                  <c:v>2023-06-05 00:00:00+00:00</c:v>
                </c:pt>
                <c:pt idx="125">
                  <c:v>2023-06-06 00:00:00+00:00</c:v>
                </c:pt>
                <c:pt idx="126">
                  <c:v>2023-06-07 00:00:00+00:00</c:v>
                </c:pt>
                <c:pt idx="127">
                  <c:v>2023-06-08 00:00:00+00:00</c:v>
                </c:pt>
                <c:pt idx="128">
                  <c:v>2023-06-09 00:00:00+00:00</c:v>
                </c:pt>
                <c:pt idx="129">
                  <c:v>2023-06-10 00:00:00+00:00</c:v>
                </c:pt>
                <c:pt idx="130">
                  <c:v>2023-06-11 00:00:00+00:00</c:v>
                </c:pt>
                <c:pt idx="131">
                  <c:v>2023-06-12 00:00:00+00:00</c:v>
                </c:pt>
                <c:pt idx="132">
                  <c:v>2023-06-13 00:00:00+00:00</c:v>
                </c:pt>
                <c:pt idx="133">
                  <c:v>2023-06-14 00:00:00+00:00</c:v>
                </c:pt>
                <c:pt idx="134">
                  <c:v>2023-06-15 00:00:00+00:00</c:v>
                </c:pt>
                <c:pt idx="135">
                  <c:v>2023-06-16 00:00:00+00:00</c:v>
                </c:pt>
                <c:pt idx="136">
                  <c:v>2023-06-17 00:00:00+00:00</c:v>
                </c:pt>
                <c:pt idx="137">
                  <c:v>2023-06-18 00:00:00+00:00</c:v>
                </c:pt>
                <c:pt idx="138">
                  <c:v>2023-06-19 00:00:00+00:00</c:v>
                </c:pt>
                <c:pt idx="139">
                  <c:v>2023-06-20 00:00:00+00:00</c:v>
                </c:pt>
                <c:pt idx="140">
                  <c:v>2023-06-21 00:00:00+00:00</c:v>
                </c:pt>
                <c:pt idx="141">
                  <c:v>2023-06-22 00:00:00+00:00</c:v>
                </c:pt>
                <c:pt idx="142">
                  <c:v>2023-06-23 00:00:00+00:00</c:v>
                </c:pt>
                <c:pt idx="143">
                  <c:v>2023-06-24 00:00:00+00:00</c:v>
                </c:pt>
                <c:pt idx="144">
                  <c:v>2023-06-25 00:00:00+00:00</c:v>
                </c:pt>
                <c:pt idx="145">
                  <c:v>2023-06-26 00:00:00+00:00</c:v>
                </c:pt>
                <c:pt idx="146">
                  <c:v>2023-06-27 00:00:00+00:00</c:v>
                </c:pt>
                <c:pt idx="147">
                  <c:v>2023-06-28 00:00:00+00:00</c:v>
                </c:pt>
                <c:pt idx="148">
                  <c:v>2023-06-29 00:00:00+00:00</c:v>
                </c:pt>
                <c:pt idx="149">
                  <c:v>2023-06-30 00:00:00+00:00</c:v>
                </c:pt>
                <c:pt idx="150">
                  <c:v>2023-07-01 00:00:00+00:00</c:v>
                </c:pt>
                <c:pt idx="151">
                  <c:v>2023-07-02 00:00:00+00:00</c:v>
                </c:pt>
                <c:pt idx="152">
                  <c:v>2023-07-03 00:00:00+00:00</c:v>
                </c:pt>
                <c:pt idx="153">
                  <c:v>2023-07-04 00:00:00+00:00</c:v>
                </c:pt>
                <c:pt idx="154">
                  <c:v>2023-07-05 00:00:00+00:00</c:v>
                </c:pt>
                <c:pt idx="155">
                  <c:v>2023-07-06 00:00:00+00:00</c:v>
                </c:pt>
                <c:pt idx="156">
                  <c:v>2023-07-07 00:00:00+00:00</c:v>
                </c:pt>
                <c:pt idx="157">
                  <c:v>2023-07-08 00:00:00+00:00</c:v>
                </c:pt>
                <c:pt idx="158">
                  <c:v>2023-07-09 00:00:00+00:00</c:v>
                </c:pt>
                <c:pt idx="159">
                  <c:v>2023-07-10 00:00:00+00:00</c:v>
                </c:pt>
                <c:pt idx="160">
                  <c:v>2023-07-11 00:00:00+00:00</c:v>
                </c:pt>
                <c:pt idx="161">
                  <c:v>2023-07-12 00:00:00+00:00</c:v>
                </c:pt>
                <c:pt idx="162">
                  <c:v>2023-07-13 00:00:00+00:00</c:v>
                </c:pt>
                <c:pt idx="163">
                  <c:v>2023-07-14 00:00:00+00:00</c:v>
                </c:pt>
                <c:pt idx="164">
                  <c:v>2023-07-15 00:00:00+00:00</c:v>
                </c:pt>
                <c:pt idx="165">
                  <c:v>2023-07-16 00:00:00+00:00</c:v>
                </c:pt>
                <c:pt idx="166">
                  <c:v>2023-07-17 00:00:00+00:00</c:v>
                </c:pt>
                <c:pt idx="167">
                  <c:v>2023-07-18 00:00:00+00:00</c:v>
                </c:pt>
                <c:pt idx="168">
                  <c:v>2023-07-19 00:00:00+00:00</c:v>
                </c:pt>
                <c:pt idx="169">
                  <c:v>2023-07-20 00:00:00+00:00</c:v>
                </c:pt>
                <c:pt idx="170">
                  <c:v>2023-07-21 00:00:00+00:00</c:v>
                </c:pt>
                <c:pt idx="171">
                  <c:v>2023-07-22 00:00:00+00:00</c:v>
                </c:pt>
                <c:pt idx="172">
                  <c:v>2023-07-23 00:00:00+00:00</c:v>
                </c:pt>
                <c:pt idx="173">
                  <c:v>2023-07-24 00:00:00+00:00</c:v>
                </c:pt>
                <c:pt idx="174">
                  <c:v>2023-07-25 00:00:00+00:00</c:v>
                </c:pt>
                <c:pt idx="175">
                  <c:v>2023-07-26 00:00:00+00:00</c:v>
                </c:pt>
                <c:pt idx="176">
                  <c:v>2023-07-27 00:00:00+00:00</c:v>
                </c:pt>
                <c:pt idx="177">
                  <c:v>2023-07-28 00:00:00+00:00</c:v>
                </c:pt>
                <c:pt idx="178">
                  <c:v>2023-07-29 00:00:00+00:00</c:v>
                </c:pt>
                <c:pt idx="179">
                  <c:v>2023-07-30 00:00:00+00:00</c:v>
                </c:pt>
                <c:pt idx="180">
                  <c:v>2023-07-31 00:00:00+00:00</c:v>
                </c:pt>
                <c:pt idx="181">
                  <c:v>2023-08-01 00:00:00+00:00</c:v>
                </c:pt>
                <c:pt idx="182">
                  <c:v>2023-08-02 00:00:00+00:00</c:v>
                </c:pt>
                <c:pt idx="183">
                  <c:v>2023-08-03 00:00:00+00:00</c:v>
                </c:pt>
                <c:pt idx="184">
                  <c:v>2023-08-04 00:00:00+00:00</c:v>
                </c:pt>
                <c:pt idx="185">
                  <c:v>2023-08-05 00:00:00+00:00</c:v>
                </c:pt>
                <c:pt idx="186">
                  <c:v>2023-08-06 00:00:00+00:00</c:v>
                </c:pt>
                <c:pt idx="187">
                  <c:v>2023-08-07 00:00:00+00:00</c:v>
                </c:pt>
                <c:pt idx="188">
                  <c:v>2023-08-08 00:00:00+00:00</c:v>
                </c:pt>
                <c:pt idx="189">
                  <c:v>2023-08-09 00:00:00+00:00</c:v>
                </c:pt>
                <c:pt idx="190">
                  <c:v>2023-08-10 00:00:00+00:00</c:v>
                </c:pt>
                <c:pt idx="191">
                  <c:v>2023-08-11 00:00:00+00:00</c:v>
                </c:pt>
                <c:pt idx="192">
                  <c:v>2023-08-12 00:00:00+00:00</c:v>
                </c:pt>
                <c:pt idx="193">
                  <c:v>2023-08-13 00:00:00+00:00</c:v>
                </c:pt>
                <c:pt idx="194">
                  <c:v>2023-08-14 00:00:00+00:00</c:v>
                </c:pt>
                <c:pt idx="195">
                  <c:v>2023-08-15 00:00:00+00:00</c:v>
                </c:pt>
                <c:pt idx="196">
                  <c:v>2023-08-16 00:00:00+00:00</c:v>
                </c:pt>
                <c:pt idx="197">
                  <c:v>2023-08-17 00:00:00+00:00</c:v>
                </c:pt>
                <c:pt idx="198">
                  <c:v>2023-08-18 00:00:00+00:00</c:v>
                </c:pt>
                <c:pt idx="199">
                  <c:v>2023-08-19 00:00:00+00:00</c:v>
                </c:pt>
                <c:pt idx="200">
                  <c:v>2023-08-20 00:00:00+00:00</c:v>
                </c:pt>
                <c:pt idx="201">
                  <c:v>2023-08-21 00:00:00+00:00</c:v>
                </c:pt>
                <c:pt idx="202">
                  <c:v>2023-08-22 00:00:00+00:00</c:v>
                </c:pt>
                <c:pt idx="203">
                  <c:v>2023-08-23 00:00:00+00:00</c:v>
                </c:pt>
                <c:pt idx="204">
                  <c:v>2023-08-24 00:00:00+00:00</c:v>
                </c:pt>
                <c:pt idx="205">
                  <c:v>2023-08-25 00:00:00+00:00</c:v>
                </c:pt>
                <c:pt idx="206">
                  <c:v>2023-08-26 00:00:00+00:00</c:v>
                </c:pt>
                <c:pt idx="207">
                  <c:v>2023-08-27 00:00:00+00:00</c:v>
                </c:pt>
                <c:pt idx="208">
                  <c:v>2023-08-28 00:00:00+00:00</c:v>
                </c:pt>
                <c:pt idx="209">
                  <c:v>2023-08-29 00:00:00+00:00</c:v>
                </c:pt>
                <c:pt idx="210">
                  <c:v>2023-08-30 00:00:00+00:00</c:v>
                </c:pt>
                <c:pt idx="211">
                  <c:v>2023-08-31 00:00:00+00:00</c:v>
                </c:pt>
                <c:pt idx="212">
                  <c:v>2023-09-01 00:00:00+00:00</c:v>
                </c:pt>
                <c:pt idx="213">
                  <c:v>2023-09-02 00:00:00+00:00</c:v>
                </c:pt>
                <c:pt idx="214">
                  <c:v>2023-09-03 00:00:00+00:00</c:v>
                </c:pt>
                <c:pt idx="215">
                  <c:v>2023-09-04 00:00:00+00:00</c:v>
                </c:pt>
                <c:pt idx="216">
                  <c:v>2023-09-05 00:00:00+00:00</c:v>
                </c:pt>
                <c:pt idx="217">
                  <c:v>2023-09-06 00:00:00+00:00</c:v>
                </c:pt>
                <c:pt idx="218">
                  <c:v>2023-09-07 00:00:00+00:00</c:v>
                </c:pt>
                <c:pt idx="219">
                  <c:v>2023-09-08 00:00:00+00:00</c:v>
                </c:pt>
                <c:pt idx="220">
                  <c:v>2023-09-09 00:00:00+00:00</c:v>
                </c:pt>
                <c:pt idx="221">
                  <c:v>2023-09-10 00:00:00+00:00</c:v>
                </c:pt>
                <c:pt idx="222">
                  <c:v>2023-09-11 00:00:00+00:00</c:v>
                </c:pt>
                <c:pt idx="223">
                  <c:v>2023-09-12 00:00:00+00:00</c:v>
                </c:pt>
                <c:pt idx="224">
                  <c:v>2023-09-13 00:00:00+00:00</c:v>
                </c:pt>
                <c:pt idx="225">
                  <c:v>2023-09-14 00:00:00+00:00</c:v>
                </c:pt>
                <c:pt idx="226">
                  <c:v>2023-09-15 00:00:00+00:00</c:v>
                </c:pt>
                <c:pt idx="227">
                  <c:v>2023-09-16 00:00:00+00:00</c:v>
                </c:pt>
                <c:pt idx="228">
                  <c:v>2023-09-17 00:00:00+00:00</c:v>
                </c:pt>
                <c:pt idx="229">
                  <c:v>2023-09-18 00:00:00+00:00</c:v>
                </c:pt>
                <c:pt idx="230">
                  <c:v>2023-09-19 00:00:00+00:00</c:v>
                </c:pt>
                <c:pt idx="231">
                  <c:v>2023-09-20 00:00:00+00:00</c:v>
                </c:pt>
                <c:pt idx="232">
                  <c:v>2023-09-21 00:00:00+00:00</c:v>
                </c:pt>
                <c:pt idx="233">
                  <c:v>2023-09-22 00:00:00+00:00</c:v>
                </c:pt>
                <c:pt idx="234">
                  <c:v>2023-09-23 00:00:00+00:00</c:v>
                </c:pt>
                <c:pt idx="235">
                  <c:v>2023-09-24 00:00:00+00:00</c:v>
                </c:pt>
                <c:pt idx="236">
                  <c:v>2023-09-25 00:00:00+00:00</c:v>
                </c:pt>
                <c:pt idx="237">
                  <c:v>2023-09-26 00:00:00+00:00</c:v>
                </c:pt>
                <c:pt idx="238">
                  <c:v>2023-09-27 00:00:00+00:00</c:v>
                </c:pt>
                <c:pt idx="239">
                  <c:v>2023-09-28 00:00:00+00:00</c:v>
                </c:pt>
                <c:pt idx="240">
                  <c:v>2023-09-29 00:00:00+00:00</c:v>
                </c:pt>
                <c:pt idx="241">
                  <c:v>2023-09-30 00:00:00+00:00</c:v>
                </c:pt>
                <c:pt idx="242">
                  <c:v>2023-10-01 00:00:00+00:00</c:v>
                </c:pt>
                <c:pt idx="243">
                  <c:v>2023-10-02 00:00:00+00:00</c:v>
                </c:pt>
                <c:pt idx="244">
                  <c:v>2023-10-03 00:00:00+00:00</c:v>
                </c:pt>
                <c:pt idx="245">
                  <c:v>2023-10-04 00:00:00+00:00</c:v>
                </c:pt>
                <c:pt idx="246">
                  <c:v>2023-10-05 00:00:00+00:00</c:v>
                </c:pt>
                <c:pt idx="247">
                  <c:v>2023-10-06 00:00:00+00:00</c:v>
                </c:pt>
                <c:pt idx="248">
                  <c:v>2023-10-07 00:00:00+00:00</c:v>
                </c:pt>
                <c:pt idx="249">
                  <c:v>2023-10-08 00:00:00+00:00</c:v>
                </c:pt>
                <c:pt idx="250">
                  <c:v>2023-10-09 00:00:00+00:00</c:v>
                </c:pt>
                <c:pt idx="251">
                  <c:v>2023-10-10 00:00:00+00:00</c:v>
                </c:pt>
                <c:pt idx="252">
                  <c:v>2023-10-11 00:00:00+00:00</c:v>
                </c:pt>
                <c:pt idx="253">
                  <c:v>2023-10-12 00:00:00+00:00</c:v>
                </c:pt>
                <c:pt idx="254">
                  <c:v>2023-10-13 00:00:00+00:00</c:v>
                </c:pt>
                <c:pt idx="255">
                  <c:v>2023-10-14 00:00:00+00:00</c:v>
                </c:pt>
                <c:pt idx="256">
                  <c:v>2023-10-15 00:00:00+00:00</c:v>
                </c:pt>
                <c:pt idx="257">
                  <c:v>2023-10-16 00:00:00+00:00</c:v>
                </c:pt>
                <c:pt idx="258">
                  <c:v>2023-10-17 00:00:00+00:00</c:v>
                </c:pt>
                <c:pt idx="259">
                  <c:v>2023-10-18 00:00:00+00:00</c:v>
                </c:pt>
                <c:pt idx="260">
                  <c:v>2023-10-19 00:00:00+00:00</c:v>
                </c:pt>
                <c:pt idx="261">
                  <c:v>2023-10-20 00:00:00+00:00</c:v>
                </c:pt>
                <c:pt idx="262">
                  <c:v>2023-10-21 00:00:00+00:00</c:v>
                </c:pt>
                <c:pt idx="263">
                  <c:v>2023-10-22 00:00:00+00:00</c:v>
                </c:pt>
                <c:pt idx="264">
                  <c:v>2023-10-23 00:00:00+00:00</c:v>
                </c:pt>
                <c:pt idx="265">
                  <c:v>2023-10-24 00:00:00+00:00</c:v>
                </c:pt>
                <c:pt idx="266">
                  <c:v>2023-10-25 00:00:00+00:00</c:v>
                </c:pt>
                <c:pt idx="267">
                  <c:v>2023-10-26 00:00:00+00:00</c:v>
                </c:pt>
                <c:pt idx="268">
                  <c:v>2023-10-27 00:00:00+00:00</c:v>
                </c:pt>
                <c:pt idx="269">
                  <c:v>2023-10-28 00:00:00+00:00</c:v>
                </c:pt>
                <c:pt idx="270">
                  <c:v>2023-10-29 00:00:00+00:00</c:v>
                </c:pt>
                <c:pt idx="271">
                  <c:v>2023-10-30 00:00:00+00:00</c:v>
                </c:pt>
                <c:pt idx="272">
                  <c:v>2023-10-31 00:00:00+00:00</c:v>
                </c:pt>
                <c:pt idx="273">
                  <c:v>2023-11-01 00:00:00+00:00</c:v>
                </c:pt>
                <c:pt idx="274">
                  <c:v>2023-11-02 00:00:00+00:00</c:v>
                </c:pt>
                <c:pt idx="275">
                  <c:v>2023-11-03 00:00:00+00:00</c:v>
                </c:pt>
                <c:pt idx="276">
                  <c:v>2023-11-04 00:00:00+00:00</c:v>
                </c:pt>
                <c:pt idx="277">
                  <c:v>2023-11-05 00:00:00+00:00</c:v>
                </c:pt>
                <c:pt idx="278">
                  <c:v>2023-11-06 00:00:00+00:00</c:v>
                </c:pt>
                <c:pt idx="279">
                  <c:v>2023-11-07 00:00:00+00:00</c:v>
                </c:pt>
                <c:pt idx="280">
                  <c:v>2023-11-08 00:00:00+00:00</c:v>
                </c:pt>
                <c:pt idx="281">
                  <c:v>2023-11-09 00:00:00+00:00</c:v>
                </c:pt>
                <c:pt idx="282">
                  <c:v>2023-11-10 00:00:00+00:00</c:v>
                </c:pt>
                <c:pt idx="283">
                  <c:v>2023-11-11 00:00:00+00:00</c:v>
                </c:pt>
                <c:pt idx="284">
                  <c:v>2023-11-12 00:00:00+00:00</c:v>
                </c:pt>
                <c:pt idx="285">
                  <c:v>2023-11-13 00:00:00+00:00</c:v>
                </c:pt>
                <c:pt idx="286">
                  <c:v>2023-11-14 00:00:00+00:00</c:v>
                </c:pt>
                <c:pt idx="287">
                  <c:v>2023-11-15 00:00:00+00:00</c:v>
                </c:pt>
                <c:pt idx="288">
                  <c:v>2023-11-16 00:00:00+00:00</c:v>
                </c:pt>
                <c:pt idx="289">
                  <c:v>2023-11-17 00:00:00+00:00</c:v>
                </c:pt>
                <c:pt idx="290">
                  <c:v>2023-11-18 00:00:00+00:00</c:v>
                </c:pt>
                <c:pt idx="291">
                  <c:v>2023-11-19 00:00:00+00:00</c:v>
                </c:pt>
                <c:pt idx="292">
                  <c:v>2023-11-20 00:00:00+00:00</c:v>
                </c:pt>
                <c:pt idx="293">
                  <c:v>2023-11-21 00:00:00+00:00</c:v>
                </c:pt>
                <c:pt idx="294">
                  <c:v>2023-11-22 00:00:00+00:00</c:v>
                </c:pt>
                <c:pt idx="295">
                  <c:v>2023-11-23 00:00:00+00:00</c:v>
                </c:pt>
                <c:pt idx="296">
                  <c:v>2023-11-24 00:00:00+00:00</c:v>
                </c:pt>
                <c:pt idx="297">
                  <c:v>2023-11-25 00:00:00+00:00</c:v>
                </c:pt>
                <c:pt idx="298">
                  <c:v>2023-11-26 00:00:00+00:00</c:v>
                </c:pt>
              </c:strCache>
            </c:strRef>
          </c:xVal>
          <c:yVal>
            <c:numRef>
              <c:f>Biomasstest!$E$2:$E$300</c:f>
              <c:numCache>
                <c:formatCode>General</c:formatCode>
                <c:ptCount val="299"/>
                <c:pt idx="42">
                  <c:v>0</c:v>
                </c:pt>
                <c:pt idx="43">
                  <c:v>6.7000000000000004E-2</c:v>
                </c:pt>
                <c:pt idx="44">
                  <c:v>0.10049999999999999</c:v>
                </c:pt>
                <c:pt idx="45">
                  <c:v>0.11390000000000002</c:v>
                </c:pt>
                <c:pt idx="46">
                  <c:v>0.13400000000000001</c:v>
                </c:pt>
                <c:pt idx="47">
                  <c:v>0.20099999999999998</c:v>
                </c:pt>
                <c:pt idx="48">
                  <c:v>0.23450000000000004</c:v>
                </c:pt>
                <c:pt idx="49">
                  <c:v>0.26800000000000002</c:v>
                </c:pt>
                <c:pt idx="50">
                  <c:v>0.28140000000000004</c:v>
                </c:pt>
                <c:pt idx="51">
                  <c:v>0.33500000000000002</c:v>
                </c:pt>
                <c:pt idx="52">
                  <c:v>0.33500000000000002</c:v>
                </c:pt>
                <c:pt idx="53">
                  <c:v>0.33500000000000002</c:v>
                </c:pt>
                <c:pt idx="54">
                  <c:v>0.36849999999999999</c:v>
                </c:pt>
                <c:pt idx="55">
                  <c:v>0.38190000000000002</c:v>
                </c:pt>
                <c:pt idx="56">
                  <c:v>0.40199999999999997</c:v>
                </c:pt>
                <c:pt idx="57">
                  <c:v>0.46900000000000008</c:v>
                </c:pt>
                <c:pt idx="58">
                  <c:v>0.53600000000000003</c:v>
                </c:pt>
                <c:pt idx="59">
                  <c:v>0.60299999999999998</c:v>
                </c:pt>
                <c:pt idx="60">
                  <c:v>0.67</c:v>
                </c:pt>
                <c:pt idx="61">
                  <c:v>0.73699999999999999</c:v>
                </c:pt>
                <c:pt idx="62">
                  <c:v>0.77050000000000007</c:v>
                </c:pt>
                <c:pt idx="63">
                  <c:v>0.80399999999999994</c:v>
                </c:pt>
                <c:pt idx="64">
                  <c:v>0.81069999999999998</c:v>
                </c:pt>
                <c:pt idx="65">
                  <c:v>0.83043890389952102</c:v>
                </c:pt>
                <c:pt idx="66">
                  <c:v>0.88184628395257769</c:v>
                </c:pt>
                <c:pt idx="67">
                  <c:v>1.6858162738342932</c:v>
                </c:pt>
                <c:pt idx="68">
                  <c:v>0.84139698074909242</c:v>
                </c:pt>
                <c:pt idx="69">
                  <c:v>1.7884820091035756</c:v>
                </c:pt>
                <c:pt idx="70">
                  <c:v>1.8211712578451154</c:v>
                </c:pt>
                <c:pt idx="71">
                  <c:v>2.4818230377693533</c:v>
                </c:pt>
                <c:pt idx="72">
                  <c:v>2.1666320989718941</c:v>
                </c:pt>
                <c:pt idx="73">
                  <c:v>2.6958052530726846</c:v>
                </c:pt>
                <c:pt idx="74">
                  <c:v>3.1104938361352756</c:v>
                </c:pt>
                <c:pt idx="75">
                  <c:v>2.7093476764080648</c:v>
                </c:pt>
                <c:pt idx="76">
                  <c:v>2.9202235339920399</c:v>
                </c:pt>
                <c:pt idx="77">
                  <c:v>3.0482074124687801</c:v>
                </c:pt>
                <c:pt idx="78">
                  <c:v>3.4557116882065095</c:v>
                </c:pt>
                <c:pt idx="79">
                  <c:v>2.8464038915034848</c:v>
                </c:pt>
                <c:pt idx="80">
                  <c:v>2.4787833932894503</c:v>
                </c:pt>
                <c:pt idx="81">
                  <c:v>1.582992419538785</c:v>
                </c:pt>
                <c:pt idx="82">
                  <c:v>1.793337808099815</c:v>
                </c:pt>
                <c:pt idx="83">
                  <c:v>1.7235183643845351</c:v>
                </c:pt>
                <c:pt idx="84">
                  <c:v>2.9226689335697897</c:v>
                </c:pt>
                <c:pt idx="85">
                  <c:v>3.06978033730537</c:v>
                </c:pt>
                <c:pt idx="86">
                  <c:v>3.8685945587773101</c:v>
                </c:pt>
                <c:pt idx="87">
                  <c:v>4.2490783123143654</c:v>
                </c:pt>
                <c:pt idx="88">
                  <c:v>4.7923231344130448</c:v>
                </c:pt>
                <c:pt idx="89">
                  <c:v>5.0190682206225006</c:v>
                </c:pt>
                <c:pt idx="90">
                  <c:v>4.1899786007279047</c:v>
                </c:pt>
                <c:pt idx="91">
                  <c:v>3.8468191055923202</c:v>
                </c:pt>
                <c:pt idx="92">
                  <c:v>3.4271324936959653</c:v>
                </c:pt>
                <c:pt idx="93">
                  <c:v>3.3678601229899701</c:v>
                </c:pt>
                <c:pt idx="94">
                  <c:v>4.4632447331445801</c:v>
                </c:pt>
                <c:pt idx="95">
                  <c:v>4.7634787017713798</c:v>
                </c:pt>
                <c:pt idx="96">
                  <c:v>6.0977751747833997</c:v>
                </c:pt>
                <c:pt idx="97">
                  <c:v>5.3760038414768498</c:v>
                </c:pt>
                <c:pt idx="98">
                  <c:v>5.9585169412093499</c:v>
                </c:pt>
                <c:pt idx="99">
                  <c:v>5.7560677729418499</c:v>
                </c:pt>
                <c:pt idx="100">
                  <c:v>5.4430256422420502</c:v>
                </c:pt>
                <c:pt idx="101">
                  <c:v>5.0533284229741007</c:v>
                </c:pt>
                <c:pt idx="102">
                  <c:v>5.0873383013678497</c:v>
                </c:pt>
                <c:pt idx="103">
                  <c:v>5.3545122043693505</c:v>
                </c:pt>
                <c:pt idx="104">
                  <c:v>5.4063382630073997</c:v>
                </c:pt>
                <c:pt idx="105">
                  <c:v>5.3642778177497501</c:v>
                </c:pt>
                <c:pt idx="106">
                  <c:v>5.5921360104446887</c:v>
                </c:pt>
                <c:pt idx="107">
                  <c:v>5.0463289312993211</c:v>
                </c:pt>
                <c:pt idx="108">
                  <c:v>5.7362998978501203</c:v>
                </c:pt>
                <c:pt idx="109">
                  <c:v>5.5536766473353945</c:v>
                </c:pt>
                <c:pt idx="110">
                  <c:v>6.2200699026483335</c:v>
                </c:pt>
                <c:pt idx="111">
                  <c:v>5.4144927552387596</c:v>
                </c:pt>
                <c:pt idx="112">
                  <c:v>5.7464601898263199</c:v>
                </c:pt>
                <c:pt idx="113">
                  <c:v>6.1884189787164399</c:v>
                </c:pt>
                <c:pt idx="114">
                  <c:v>6.1518438322923439</c:v>
                </c:pt>
                <c:pt idx="115">
                  <c:v>5.7970539362760913</c:v>
                </c:pt>
                <c:pt idx="116">
                  <c:v>5.1699855208396315</c:v>
                </c:pt>
                <c:pt idx="117">
                  <c:v>5.3723772378775436</c:v>
                </c:pt>
                <c:pt idx="118">
                  <c:v>5.5357038145129351</c:v>
                </c:pt>
                <c:pt idx="119">
                  <c:v>5.9732704415337796</c:v>
                </c:pt>
                <c:pt idx="120">
                  <c:v>6.2095347879156098</c:v>
                </c:pt>
                <c:pt idx="121">
                  <c:v>6.7178033185745401</c:v>
                </c:pt>
                <c:pt idx="122">
                  <c:v>6.2818687514895171</c:v>
                </c:pt>
                <c:pt idx="123">
                  <c:v>6.2848965926472653</c:v>
                </c:pt>
                <c:pt idx="124">
                  <c:v>6.1642840363195406</c:v>
                </c:pt>
                <c:pt idx="125">
                  <c:v>5.6171351003119687</c:v>
                </c:pt>
                <c:pt idx="126">
                  <c:v>5.7221511480546585</c:v>
                </c:pt>
                <c:pt idx="127">
                  <c:v>5.6016169582087167</c:v>
                </c:pt>
                <c:pt idx="128">
                  <c:v>6.2057972244532271</c:v>
                </c:pt>
                <c:pt idx="129">
                  <c:v>6.4820898330818917</c:v>
                </c:pt>
                <c:pt idx="130">
                  <c:v>6.4668730809680639</c:v>
                </c:pt>
                <c:pt idx="131">
                  <c:v>6.6564500081070683</c:v>
                </c:pt>
                <c:pt idx="132">
                  <c:v>6.467364383105366</c:v>
                </c:pt>
                <c:pt idx="133">
                  <c:v>6.279440691096223</c:v>
                </c:pt>
                <c:pt idx="134">
                  <c:v>6.2065052941237715</c:v>
                </c:pt>
                <c:pt idx="135">
                  <c:v>6.3664663847567002</c:v>
                </c:pt>
                <c:pt idx="136">
                  <c:v>6.6456009366952751</c:v>
                </c:pt>
                <c:pt idx="137">
                  <c:v>6.8687224117614001</c:v>
                </c:pt>
                <c:pt idx="138">
                  <c:v>6.270613361685216</c:v>
                </c:pt>
                <c:pt idx="139">
                  <c:v>5.9943393673826186</c:v>
                </c:pt>
                <c:pt idx="140">
                  <c:v>5.3467549503807561</c:v>
                </c:pt>
                <c:pt idx="141">
                  <c:v>4.88373154621212</c:v>
                </c:pt>
                <c:pt idx="142">
                  <c:v>4.4355489561466603</c:v>
                </c:pt>
                <c:pt idx="143">
                  <c:v>4.3622396555282634</c:v>
                </c:pt>
                <c:pt idx="144">
                  <c:v>4.174133678959171</c:v>
                </c:pt>
                <c:pt idx="145">
                  <c:v>3.9260052273587762</c:v>
                </c:pt>
                <c:pt idx="146">
                  <c:v>3.6799000200486129</c:v>
                </c:pt>
                <c:pt idx="147">
                  <c:v>3.5344594005796006</c:v>
                </c:pt>
                <c:pt idx="148">
                  <c:v>3.8266997562682201</c:v>
                </c:pt>
                <c:pt idx="149">
                  <c:v>3.5686687490944209</c:v>
                </c:pt>
                <c:pt idx="150">
                  <c:v>3.5033183552187515</c:v>
                </c:pt>
                <c:pt idx="151">
                  <c:v>3.3578544034788442</c:v>
                </c:pt>
                <c:pt idx="152">
                  <c:v>3.2155050955001414</c:v>
                </c:pt>
                <c:pt idx="153">
                  <c:v>3.0372881569655021</c:v>
                </c:pt>
                <c:pt idx="154">
                  <c:v>2.7059871016584376</c:v>
                </c:pt>
                <c:pt idx="155">
                  <c:v>2.6131802414028953</c:v>
                </c:pt>
                <c:pt idx="156">
                  <c:v>2.5679905156167111</c:v>
                </c:pt>
                <c:pt idx="157">
                  <c:v>2.6794694020058127</c:v>
                </c:pt>
                <c:pt idx="158">
                  <c:v>2.6170914227989401</c:v>
                </c:pt>
                <c:pt idx="159">
                  <c:v>2.6750190911249883</c:v>
                </c:pt>
                <c:pt idx="160">
                  <c:v>2.3727581474459618</c:v>
                </c:pt>
                <c:pt idx="161">
                  <c:v>2.2372797208974098</c:v>
                </c:pt>
                <c:pt idx="162">
                  <c:v>2.0178199305020015</c:v>
                </c:pt>
                <c:pt idx="163">
                  <c:v>2.1282093162910272</c:v>
                </c:pt>
                <c:pt idx="164">
                  <c:v>2.3302334199972692</c:v>
                </c:pt>
                <c:pt idx="165">
                  <c:v>2.3916775915104815</c:v>
                </c:pt>
                <c:pt idx="166">
                  <c:v>2.2132306638631714</c:v>
                </c:pt>
                <c:pt idx="167">
                  <c:v>2.0107710061486599</c:v>
                </c:pt>
                <c:pt idx="168">
                  <c:v>1.7989624900969026</c:v>
                </c:pt>
                <c:pt idx="169">
                  <c:v>1.935398468671899</c:v>
                </c:pt>
                <c:pt idx="170">
                  <c:v>1.870671419990984</c:v>
                </c:pt>
                <c:pt idx="171">
                  <c:v>1.8312921995194529</c:v>
                </c:pt>
                <c:pt idx="172">
                  <c:v>1.7436433878242128</c:v>
                </c:pt>
                <c:pt idx="173">
                  <c:v>1.7267148112433952</c:v>
                </c:pt>
                <c:pt idx="174">
                  <c:v>1.7097862346625776</c:v>
                </c:pt>
                <c:pt idx="175">
                  <c:v>1.7097862346625776</c:v>
                </c:pt>
                <c:pt idx="176">
                  <c:v>1.69285765808176</c:v>
                </c:pt>
                <c:pt idx="177">
                  <c:v>1.69285765808176</c:v>
                </c:pt>
                <c:pt idx="178">
                  <c:v>1.69285765808176</c:v>
                </c:pt>
                <c:pt idx="179">
                  <c:v>1.69285765808176</c:v>
                </c:pt>
                <c:pt idx="180">
                  <c:v>1.69285765808176</c:v>
                </c:pt>
                <c:pt idx="181">
                  <c:v>1.69285765808176</c:v>
                </c:pt>
                <c:pt idx="182">
                  <c:v>1.69285765808176</c:v>
                </c:pt>
                <c:pt idx="183">
                  <c:v>1.69285765808176</c:v>
                </c:pt>
                <c:pt idx="184">
                  <c:v>1.69285765808176</c:v>
                </c:pt>
                <c:pt idx="185">
                  <c:v>1.69285765808176</c:v>
                </c:pt>
                <c:pt idx="186">
                  <c:v>1.69285765808176</c:v>
                </c:pt>
                <c:pt idx="187">
                  <c:v>1.69285765808176</c:v>
                </c:pt>
                <c:pt idx="188">
                  <c:v>1.69285765808176</c:v>
                </c:pt>
                <c:pt idx="189">
                  <c:v>1.69285765808176</c:v>
                </c:pt>
                <c:pt idx="190">
                  <c:v>1.69285765808176</c:v>
                </c:pt>
                <c:pt idx="191">
                  <c:v>1.69285765808176</c:v>
                </c:pt>
                <c:pt idx="192">
                  <c:v>1.69285765808176</c:v>
                </c:pt>
                <c:pt idx="193">
                  <c:v>1.69285765808176</c:v>
                </c:pt>
                <c:pt idx="194">
                  <c:v>1.69285765808176</c:v>
                </c:pt>
                <c:pt idx="195">
                  <c:v>1.69285765808176</c:v>
                </c:pt>
                <c:pt idx="196">
                  <c:v>1.69285765808176</c:v>
                </c:pt>
                <c:pt idx="197">
                  <c:v>1.69285765808176</c:v>
                </c:pt>
                <c:pt idx="198">
                  <c:v>1.69285765808176</c:v>
                </c:pt>
                <c:pt idx="199">
                  <c:v>1.69285765808176</c:v>
                </c:pt>
                <c:pt idx="200">
                  <c:v>1.69285765808176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1-4D09-8F3E-48C215773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692704"/>
        <c:axId val="717692344"/>
      </c:scatterChart>
      <c:catAx>
        <c:axId val="71769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92344"/>
        <c:crosses val="autoZero"/>
        <c:auto val="1"/>
        <c:lblAlgn val="ctr"/>
        <c:lblOffset val="100"/>
        <c:tickLblSkip val="40"/>
        <c:noMultiLvlLbl val="0"/>
      </c:catAx>
      <c:valAx>
        <c:axId val="717692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AGB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92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10</xdr:row>
      <xdr:rowOff>73025</xdr:rowOff>
    </xdr:from>
    <xdr:to>
      <xdr:col>19</xdr:col>
      <xdr:colOff>142876</xdr:colOff>
      <xdr:row>33</xdr:row>
      <xdr:rowOff>65087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278694-C465-49EE-E53E-E9C0311B1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67</xdr:row>
      <xdr:rowOff>0</xdr:rowOff>
    </xdr:from>
    <xdr:to>
      <xdr:col>18</xdr:col>
      <xdr:colOff>314325</xdr:colOff>
      <xdr:row>90</xdr:row>
      <xdr:rowOff>1587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25571-28B7-4CD0-B219-53D1329FA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609599</xdr:colOff>
      <xdr:row>40</xdr:row>
      <xdr:rowOff>0</xdr:rowOff>
    </xdr:from>
    <xdr:to>
      <xdr:col>19</xdr:col>
      <xdr:colOff>447674</xdr:colOff>
      <xdr:row>65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D4955A-62D7-4802-B988-A83CB652D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7537-FDC7-4D97-A0FA-5ACE2FC68502}">
  <dimension ref="A1:F412"/>
  <sheetViews>
    <sheetView tabSelected="1" topLeftCell="A43" workbookViewId="0">
      <selection activeCell="D67" sqref="D67"/>
    </sheetView>
  </sheetViews>
  <sheetFormatPr defaultRowHeight="14.5" x14ac:dyDescent="0.35"/>
  <cols>
    <col min="1" max="1" width="24" bestFit="1" customWidth="1"/>
    <col min="2" max="2" width="18.7265625" bestFit="1" customWidth="1"/>
    <col min="3" max="3" width="23.81640625" bestFit="1" customWidth="1"/>
  </cols>
  <sheetData>
    <row r="1" spans="1:6" x14ac:dyDescent="0.35">
      <c r="A1" t="s">
        <v>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</row>
    <row r="2" spans="1:6" x14ac:dyDescent="0.35">
      <c r="A2" t="s">
        <v>1</v>
      </c>
    </row>
    <row r="3" spans="1:6" x14ac:dyDescent="0.35">
      <c r="A3" t="s">
        <v>2</v>
      </c>
    </row>
    <row r="4" spans="1:6" x14ac:dyDescent="0.35">
      <c r="A4" t="s">
        <v>3</v>
      </c>
    </row>
    <row r="5" spans="1:6" x14ac:dyDescent="0.35">
      <c r="A5" t="s">
        <v>4</v>
      </c>
    </row>
    <row r="6" spans="1:6" x14ac:dyDescent="0.35">
      <c r="A6" t="s">
        <v>5</v>
      </c>
    </row>
    <row r="7" spans="1:6" x14ac:dyDescent="0.35">
      <c r="A7" t="s">
        <v>6</v>
      </c>
    </row>
    <row r="8" spans="1:6" x14ac:dyDescent="0.35">
      <c r="A8" t="s">
        <v>7</v>
      </c>
    </row>
    <row r="9" spans="1:6" x14ac:dyDescent="0.35">
      <c r="A9" t="s">
        <v>8</v>
      </c>
    </row>
    <row r="10" spans="1:6" x14ac:dyDescent="0.35">
      <c r="A10" t="s">
        <v>9</v>
      </c>
    </row>
    <row r="11" spans="1:6" x14ac:dyDescent="0.35">
      <c r="A11" t="s">
        <v>10</v>
      </c>
    </row>
    <row r="12" spans="1:6" x14ac:dyDescent="0.35">
      <c r="A12" t="s">
        <v>11</v>
      </c>
    </row>
    <row r="13" spans="1:6" x14ac:dyDescent="0.35">
      <c r="A13" t="s">
        <v>12</v>
      </c>
    </row>
    <row r="14" spans="1:6" x14ac:dyDescent="0.35">
      <c r="A14" t="s">
        <v>13</v>
      </c>
    </row>
    <row r="15" spans="1:6" x14ac:dyDescent="0.35">
      <c r="A15" t="s">
        <v>14</v>
      </c>
    </row>
    <row r="16" spans="1:6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6" x14ac:dyDescent="0.35">
      <c r="A33" t="s">
        <v>32</v>
      </c>
    </row>
    <row r="34" spans="1:6" x14ac:dyDescent="0.35">
      <c r="A34" t="s">
        <v>33</v>
      </c>
    </row>
    <row r="35" spans="1:6" x14ac:dyDescent="0.35">
      <c r="A35" t="s">
        <v>34</v>
      </c>
    </row>
    <row r="36" spans="1:6" x14ac:dyDescent="0.35">
      <c r="A36" t="s">
        <v>35</v>
      </c>
    </row>
    <row r="37" spans="1:6" x14ac:dyDescent="0.35">
      <c r="A37" t="s">
        <v>36</v>
      </c>
    </row>
    <row r="38" spans="1:6" x14ac:dyDescent="0.35">
      <c r="A38" t="s">
        <v>37</v>
      </c>
    </row>
    <row r="39" spans="1:6" x14ac:dyDescent="0.35">
      <c r="A39" t="s">
        <v>38</v>
      </c>
    </row>
    <row r="40" spans="1:6" x14ac:dyDescent="0.35">
      <c r="A40" t="s">
        <v>39</v>
      </c>
    </row>
    <row r="41" spans="1:6" x14ac:dyDescent="0.35">
      <c r="A41" t="s">
        <v>40</v>
      </c>
    </row>
    <row r="42" spans="1:6" x14ac:dyDescent="0.35">
      <c r="A42" t="s">
        <v>41</v>
      </c>
    </row>
    <row r="43" spans="1:6" x14ac:dyDescent="0.35">
      <c r="A43" t="s">
        <v>42</v>
      </c>
    </row>
    <row r="44" spans="1:6" x14ac:dyDescent="0.35">
      <c r="A44" t="s">
        <v>43</v>
      </c>
      <c r="B44">
        <v>0</v>
      </c>
      <c r="C44">
        <v>0</v>
      </c>
      <c r="D44">
        <f>C44*8</f>
        <v>0</v>
      </c>
      <c r="E44">
        <f xml:space="preserve"> (D44 + (C44*0.556))</f>
        <v>0</v>
      </c>
      <c r="F44">
        <v>0</v>
      </c>
    </row>
    <row r="45" spans="1:6" x14ac:dyDescent="0.35">
      <c r="A45" t="s">
        <v>44</v>
      </c>
      <c r="C45">
        <v>-9.7436637199617496E-2</v>
      </c>
      <c r="D45">
        <f xml:space="preserve"> F45*5.7</f>
        <v>5.7000000000000002E-2</v>
      </c>
      <c r="E45">
        <f xml:space="preserve"> F45+D45</f>
        <v>6.7000000000000004E-2</v>
      </c>
      <c r="F45">
        <v>0.01</v>
      </c>
    </row>
    <row r="46" spans="1:6" x14ac:dyDescent="0.35">
      <c r="A46" t="s">
        <v>45</v>
      </c>
      <c r="C46">
        <v>-7.4072679633257296E-2</v>
      </c>
      <c r="D46">
        <f t="shared" ref="D46:D66" si="0" xml:space="preserve"> F46*5.7</f>
        <v>8.5499999999999993E-2</v>
      </c>
      <c r="E46">
        <f t="shared" ref="E46:E66" si="1" xml:space="preserve"> F46+D46</f>
        <v>0.10049999999999999</v>
      </c>
      <c r="F46">
        <v>1.4999999999999999E-2</v>
      </c>
    </row>
    <row r="47" spans="1:6" x14ac:dyDescent="0.35">
      <c r="A47" t="s">
        <v>46</v>
      </c>
      <c r="C47">
        <v>-0.37499527109448</v>
      </c>
      <c r="D47">
        <f t="shared" si="0"/>
        <v>9.6900000000000014E-2</v>
      </c>
      <c r="E47">
        <f t="shared" si="1"/>
        <v>0.11390000000000002</v>
      </c>
      <c r="F47">
        <v>1.7000000000000001E-2</v>
      </c>
    </row>
    <row r="48" spans="1:6" x14ac:dyDescent="0.35">
      <c r="A48" t="s">
        <v>47</v>
      </c>
      <c r="C48">
        <v>-0.44438115559548103</v>
      </c>
      <c r="D48">
        <f t="shared" si="0"/>
        <v>0.114</v>
      </c>
      <c r="E48">
        <f t="shared" si="1"/>
        <v>0.13400000000000001</v>
      </c>
      <c r="F48">
        <v>0.02</v>
      </c>
    </row>
    <row r="49" spans="1:6" x14ac:dyDescent="0.35">
      <c r="A49" t="s">
        <v>48</v>
      </c>
      <c r="C49">
        <v>-0.500734063227389</v>
      </c>
      <c r="D49">
        <f t="shared" si="0"/>
        <v>0.17099999999999999</v>
      </c>
      <c r="E49">
        <f t="shared" si="1"/>
        <v>0.20099999999999998</v>
      </c>
      <c r="F49">
        <v>0.03</v>
      </c>
    </row>
    <row r="50" spans="1:6" x14ac:dyDescent="0.35">
      <c r="A50" t="s">
        <v>49</v>
      </c>
      <c r="C50">
        <v>-0.199551127893101</v>
      </c>
      <c r="D50">
        <f t="shared" si="0"/>
        <v>0.19950000000000004</v>
      </c>
      <c r="E50">
        <f t="shared" si="1"/>
        <v>0.23450000000000004</v>
      </c>
      <c r="F50">
        <v>3.5000000000000003E-2</v>
      </c>
    </row>
    <row r="51" spans="1:6" x14ac:dyDescent="0.35">
      <c r="A51" t="s">
        <v>50</v>
      </c>
      <c r="C51">
        <v>-4.9560134210029298E-2</v>
      </c>
      <c r="D51">
        <f t="shared" si="0"/>
        <v>0.22800000000000001</v>
      </c>
      <c r="E51">
        <f t="shared" si="1"/>
        <v>0.26800000000000002</v>
      </c>
      <c r="F51">
        <v>0.04</v>
      </c>
    </row>
    <row r="52" spans="1:6" x14ac:dyDescent="0.35">
      <c r="A52" t="s">
        <v>51</v>
      </c>
      <c r="C52">
        <v>2.0287332663201499E-2</v>
      </c>
      <c r="D52">
        <f t="shared" si="0"/>
        <v>0.23940000000000003</v>
      </c>
      <c r="E52">
        <f t="shared" si="1"/>
        <v>0.28140000000000004</v>
      </c>
      <c r="F52">
        <v>4.2000000000000003E-2</v>
      </c>
    </row>
    <row r="53" spans="1:6" x14ac:dyDescent="0.35">
      <c r="A53" t="s">
        <v>52</v>
      </c>
      <c r="C53">
        <v>0.21829047060651799</v>
      </c>
      <c r="D53">
        <f t="shared" si="0"/>
        <v>0.28500000000000003</v>
      </c>
      <c r="E53">
        <f t="shared" si="1"/>
        <v>0.33500000000000002</v>
      </c>
      <c r="F53">
        <v>0.05</v>
      </c>
    </row>
    <row r="54" spans="1:6" x14ac:dyDescent="0.35">
      <c r="A54" t="s">
        <v>53</v>
      </c>
      <c r="C54">
        <v>0.145869876917672</v>
      </c>
      <c r="D54">
        <f t="shared" si="0"/>
        <v>0.28500000000000003</v>
      </c>
      <c r="E54">
        <f t="shared" si="1"/>
        <v>0.33500000000000002</v>
      </c>
      <c r="F54">
        <v>0.05</v>
      </c>
    </row>
    <row r="55" spans="1:6" x14ac:dyDescent="0.35">
      <c r="A55" t="s">
        <v>54</v>
      </c>
      <c r="C55">
        <v>0.160704417126872</v>
      </c>
      <c r="D55">
        <f t="shared" si="0"/>
        <v>0.28500000000000003</v>
      </c>
      <c r="E55">
        <f t="shared" si="1"/>
        <v>0.33500000000000002</v>
      </c>
      <c r="F55">
        <v>0.05</v>
      </c>
    </row>
    <row r="56" spans="1:6" x14ac:dyDescent="0.35">
      <c r="A56" t="s">
        <v>55</v>
      </c>
      <c r="C56">
        <v>-9.8336181615970002E-3</v>
      </c>
      <c r="D56">
        <f t="shared" si="0"/>
        <v>0.3135</v>
      </c>
      <c r="E56">
        <f t="shared" si="1"/>
        <v>0.36849999999999999</v>
      </c>
      <c r="F56">
        <v>5.5E-2</v>
      </c>
    </row>
    <row r="57" spans="1:6" x14ac:dyDescent="0.35">
      <c r="A57" t="s">
        <v>56</v>
      </c>
      <c r="C57">
        <v>0.18626342542396601</v>
      </c>
      <c r="D57">
        <f t="shared" si="0"/>
        <v>0.32490000000000002</v>
      </c>
      <c r="E57">
        <f t="shared" si="1"/>
        <v>0.38190000000000002</v>
      </c>
      <c r="F57">
        <v>5.7000000000000002E-2</v>
      </c>
    </row>
    <row r="58" spans="1:6" x14ac:dyDescent="0.35">
      <c r="A58" t="s">
        <v>57</v>
      </c>
      <c r="C58">
        <v>0.23351582830002801</v>
      </c>
      <c r="D58">
        <f t="shared" si="0"/>
        <v>0.34199999999999997</v>
      </c>
      <c r="E58">
        <f t="shared" si="1"/>
        <v>0.40199999999999997</v>
      </c>
      <c r="F58">
        <v>0.06</v>
      </c>
    </row>
    <row r="59" spans="1:6" x14ac:dyDescent="0.35">
      <c r="A59" t="s">
        <v>58</v>
      </c>
      <c r="C59">
        <v>0.26754128835924701</v>
      </c>
      <c r="D59">
        <f t="shared" si="0"/>
        <v>0.39900000000000008</v>
      </c>
      <c r="E59">
        <f t="shared" si="1"/>
        <v>0.46900000000000008</v>
      </c>
      <c r="F59">
        <v>7.0000000000000007E-2</v>
      </c>
    </row>
    <row r="60" spans="1:6" x14ac:dyDescent="0.35">
      <c r="A60" t="s">
        <v>59</v>
      </c>
      <c r="C60">
        <v>0.206538752919524</v>
      </c>
      <c r="D60">
        <f t="shared" si="0"/>
        <v>0.45600000000000002</v>
      </c>
      <c r="E60">
        <f t="shared" si="1"/>
        <v>0.53600000000000003</v>
      </c>
      <c r="F60">
        <v>0.08</v>
      </c>
    </row>
    <row r="61" spans="1:6" x14ac:dyDescent="0.35">
      <c r="A61" t="s">
        <v>60</v>
      </c>
      <c r="C61">
        <v>7.8276518389252203E-2</v>
      </c>
      <c r="D61">
        <f t="shared" si="0"/>
        <v>0.51300000000000001</v>
      </c>
      <c r="E61">
        <f t="shared" si="1"/>
        <v>0.60299999999999998</v>
      </c>
      <c r="F61">
        <v>0.09</v>
      </c>
    </row>
    <row r="62" spans="1:6" x14ac:dyDescent="0.35">
      <c r="A62" t="s">
        <v>61</v>
      </c>
      <c r="C62">
        <v>2.2269463397996899E-2</v>
      </c>
      <c r="D62">
        <f t="shared" si="0"/>
        <v>0.57000000000000006</v>
      </c>
      <c r="E62">
        <f t="shared" si="1"/>
        <v>0.67</v>
      </c>
      <c r="F62">
        <v>0.1</v>
      </c>
    </row>
    <row r="63" spans="1:6" x14ac:dyDescent="0.35">
      <c r="A63" t="s">
        <v>62</v>
      </c>
      <c r="C63">
        <v>2.4364342393070602E-3</v>
      </c>
      <c r="D63">
        <f t="shared" si="0"/>
        <v>0.627</v>
      </c>
      <c r="E63">
        <f t="shared" si="1"/>
        <v>0.73699999999999999</v>
      </c>
      <c r="F63">
        <v>0.11</v>
      </c>
    </row>
    <row r="64" spans="1:6" x14ac:dyDescent="0.35">
      <c r="A64" t="s">
        <v>63</v>
      </c>
      <c r="C64">
        <v>-3.6995226227372002E-2</v>
      </c>
      <c r="D64">
        <f t="shared" si="0"/>
        <v>0.65550000000000008</v>
      </c>
      <c r="E64">
        <f t="shared" si="1"/>
        <v>0.77050000000000007</v>
      </c>
      <c r="F64">
        <v>0.115</v>
      </c>
    </row>
    <row r="65" spans="1:6" x14ac:dyDescent="0.35">
      <c r="A65" t="s">
        <v>64</v>
      </c>
      <c r="C65">
        <v>-2.53872576943301E-2</v>
      </c>
      <c r="D65">
        <f t="shared" si="0"/>
        <v>0.68399999999999994</v>
      </c>
      <c r="E65">
        <f t="shared" si="1"/>
        <v>0.80399999999999994</v>
      </c>
      <c r="F65">
        <v>0.12</v>
      </c>
    </row>
    <row r="66" spans="1:6" x14ac:dyDescent="0.35">
      <c r="A66" t="s">
        <v>65</v>
      </c>
      <c r="C66">
        <v>-5.6568586740926401E-2</v>
      </c>
      <c r="D66">
        <f t="shared" si="0"/>
        <v>0.68969999999999998</v>
      </c>
      <c r="E66">
        <f t="shared" si="1"/>
        <v>0.81069999999999998</v>
      </c>
      <c r="F66">
        <v>0.121</v>
      </c>
    </row>
    <row r="67" spans="1:6" x14ac:dyDescent="0.35">
      <c r="A67" t="s">
        <v>66</v>
      </c>
      <c r="C67">
        <v>0.12394610505963</v>
      </c>
      <c r="D67">
        <f>C67*5.7</f>
        <v>0.70649279883989102</v>
      </c>
      <c r="E67">
        <f t="shared" ref="E67:E112" si="2">C67+D67</f>
        <v>0.83043890389952102</v>
      </c>
    </row>
    <row r="68" spans="1:6" x14ac:dyDescent="0.35">
      <c r="A68" t="s">
        <v>67</v>
      </c>
      <c r="C68">
        <v>0.131618848351131</v>
      </c>
      <c r="D68">
        <f t="shared" ref="D68:D70" si="3">C68*5.7</f>
        <v>0.75022743560144667</v>
      </c>
      <c r="E68">
        <f t="shared" si="2"/>
        <v>0.88184628395257769</v>
      </c>
    </row>
    <row r="69" spans="1:6" x14ac:dyDescent="0.35">
      <c r="A69" t="s">
        <v>68</v>
      </c>
      <c r="C69">
        <v>0.25161436922899899</v>
      </c>
      <c r="D69">
        <f t="shared" si="3"/>
        <v>1.4342019046052943</v>
      </c>
      <c r="E69">
        <f t="shared" si="2"/>
        <v>1.6858162738342932</v>
      </c>
    </row>
    <row r="70" spans="1:6" x14ac:dyDescent="0.35">
      <c r="A70" t="s">
        <v>69</v>
      </c>
      <c r="C70">
        <v>0.12558163891777499</v>
      </c>
      <c r="D70">
        <f t="shared" si="3"/>
        <v>0.71581534183131745</v>
      </c>
      <c r="E70">
        <f t="shared" si="2"/>
        <v>0.84139698074909242</v>
      </c>
    </row>
    <row r="71" spans="1:6" x14ac:dyDescent="0.35">
      <c r="A71" t="s">
        <v>70</v>
      </c>
      <c r="C71">
        <v>0.27515107832362701</v>
      </c>
      <c r="D71">
        <f>C71*5.5</f>
        <v>1.5133309307799485</v>
      </c>
      <c r="E71">
        <f t="shared" si="2"/>
        <v>1.7884820091035756</v>
      </c>
    </row>
    <row r="72" spans="1:6" x14ac:dyDescent="0.35">
      <c r="A72" t="s">
        <v>71</v>
      </c>
      <c r="C72">
        <v>0.28907480283255799</v>
      </c>
      <c r="D72">
        <f xml:space="preserve"> C72*5.3</f>
        <v>1.5320964550125573</v>
      </c>
      <c r="E72">
        <f t="shared" si="2"/>
        <v>1.8211712578451154</v>
      </c>
    </row>
    <row r="73" spans="1:6" x14ac:dyDescent="0.35">
      <c r="A73" t="s">
        <v>72</v>
      </c>
      <c r="C73">
        <v>0.40685623569989399</v>
      </c>
      <c r="D73">
        <f xml:space="preserve"> C73*5.1</f>
        <v>2.0749668020694592</v>
      </c>
      <c r="E73">
        <f t="shared" si="2"/>
        <v>2.4818230377693533</v>
      </c>
    </row>
    <row r="74" spans="1:6" x14ac:dyDescent="0.35">
      <c r="A74" t="s">
        <v>73</v>
      </c>
      <c r="C74">
        <v>0.37355725844343002</v>
      </c>
      <c r="D74">
        <f xml:space="preserve"> C74*4.8</f>
        <v>1.793074840528464</v>
      </c>
      <c r="E74">
        <f t="shared" si="2"/>
        <v>2.1666320989718941</v>
      </c>
    </row>
    <row r="75" spans="1:6" x14ac:dyDescent="0.35">
      <c r="A75" t="s">
        <v>74</v>
      </c>
      <c r="C75">
        <v>0.49014640964957901</v>
      </c>
      <c r="D75">
        <f xml:space="preserve"> C75*4.5</f>
        <v>2.2056588434231057</v>
      </c>
      <c r="E75">
        <f t="shared" si="2"/>
        <v>2.6958052530726846</v>
      </c>
    </row>
    <row r="76" spans="1:6" x14ac:dyDescent="0.35">
      <c r="A76" t="s">
        <v>75</v>
      </c>
      <c r="C76">
        <v>0.59817189156447603</v>
      </c>
      <c r="D76">
        <f xml:space="preserve"> C76*4.2</f>
        <v>2.5123219445707994</v>
      </c>
      <c r="E76">
        <f t="shared" si="2"/>
        <v>3.1104938361352756</v>
      </c>
    </row>
    <row r="77" spans="1:6" x14ac:dyDescent="0.35">
      <c r="A77" t="s">
        <v>76</v>
      </c>
      <c r="C77">
        <v>0.54186953528161297</v>
      </c>
      <c r="D77">
        <f>C77*4</f>
        <v>2.1674781411264519</v>
      </c>
      <c r="E77">
        <f t="shared" si="2"/>
        <v>2.7093476764080648</v>
      </c>
    </row>
    <row r="78" spans="1:6" x14ac:dyDescent="0.35">
      <c r="A78" t="s">
        <v>77</v>
      </c>
      <c r="C78">
        <v>0.58404470679840803</v>
      </c>
      <c r="D78">
        <f t="shared" ref="D78:D104" si="4">C78*4</f>
        <v>2.3361788271936321</v>
      </c>
      <c r="E78">
        <f t="shared" si="2"/>
        <v>2.9202235339920399</v>
      </c>
    </row>
    <row r="79" spans="1:6" x14ac:dyDescent="0.35">
      <c r="A79" t="s">
        <v>78</v>
      </c>
      <c r="C79">
        <v>0.60964148249375605</v>
      </c>
      <c r="D79">
        <f t="shared" si="4"/>
        <v>2.4385659299750242</v>
      </c>
      <c r="E79">
        <f t="shared" si="2"/>
        <v>3.0482074124687801</v>
      </c>
    </row>
    <row r="80" spans="1:6" x14ac:dyDescent="0.35">
      <c r="A80" t="s">
        <v>79</v>
      </c>
      <c r="C80">
        <v>0.69114233764130195</v>
      </c>
      <c r="D80">
        <f t="shared" si="4"/>
        <v>2.7645693505652078</v>
      </c>
      <c r="E80">
        <f t="shared" si="2"/>
        <v>3.4557116882065095</v>
      </c>
    </row>
    <row r="81" spans="1:5" x14ac:dyDescent="0.35">
      <c r="A81" t="s">
        <v>80</v>
      </c>
      <c r="C81">
        <v>0.56928077830069701</v>
      </c>
      <c r="D81">
        <f t="shared" si="4"/>
        <v>2.277123113202788</v>
      </c>
      <c r="E81">
        <f t="shared" si="2"/>
        <v>2.8464038915034848</v>
      </c>
    </row>
    <row r="82" spans="1:5" x14ac:dyDescent="0.35">
      <c r="A82" t="s">
        <v>81</v>
      </c>
      <c r="C82">
        <v>0.49575667865789003</v>
      </c>
      <c r="D82">
        <f t="shared" si="4"/>
        <v>1.9830267146315601</v>
      </c>
      <c r="E82">
        <f t="shared" si="2"/>
        <v>2.4787833932894503</v>
      </c>
    </row>
    <row r="83" spans="1:5" x14ac:dyDescent="0.35">
      <c r="A83" t="s">
        <v>82</v>
      </c>
      <c r="C83">
        <v>0.31659848390775702</v>
      </c>
      <c r="D83">
        <f t="shared" si="4"/>
        <v>1.2663939356310281</v>
      </c>
      <c r="E83">
        <f t="shared" si="2"/>
        <v>1.582992419538785</v>
      </c>
    </row>
    <row r="84" spans="1:5" x14ac:dyDescent="0.35">
      <c r="A84" t="s">
        <v>83</v>
      </c>
      <c r="C84">
        <v>0.35866756161996299</v>
      </c>
      <c r="D84">
        <f t="shared" si="4"/>
        <v>1.434670246479852</v>
      </c>
      <c r="E84">
        <f t="shared" si="2"/>
        <v>1.793337808099815</v>
      </c>
    </row>
    <row r="85" spans="1:5" x14ac:dyDescent="0.35">
      <c r="A85" t="s">
        <v>84</v>
      </c>
      <c r="C85">
        <v>0.34470367287690701</v>
      </c>
      <c r="D85">
        <f t="shared" si="4"/>
        <v>1.378814691507628</v>
      </c>
      <c r="E85">
        <f t="shared" si="2"/>
        <v>1.7235183643845351</v>
      </c>
    </row>
    <row r="86" spans="1:5" x14ac:dyDescent="0.35">
      <c r="A86" t="s">
        <v>85</v>
      </c>
      <c r="C86">
        <v>0.58453378671395795</v>
      </c>
      <c r="D86">
        <f t="shared" si="4"/>
        <v>2.3381351468558318</v>
      </c>
      <c r="E86">
        <f t="shared" si="2"/>
        <v>2.9226689335697897</v>
      </c>
    </row>
    <row r="87" spans="1:5" x14ac:dyDescent="0.35">
      <c r="A87" t="s">
        <v>86</v>
      </c>
      <c r="C87">
        <v>0.61395606746107401</v>
      </c>
      <c r="D87">
        <f t="shared" si="4"/>
        <v>2.455824269844296</v>
      </c>
      <c r="E87">
        <f t="shared" si="2"/>
        <v>3.06978033730537</v>
      </c>
    </row>
    <row r="88" spans="1:5" x14ac:dyDescent="0.35">
      <c r="A88" t="s">
        <v>87</v>
      </c>
      <c r="C88">
        <v>0.77371891175546204</v>
      </c>
      <c r="D88">
        <f t="shared" si="4"/>
        <v>3.0948756470218481</v>
      </c>
      <c r="E88">
        <f t="shared" si="2"/>
        <v>3.8685945587773101</v>
      </c>
    </row>
    <row r="89" spans="1:5" x14ac:dyDescent="0.35">
      <c r="A89" t="s">
        <v>88</v>
      </c>
      <c r="C89">
        <v>0.84981566246287299</v>
      </c>
      <c r="D89">
        <f t="shared" si="4"/>
        <v>3.399262649851492</v>
      </c>
      <c r="E89">
        <f t="shared" si="2"/>
        <v>4.2490783123143654</v>
      </c>
    </row>
    <row r="90" spans="1:5" x14ac:dyDescent="0.35">
      <c r="A90" t="s">
        <v>89</v>
      </c>
      <c r="C90">
        <v>0.95846462688260903</v>
      </c>
      <c r="D90">
        <f t="shared" si="4"/>
        <v>3.8338585075304361</v>
      </c>
      <c r="E90">
        <f t="shared" si="2"/>
        <v>4.7923231344130448</v>
      </c>
    </row>
    <row r="91" spans="1:5" x14ac:dyDescent="0.35">
      <c r="A91" t="s">
        <v>90</v>
      </c>
      <c r="C91">
        <v>1.0038136441245</v>
      </c>
      <c r="D91">
        <f t="shared" si="4"/>
        <v>4.0152545764980001</v>
      </c>
      <c r="E91">
        <f t="shared" si="2"/>
        <v>5.0190682206225006</v>
      </c>
    </row>
    <row r="92" spans="1:5" x14ac:dyDescent="0.35">
      <c r="A92" t="s">
        <v>91</v>
      </c>
      <c r="C92">
        <v>0.83799572014558099</v>
      </c>
      <c r="D92">
        <f t="shared" si="4"/>
        <v>3.351982880582324</v>
      </c>
      <c r="E92">
        <f t="shared" si="2"/>
        <v>4.1899786007279047</v>
      </c>
    </row>
    <row r="93" spans="1:5" x14ac:dyDescent="0.35">
      <c r="A93" t="s">
        <v>92</v>
      </c>
      <c r="C93">
        <v>0.76936382111846402</v>
      </c>
      <c r="D93">
        <f t="shared" si="4"/>
        <v>3.0774552844738561</v>
      </c>
      <c r="E93">
        <f t="shared" si="2"/>
        <v>3.8468191055923202</v>
      </c>
    </row>
    <row r="94" spans="1:5" x14ac:dyDescent="0.35">
      <c r="A94" t="s">
        <v>93</v>
      </c>
      <c r="C94">
        <v>0.68542649873919304</v>
      </c>
      <c r="D94">
        <f t="shared" si="4"/>
        <v>2.7417059949567721</v>
      </c>
      <c r="E94">
        <f t="shared" si="2"/>
        <v>3.4271324936959653</v>
      </c>
    </row>
    <row r="95" spans="1:5" x14ac:dyDescent="0.35">
      <c r="A95" t="s">
        <v>94</v>
      </c>
      <c r="C95">
        <v>0.67357202459799403</v>
      </c>
      <c r="D95">
        <f t="shared" si="4"/>
        <v>2.6942880983919761</v>
      </c>
      <c r="E95">
        <f t="shared" si="2"/>
        <v>3.3678601229899701</v>
      </c>
    </row>
    <row r="96" spans="1:5" x14ac:dyDescent="0.35">
      <c r="A96" t="s">
        <v>95</v>
      </c>
      <c r="C96">
        <v>0.89264894662891603</v>
      </c>
      <c r="D96">
        <f t="shared" si="4"/>
        <v>3.5705957865156641</v>
      </c>
      <c r="E96">
        <f t="shared" si="2"/>
        <v>4.4632447331445801</v>
      </c>
    </row>
    <row r="97" spans="1:5" x14ac:dyDescent="0.35">
      <c r="A97" t="s">
        <v>96</v>
      </c>
      <c r="C97">
        <v>0.95269574035427596</v>
      </c>
      <c r="D97">
        <f t="shared" si="4"/>
        <v>3.8107829614171038</v>
      </c>
      <c r="E97">
        <f t="shared" si="2"/>
        <v>4.7634787017713798</v>
      </c>
    </row>
    <row r="98" spans="1:5" x14ac:dyDescent="0.35">
      <c r="A98" t="s">
        <v>97</v>
      </c>
      <c r="C98">
        <v>1.2195550349566799</v>
      </c>
      <c r="D98">
        <f t="shared" si="4"/>
        <v>4.8782201398267198</v>
      </c>
      <c r="E98">
        <f t="shared" si="2"/>
        <v>6.0977751747833997</v>
      </c>
    </row>
    <row r="99" spans="1:5" x14ac:dyDescent="0.35">
      <c r="A99" t="s">
        <v>98</v>
      </c>
      <c r="C99">
        <v>1.0752007682953699</v>
      </c>
      <c r="D99">
        <f t="shared" si="4"/>
        <v>4.3008030731814797</v>
      </c>
      <c r="E99">
        <f t="shared" si="2"/>
        <v>5.3760038414768498</v>
      </c>
    </row>
    <row r="100" spans="1:5" x14ac:dyDescent="0.35">
      <c r="A100" t="s">
        <v>99</v>
      </c>
      <c r="C100">
        <v>1.1917033882418699</v>
      </c>
      <c r="D100">
        <f t="shared" si="4"/>
        <v>4.7668135529674798</v>
      </c>
      <c r="E100">
        <f t="shared" si="2"/>
        <v>5.9585169412093499</v>
      </c>
    </row>
    <row r="101" spans="1:5" x14ac:dyDescent="0.35">
      <c r="A101" t="s">
        <v>100</v>
      </c>
      <c r="C101">
        <v>1.1512135545883699</v>
      </c>
      <c r="D101">
        <f t="shared" si="4"/>
        <v>4.6048542183534797</v>
      </c>
      <c r="E101">
        <f t="shared" si="2"/>
        <v>5.7560677729418499</v>
      </c>
    </row>
    <row r="102" spans="1:5" x14ac:dyDescent="0.35">
      <c r="A102" t="s">
        <v>101</v>
      </c>
      <c r="C102">
        <v>1.08860512844841</v>
      </c>
      <c r="D102">
        <f t="shared" si="4"/>
        <v>4.3544205137936398</v>
      </c>
      <c r="E102">
        <f t="shared" si="2"/>
        <v>5.4430256422420502</v>
      </c>
    </row>
    <row r="103" spans="1:5" x14ac:dyDescent="0.35">
      <c r="A103" t="s">
        <v>102</v>
      </c>
      <c r="C103">
        <v>1.0106656845948201</v>
      </c>
      <c r="D103">
        <f t="shared" si="4"/>
        <v>4.0426627383792804</v>
      </c>
      <c r="E103">
        <f t="shared" si="2"/>
        <v>5.0533284229741007</v>
      </c>
    </row>
    <row r="104" spans="1:5" x14ac:dyDescent="0.35">
      <c r="A104" t="s">
        <v>103</v>
      </c>
      <c r="C104">
        <v>1.0174676602735699</v>
      </c>
      <c r="D104">
        <f t="shared" si="4"/>
        <v>4.0698706410942798</v>
      </c>
      <c r="E104">
        <f t="shared" si="2"/>
        <v>5.0873383013678497</v>
      </c>
    </row>
    <row r="105" spans="1:5" x14ac:dyDescent="0.35">
      <c r="A105" t="s">
        <v>104</v>
      </c>
      <c r="C105">
        <v>1.0709024408738701</v>
      </c>
      <c r="D105">
        <f>C105*4</f>
        <v>4.2836097634954804</v>
      </c>
      <c r="E105">
        <f t="shared" si="2"/>
        <v>5.3545122043693505</v>
      </c>
    </row>
    <row r="106" spans="1:5" x14ac:dyDescent="0.35">
      <c r="A106" t="s">
        <v>105</v>
      </c>
      <c r="C106">
        <v>1.0812676526014799</v>
      </c>
      <c r="D106">
        <f t="shared" ref="D106:D107" si="5">C106*4</f>
        <v>4.3250706104059198</v>
      </c>
      <c r="E106">
        <f t="shared" si="2"/>
        <v>5.4063382630073997</v>
      </c>
    </row>
    <row r="107" spans="1:5" x14ac:dyDescent="0.35">
      <c r="A107" t="s">
        <v>106</v>
      </c>
      <c r="C107">
        <v>1.0728555635499499</v>
      </c>
      <c r="D107">
        <f t="shared" si="5"/>
        <v>4.2914222541997997</v>
      </c>
      <c r="E107">
        <f t="shared" si="2"/>
        <v>5.3642778177497501</v>
      </c>
    </row>
    <row r="108" spans="1:5" x14ac:dyDescent="0.35">
      <c r="A108" t="s">
        <v>107</v>
      </c>
      <c r="C108">
        <v>1.1650283355093101</v>
      </c>
      <c r="D108">
        <f>C108*3.8</f>
        <v>4.4271076749353782</v>
      </c>
      <c r="E108">
        <f t="shared" si="2"/>
        <v>5.5921360104446887</v>
      </c>
    </row>
    <row r="109" spans="1:5" x14ac:dyDescent="0.35">
      <c r="A109" t="s">
        <v>108</v>
      </c>
      <c r="C109">
        <v>1.07368700665943</v>
      </c>
      <c r="D109">
        <f xml:space="preserve"> C109*3.7</f>
        <v>3.9726419246398912</v>
      </c>
      <c r="E109">
        <f t="shared" si="2"/>
        <v>5.0463289312993211</v>
      </c>
    </row>
    <row r="110" spans="1:5" x14ac:dyDescent="0.35">
      <c r="A110" t="s">
        <v>109</v>
      </c>
      <c r="C110">
        <v>1.27473331063336</v>
      </c>
      <c r="D110">
        <f xml:space="preserve"> C110*3.5</f>
        <v>4.46156658721676</v>
      </c>
      <c r="E110">
        <f t="shared" si="2"/>
        <v>5.7362998978501203</v>
      </c>
    </row>
    <row r="111" spans="1:5" x14ac:dyDescent="0.35">
      <c r="A111" t="s">
        <v>110</v>
      </c>
      <c r="C111">
        <v>1.2915527086826499</v>
      </c>
      <c r="D111">
        <f>C111*3.3</f>
        <v>4.2621239386527447</v>
      </c>
      <c r="E111">
        <f t="shared" si="2"/>
        <v>5.5536766473353945</v>
      </c>
    </row>
    <row r="112" spans="1:5" x14ac:dyDescent="0.35">
      <c r="A112" t="s">
        <v>111</v>
      </c>
      <c r="C112">
        <v>1.51709022015813</v>
      </c>
      <c r="D112">
        <f xml:space="preserve"> C112*3.1</f>
        <v>4.702979682490203</v>
      </c>
      <c r="E112">
        <f t="shared" si="2"/>
        <v>6.2200699026483335</v>
      </c>
    </row>
    <row r="113" spans="1:5" x14ac:dyDescent="0.35">
      <c r="A113" t="s">
        <v>112</v>
      </c>
      <c r="C113">
        <v>1.3536231888096899</v>
      </c>
      <c r="D113">
        <f xml:space="preserve"> C113*3</f>
        <v>4.0608695664290693</v>
      </c>
      <c r="E113">
        <f t="shared" ref="E113:E115" si="6">C113+D113</f>
        <v>5.4144927552387596</v>
      </c>
    </row>
    <row r="114" spans="1:5" x14ac:dyDescent="0.35">
      <c r="A114" t="s">
        <v>113</v>
      </c>
      <c r="C114">
        <v>1.43661504745658</v>
      </c>
      <c r="D114">
        <f t="shared" ref="D114:D115" si="7" xml:space="preserve"> C114*3</f>
        <v>4.3098451423697401</v>
      </c>
      <c r="E114">
        <f t="shared" si="6"/>
        <v>5.7464601898263199</v>
      </c>
    </row>
    <row r="115" spans="1:5" x14ac:dyDescent="0.35">
      <c r="A115" t="s">
        <v>114</v>
      </c>
      <c r="C115">
        <v>1.54710474467911</v>
      </c>
      <c r="D115">
        <f t="shared" si="7"/>
        <v>4.6413142340373295</v>
      </c>
      <c r="E115">
        <f t="shared" si="6"/>
        <v>6.1884189787164399</v>
      </c>
    </row>
    <row r="116" spans="1:5" x14ac:dyDescent="0.35">
      <c r="A116" t="s">
        <v>115</v>
      </c>
      <c r="C116">
        <v>1.61890627165588</v>
      </c>
      <c r="D116">
        <f xml:space="preserve"> C116*2.8</f>
        <v>4.5329375606364639</v>
      </c>
      <c r="E116">
        <f t="shared" ref="E116:E129" si="8">C116+D116</f>
        <v>6.1518438322923439</v>
      </c>
    </row>
    <row r="117" spans="1:5" x14ac:dyDescent="0.35">
      <c r="A117" t="s">
        <v>116</v>
      </c>
      <c r="C117">
        <v>1.5255405095463399</v>
      </c>
      <c r="D117">
        <f xml:space="preserve"> C117*2.8</f>
        <v>4.2715134267297517</v>
      </c>
      <c r="E117">
        <f t="shared" si="8"/>
        <v>5.7970539362760913</v>
      </c>
    </row>
    <row r="118" spans="1:5" x14ac:dyDescent="0.35">
      <c r="A118" t="s">
        <v>117</v>
      </c>
      <c r="C118">
        <v>1.4361070891221199</v>
      </c>
      <c r="D118">
        <f xml:space="preserve"> C118*2.6</f>
        <v>3.7338784317175118</v>
      </c>
      <c r="E118">
        <f t="shared" si="8"/>
        <v>5.1699855208396315</v>
      </c>
    </row>
    <row r="119" spans="1:5" x14ac:dyDescent="0.35">
      <c r="A119" t="s">
        <v>118</v>
      </c>
      <c r="C119">
        <v>1.49232701052154</v>
      </c>
      <c r="D119">
        <f xml:space="preserve"> C119*2.6</f>
        <v>3.880050227356004</v>
      </c>
      <c r="E119">
        <f t="shared" si="8"/>
        <v>5.3723772378775436</v>
      </c>
    </row>
    <row r="120" spans="1:5" x14ac:dyDescent="0.35">
      <c r="A120" t="s">
        <v>119</v>
      </c>
      <c r="C120">
        <v>1.5816296612894101</v>
      </c>
      <c r="D120">
        <f xml:space="preserve"> C120*2.5</f>
        <v>3.9540741532235253</v>
      </c>
      <c r="E120">
        <f t="shared" si="8"/>
        <v>5.5357038145129351</v>
      </c>
    </row>
    <row r="121" spans="1:5" x14ac:dyDescent="0.35">
      <c r="A121" t="s">
        <v>120</v>
      </c>
      <c r="C121">
        <v>1.70664869758108</v>
      </c>
      <c r="D121">
        <f xml:space="preserve"> C121*2.5</f>
        <v>4.2666217439527001</v>
      </c>
      <c r="E121">
        <f t="shared" si="8"/>
        <v>5.9732704415337796</v>
      </c>
    </row>
    <row r="122" spans="1:5" x14ac:dyDescent="0.35">
      <c r="A122" t="s">
        <v>121</v>
      </c>
      <c r="C122">
        <v>1.8263337611516499</v>
      </c>
      <c r="D122">
        <f xml:space="preserve"> C122*2.4</f>
        <v>4.3832010267639596</v>
      </c>
      <c r="E122">
        <f t="shared" si="8"/>
        <v>6.2095347879156098</v>
      </c>
    </row>
    <row r="123" spans="1:5" x14ac:dyDescent="0.35">
      <c r="A123" t="s">
        <v>122</v>
      </c>
      <c r="C123">
        <v>1.9758245054631001</v>
      </c>
      <c r="D123">
        <f xml:space="preserve"> C123*2.4</f>
        <v>4.74197881311144</v>
      </c>
      <c r="E123">
        <f t="shared" si="8"/>
        <v>6.7178033185745401</v>
      </c>
    </row>
    <row r="124" spans="1:5" x14ac:dyDescent="0.35">
      <c r="A124" t="s">
        <v>123</v>
      </c>
      <c r="C124">
        <v>1.90359659136046</v>
      </c>
      <c r="D124">
        <f>C124*2.3</f>
        <v>4.3782721601290575</v>
      </c>
      <c r="E124">
        <f t="shared" si="8"/>
        <v>6.2818687514895171</v>
      </c>
    </row>
    <row r="125" spans="1:5" x14ac:dyDescent="0.35">
      <c r="A125" t="s">
        <v>124</v>
      </c>
      <c r="C125">
        <v>1.90451411898402</v>
      </c>
      <c r="D125">
        <f>C125*2.3</f>
        <v>4.3803824736632455</v>
      </c>
      <c r="E125">
        <f t="shared" si="8"/>
        <v>6.2848965926472653</v>
      </c>
    </row>
    <row r="126" spans="1:5" x14ac:dyDescent="0.35">
      <c r="A126" t="s">
        <v>125</v>
      </c>
      <c r="C126">
        <v>1.9884787213934001</v>
      </c>
      <c r="D126">
        <f>C126*2.1</f>
        <v>4.1758053149261407</v>
      </c>
      <c r="E126">
        <f t="shared" si="8"/>
        <v>6.1642840363195406</v>
      </c>
    </row>
    <row r="127" spans="1:5" x14ac:dyDescent="0.35">
      <c r="A127" t="s">
        <v>126</v>
      </c>
      <c r="C127">
        <v>1.93694313803861</v>
      </c>
      <c r="D127">
        <f xml:space="preserve"> C127*1.9</f>
        <v>3.6801919622733585</v>
      </c>
      <c r="E127">
        <f t="shared" si="8"/>
        <v>5.6171351003119687</v>
      </c>
    </row>
    <row r="128" spans="1:5" x14ac:dyDescent="0.35">
      <c r="A128" t="s">
        <v>127</v>
      </c>
      <c r="C128">
        <v>1.9731555682947099</v>
      </c>
      <c r="D128">
        <f xml:space="preserve"> C128*1.9</f>
        <v>3.7489955797599488</v>
      </c>
      <c r="E128">
        <f t="shared" si="8"/>
        <v>5.7221511480546585</v>
      </c>
    </row>
    <row r="129" spans="1:5" x14ac:dyDescent="0.35">
      <c r="A129" t="s">
        <v>128</v>
      </c>
      <c r="C129">
        <v>1.93159205455473</v>
      </c>
      <c r="D129">
        <f xml:space="preserve"> C129*1.9</f>
        <v>3.6700249036539869</v>
      </c>
      <c r="E129">
        <f t="shared" si="8"/>
        <v>5.6016169582087167</v>
      </c>
    </row>
    <row r="130" spans="1:5" x14ac:dyDescent="0.35">
      <c r="A130" t="s">
        <v>129</v>
      </c>
      <c r="C130">
        <v>2.1698591693892402</v>
      </c>
      <c r="D130">
        <f xml:space="preserve"> C130*1.86</f>
        <v>4.035938055063987</v>
      </c>
      <c r="E130">
        <f xml:space="preserve"> C130+D130</f>
        <v>6.2057972244532271</v>
      </c>
    </row>
    <row r="131" spans="1:5" x14ac:dyDescent="0.35">
      <c r="A131" t="s">
        <v>130</v>
      </c>
      <c r="C131">
        <v>2.2664649766020601</v>
      </c>
      <c r="D131">
        <f xml:space="preserve"> C131*1.86</f>
        <v>4.215624856479832</v>
      </c>
      <c r="E131">
        <f t="shared" ref="E131:E142" si="9" xml:space="preserve"> C131+D131</f>
        <v>6.4820898330818917</v>
      </c>
    </row>
    <row r="132" spans="1:5" x14ac:dyDescent="0.35">
      <c r="A132" t="s">
        <v>131</v>
      </c>
      <c r="C132">
        <v>2.3951381781363201</v>
      </c>
      <c r="D132">
        <f xml:space="preserve"> C132*1.7</f>
        <v>4.0717349028317438</v>
      </c>
      <c r="E132">
        <f t="shared" si="9"/>
        <v>6.4668730809680639</v>
      </c>
    </row>
    <row r="133" spans="1:5" x14ac:dyDescent="0.35">
      <c r="A133" t="s">
        <v>132</v>
      </c>
      <c r="C133">
        <v>2.4653518548544699</v>
      </c>
      <c r="D133">
        <f xml:space="preserve"> C133*1.7</f>
        <v>4.1910981532525984</v>
      </c>
      <c r="E133">
        <f t="shared" si="9"/>
        <v>6.6564500081070683</v>
      </c>
    </row>
    <row r="134" spans="1:5" x14ac:dyDescent="0.35">
      <c r="A134" t="s">
        <v>133</v>
      </c>
      <c r="C134">
        <v>2.4874478396559101</v>
      </c>
      <c r="D134">
        <f xml:space="preserve"> C134*1.6</f>
        <v>3.9799165434494563</v>
      </c>
      <c r="E134">
        <f t="shared" si="9"/>
        <v>6.467364383105366</v>
      </c>
    </row>
    <row r="135" spans="1:5" x14ac:dyDescent="0.35">
      <c r="A135" t="s">
        <v>134</v>
      </c>
      <c r="C135">
        <v>2.4151694965754702</v>
      </c>
      <c r="D135">
        <f xml:space="preserve"> C135*1.6</f>
        <v>3.8642711945207524</v>
      </c>
      <c r="E135">
        <f t="shared" si="9"/>
        <v>6.279440691096223</v>
      </c>
    </row>
    <row r="136" spans="1:5" x14ac:dyDescent="0.35">
      <c r="A136" t="s">
        <v>135</v>
      </c>
      <c r="C136">
        <v>2.4339236447544201</v>
      </c>
      <c r="D136">
        <f xml:space="preserve"> C136*1.55</f>
        <v>3.7725816493693514</v>
      </c>
      <c r="E136">
        <f t="shared" si="9"/>
        <v>6.2065052941237715</v>
      </c>
    </row>
    <row r="137" spans="1:5" x14ac:dyDescent="0.35">
      <c r="A137" t="s">
        <v>136</v>
      </c>
      <c r="C137">
        <v>2.5465865539026802</v>
      </c>
      <c r="D137">
        <f xml:space="preserve"> C137*1.5</f>
        <v>3.8198798308540205</v>
      </c>
      <c r="E137">
        <f t="shared" si="9"/>
        <v>6.3664663847567002</v>
      </c>
    </row>
    <row r="138" spans="1:5" x14ac:dyDescent="0.35">
      <c r="A138" t="s">
        <v>137</v>
      </c>
      <c r="C138">
        <v>2.65824037467811</v>
      </c>
      <c r="D138">
        <f xml:space="preserve"> C138*1.5</f>
        <v>3.987360562017165</v>
      </c>
      <c r="E138">
        <f t="shared" si="9"/>
        <v>6.6456009366952751</v>
      </c>
    </row>
    <row r="139" spans="1:5" x14ac:dyDescent="0.35">
      <c r="A139" t="s">
        <v>138</v>
      </c>
      <c r="C139">
        <v>2.7474889647045599</v>
      </c>
      <c r="D139">
        <f xml:space="preserve"> C139*1.5</f>
        <v>4.1212334470568397</v>
      </c>
      <c r="E139">
        <f t="shared" si="9"/>
        <v>6.8687224117614001</v>
      </c>
    </row>
    <row r="140" spans="1:5" x14ac:dyDescent="0.35">
      <c r="A140" t="s">
        <v>139</v>
      </c>
      <c r="C140">
        <v>2.6127555673688398</v>
      </c>
      <c r="D140">
        <f>C140*1.4</f>
        <v>3.6578577943163757</v>
      </c>
      <c r="E140">
        <f t="shared" si="9"/>
        <v>6.270613361685216</v>
      </c>
    </row>
    <row r="141" spans="1:5" x14ac:dyDescent="0.35">
      <c r="A141" t="s">
        <v>140</v>
      </c>
      <c r="C141">
        <v>2.6062345075576601</v>
      </c>
      <c r="D141">
        <f xml:space="preserve"> C141*1.3</f>
        <v>3.3881048598249581</v>
      </c>
      <c r="E141">
        <f t="shared" si="9"/>
        <v>5.9943393673826186</v>
      </c>
    </row>
    <row r="142" spans="1:5" x14ac:dyDescent="0.35">
      <c r="A142" t="s">
        <v>141</v>
      </c>
      <c r="C142">
        <v>2.4303431592639799</v>
      </c>
      <c r="D142">
        <f xml:space="preserve"> C142*1.2</f>
        <v>2.9164117911167757</v>
      </c>
      <c r="E142">
        <f t="shared" si="9"/>
        <v>5.3467549503807561</v>
      </c>
    </row>
    <row r="143" spans="1:5" x14ac:dyDescent="0.35">
      <c r="A143" t="s">
        <v>142</v>
      </c>
      <c r="C143">
        <v>2.3255864505771999</v>
      </c>
      <c r="D143">
        <f xml:space="preserve"> C143*1.1</f>
        <v>2.5581450956349201</v>
      </c>
      <c r="E143">
        <f xml:space="preserve"> C143+D143</f>
        <v>4.88373154621212</v>
      </c>
    </row>
    <row r="144" spans="1:5" x14ac:dyDescent="0.35">
      <c r="A144" t="s">
        <v>143</v>
      </c>
      <c r="C144">
        <v>2.2177744780733302</v>
      </c>
      <c r="D144">
        <f xml:space="preserve"> C144*1</f>
        <v>2.2177744780733302</v>
      </c>
      <c r="E144">
        <f t="shared" ref="E144:E150" si="10" xml:space="preserve"> C144+D144</f>
        <v>4.4355489561466603</v>
      </c>
    </row>
    <row r="145" spans="1:5" x14ac:dyDescent="0.35">
      <c r="A145" t="s">
        <v>144</v>
      </c>
      <c r="C145">
        <v>2.2959156081727699</v>
      </c>
      <c r="D145">
        <f xml:space="preserve"> C145*0.9</f>
        <v>2.0663240473554931</v>
      </c>
      <c r="E145">
        <f t="shared" si="10"/>
        <v>4.3622396555282634</v>
      </c>
    </row>
    <row r="146" spans="1:5" x14ac:dyDescent="0.35">
      <c r="A146" t="s">
        <v>145</v>
      </c>
      <c r="C146">
        <v>2.29348004338416</v>
      </c>
      <c r="D146">
        <f xml:space="preserve"> C146*0.82</f>
        <v>1.8806536355750112</v>
      </c>
      <c r="E146">
        <f t="shared" si="10"/>
        <v>4.174133678959171</v>
      </c>
    </row>
    <row r="147" spans="1:5" x14ac:dyDescent="0.35">
      <c r="A147" t="s">
        <v>146</v>
      </c>
      <c r="C147">
        <v>2.18111401519932</v>
      </c>
      <c r="D147">
        <f xml:space="preserve"> C147*0.8</f>
        <v>1.7448912121594562</v>
      </c>
      <c r="E147">
        <f t="shared" si="10"/>
        <v>3.9260052273587762</v>
      </c>
    </row>
    <row r="148" spans="1:5" x14ac:dyDescent="0.35">
      <c r="A148" t="s">
        <v>147</v>
      </c>
      <c r="C148">
        <v>2.1774556331648598</v>
      </c>
      <c r="D148">
        <f>C148*0.69</f>
        <v>1.5024443868837531</v>
      </c>
      <c r="E148">
        <f t="shared" si="10"/>
        <v>3.6799000200486129</v>
      </c>
    </row>
    <row r="149" spans="1:5" x14ac:dyDescent="0.35">
      <c r="A149" t="s">
        <v>148</v>
      </c>
      <c r="C149">
        <v>2.2802963874707101</v>
      </c>
      <c r="D149">
        <f xml:space="preserve"> C149*0.55</f>
        <v>1.2541630131088906</v>
      </c>
      <c r="E149">
        <f t="shared" si="10"/>
        <v>3.5344594005796006</v>
      </c>
    </row>
    <row r="150" spans="1:5" x14ac:dyDescent="0.35">
      <c r="A150" t="s">
        <v>149</v>
      </c>
      <c r="C150">
        <v>2.5511331708454801</v>
      </c>
      <c r="D150">
        <f xml:space="preserve"> C150*0.5</f>
        <v>1.27556658542274</v>
      </c>
      <c r="E150">
        <f t="shared" si="10"/>
        <v>3.8266997562682201</v>
      </c>
    </row>
    <row r="151" spans="1:5" x14ac:dyDescent="0.35">
      <c r="A151" t="s">
        <v>150</v>
      </c>
      <c r="C151">
        <v>2.4955725518142802</v>
      </c>
      <c r="D151">
        <f>C151*0.43</f>
        <v>1.0730961972801405</v>
      </c>
      <c r="E151">
        <f>C151+D151</f>
        <v>3.5686687490944209</v>
      </c>
    </row>
    <row r="152" spans="1:5" x14ac:dyDescent="0.35">
      <c r="A152" t="s">
        <v>151</v>
      </c>
      <c r="C152">
        <v>2.5386364892889501</v>
      </c>
      <c r="D152">
        <f xml:space="preserve"> C152*0.38</f>
        <v>0.9646818659298011</v>
      </c>
      <c r="E152">
        <f>C152+D152</f>
        <v>3.5033183552187515</v>
      </c>
    </row>
    <row r="153" spans="1:5" x14ac:dyDescent="0.35">
      <c r="A153" t="s">
        <v>152</v>
      </c>
      <c r="C153">
        <v>2.5247025590066499</v>
      </c>
      <c r="D153">
        <f>C153*0.33</f>
        <v>0.83315184447219448</v>
      </c>
      <c r="E153">
        <f>D153+C153</f>
        <v>3.3578544034788442</v>
      </c>
    </row>
    <row r="154" spans="1:5" x14ac:dyDescent="0.35">
      <c r="A154" t="s">
        <v>153</v>
      </c>
      <c r="C154">
        <v>2.4545840423665202</v>
      </c>
      <c r="D154">
        <f xml:space="preserve"> C154*0.31</f>
        <v>0.76092105313362124</v>
      </c>
      <c r="E154">
        <f t="shared" ref="E154:E166" si="11">D154+C154</f>
        <v>3.2155050955001414</v>
      </c>
    </row>
    <row r="155" spans="1:5" x14ac:dyDescent="0.35">
      <c r="A155" t="s">
        <v>154</v>
      </c>
      <c r="C155">
        <v>2.35448694338411</v>
      </c>
      <c r="D155">
        <f xml:space="preserve"> C155*0.29</f>
        <v>0.6828012135813919</v>
      </c>
      <c r="E155">
        <f t="shared" si="11"/>
        <v>3.0372881569655021</v>
      </c>
    </row>
    <row r="156" spans="1:5" x14ac:dyDescent="0.35">
      <c r="A156" t="s">
        <v>155</v>
      </c>
      <c r="C156">
        <v>2.16478968132675</v>
      </c>
      <c r="D156">
        <f>C156*0.25</f>
        <v>0.5411974203316875</v>
      </c>
      <c r="E156">
        <f t="shared" si="11"/>
        <v>2.7059871016584376</v>
      </c>
    </row>
    <row r="157" spans="1:5" x14ac:dyDescent="0.35">
      <c r="A157" t="s">
        <v>156</v>
      </c>
      <c r="C157">
        <v>2.12453678162837</v>
      </c>
      <c r="D157">
        <f xml:space="preserve"> C157*0.23</f>
        <v>0.48864345977452511</v>
      </c>
      <c r="E157">
        <f t="shared" si="11"/>
        <v>2.6131802414028953</v>
      </c>
    </row>
    <row r="158" spans="1:5" x14ac:dyDescent="0.35">
      <c r="A158" t="s">
        <v>157</v>
      </c>
      <c r="C158">
        <v>2.1223062112534801</v>
      </c>
      <c r="D158">
        <f xml:space="preserve"> C158*0.21</f>
        <v>0.44568430436323081</v>
      </c>
      <c r="E158">
        <f t="shared" si="11"/>
        <v>2.5679905156167111</v>
      </c>
    </row>
    <row r="159" spans="1:5" x14ac:dyDescent="0.35">
      <c r="A159" t="s">
        <v>158</v>
      </c>
      <c r="C159">
        <v>2.2516549596687501</v>
      </c>
      <c r="D159">
        <f xml:space="preserve"> C159*0.19</f>
        <v>0.42781444233706251</v>
      </c>
      <c r="E159">
        <f t="shared" si="11"/>
        <v>2.6794694020058127</v>
      </c>
    </row>
    <row r="160" spans="1:5" x14ac:dyDescent="0.35">
      <c r="A160" t="s">
        <v>159</v>
      </c>
      <c r="C160">
        <v>2.2368302758965299</v>
      </c>
      <c r="D160">
        <f xml:space="preserve"> C160*0.17</f>
        <v>0.38026114690241014</v>
      </c>
      <c r="E160">
        <f t="shared" si="11"/>
        <v>2.6170914227989401</v>
      </c>
    </row>
    <row r="161" spans="1:5" x14ac:dyDescent="0.35">
      <c r="A161" t="s">
        <v>160</v>
      </c>
      <c r="B161">
        <v>2.32610355749999</v>
      </c>
      <c r="C161">
        <v>2.32610355749999</v>
      </c>
      <c r="D161">
        <f xml:space="preserve"> C161*0.15</f>
        <v>0.3489155336249985</v>
      </c>
      <c r="E161">
        <f t="shared" si="11"/>
        <v>2.6750190911249883</v>
      </c>
    </row>
    <row r="162" spans="1:5" x14ac:dyDescent="0.35">
      <c r="A162" t="s">
        <v>161</v>
      </c>
      <c r="C162">
        <v>2.0813667960052298</v>
      </c>
      <c r="D162">
        <f xml:space="preserve"> C162*0.14</f>
        <v>0.29139135144073219</v>
      </c>
      <c r="E162">
        <f t="shared" si="11"/>
        <v>2.3727581474459618</v>
      </c>
    </row>
    <row r="163" spans="1:5" x14ac:dyDescent="0.35">
      <c r="A163" t="s">
        <v>162</v>
      </c>
      <c r="C163">
        <v>1.96252607096264</v>
      </c>
      <c r="D163">
        <f xml:space="preserve"> C163*0.14</f>
        <v>0.27475364993476964</v>
      </c>
      <c r="E163">
        <f t="shared" si="11"/>
        <v>2.2372797208974098</v>
      </c>
    </row>
    <row r="164" spans="1:5" x14ac:dyDescent="0.35">
      <c r="A164" t="s">
        <v>163</v>
      </c>
      <c r="C164">
        <v>1.78568135442655</v>
      </c>
      <c r="D164">
        <f xml:space="preserve"> C164*0.13</f>
        <v>0.23213857607545149</v>
      </c>
      <c r="E164">
        <f t="shared" si="11"/>
        <v>2.0178199305020015</v>
      </c>
    </row>
    <row r="165" spans="1:5" x14ac:dyDescent="0.35">
      <c r="A165" t="s">
        <v>164</v>
      </c>
      <c r="C165">
        <v>1.90018688954556</v>
      </c>
      <c r="D165">
        <f xml:space="preserve"> C165*0.12</f>
        <v>0.22802242674546719</v>
      </c>
      <c r="E165">
        <f t="shared" si="11"/>
        <v>2.1282093162910272</v>
      </c>
    </row>
    <row r="166" spans="1:5" x14ac:dyDescent="0.35">
      <c r="A166" t="s">
        <v>165</v>
      </c>
      <c r="C166">
        <v>2.0805655535689902</v>
      </c>
      <c r="D166">
        <f xml:space="preserve"> C166*0.12</f>
        <v>0.24966786642827882</v>
      </c>
      <c r="E166">
        <f t="shared" si="11"/>
        <v>2.3302334199972692</v>
      </c>
    </row>
    <row r="167" spans="1:5" x14ac:dyDescent="0.35">
      <c r="A167" t="s">
        <v>166</v>
      </c>
      <c r="C167">
        <v>2.1546644968562898</v>
      </c>
      <c r="D167">
        <f xml:space="preserve"> C167*0.11</f>
        <v>0.23701309465419187</v>
      </c>
      <c r="E167">
        <f xml:space="preserve"> C167+D167</f>
        <v>2.3916775915104815</v>
      </c>
    </row>
    <row r="168" spans="1:5" x14ac:dyDescent="0.35">
      <c r="A168" t="s">
        <v>167</v>
      </c>
      <c r="C168">
        <v>1.9939014989758299</v>
      </c>
      <c r="D168">
        <f xml:space="preserve"> C168*0.11</f>
        <v>0.2193291648873413</v>
      </c>
      <c r="E168">
        <f t="shared" ref="E168:E202" si="12" xml:space="preserve"> C168+D168</f>
        <v>2.2132306638631714</v>
      </c>
    </row>
    <row r="169" spans="1:5" x14ac:dyDescent="0.35">
      <c r="A169" t="s">
        <v>168</v>
      </c>
      <c r="C169">
        <v>1.84474404233822</v>
      </c>
      <c r="D169">
        <f xml:space="preserve"> C169*0.09</f>
        <v>0.1660269638104398</v>
      </c>
      <c r="E169">
        <f t="shared" si="12"/>
        <v>2.0107710061486599</v>
      </c>
    </row>
    <row r="170" spans="1:5" x14ac:dyDescent="0.35">
      <c r="A170" t="s">
        <v>169</v>
      </c>
      <c r="C170">
        <v>1.6812733552307499</v>
      </c>
      <c r="D170">
        <f xml:space="preserve"> C170*0.07</f>
        <v>0.11768913486615251</v>
      </c>
      <c r="E170">
        <f t="shared" si="12"/>
        <v>1.7989624900969026</v>
      </c>
    </row>
    <row r="171" spans="1:5" x14ac:dyDescent="0.35">
      <c r="A171" t="s">
        <v>170</v>
      </c>
      <c r="C171">
        <v>1.8432366368303801</v>
      </c>
      <c r="D171">
        <f>C171*0.05</f>
        <v>9.2161831841519007E-2</v>
      </c>
      <c r="E171">
        <f t="shared" si="12"/>
        <v>1.935398468671899</v>
      </c>
    </row>
    <row r="172" spans="1:5" x14ac:dyDescent="0.35">
      <c r="A172" t="s">
        <v>171</v>
      </c>
      <c r="C172">
        <v>1.7987225192220999</v>
      </c>
      <c r="D172">
        <f xml:space="preserve"> C172*0.04</f>
        <v>7.1948900768883994E-2</v>
      </c>
      <c r="E172">
        <f t="shared" si="12"/>
        <v>1.870671419990984</v>
      </c>
    </row>
    <row r="173" spans="1:5" x14ac:dyDescent="0.35">
      <c r="A173" t="s">
        <v>172</v>
      </c>
      <c r="C173">
        <v>1.76085788415332</v>
      </c>
      <c r="D173">
        <f xml:space="preserve"> C173*0.04</f>
        <v>7.0434315366132802E-2</v>
      </c>
      <c r="E173">
        <f t="shared" si="12"/>
        <v>1.8312921995194529</v>
      </c>
    </row>
    <row r="174" spans="1:5" x14ac:dyDescent="0.35">
      <c r="A174" t="s">
        <v>173</v>
      </c>
      <c r="C174">
        <v>1.69285765808176</v>
      </c>
      <c r="D174">
        <f xml:space="preserve"> C174*0.03</f>
        <v>5.0785729742452802E-2</v>
      </c>
      <c r="E174">
        <f t="shared" si="12"/>
        <v>1.7436433878242128</v>
      </c>
    </row>
    <row r="175" spans="1:5" x14ac:dyDescent="0.35">
      <c r="A175" t="s">
        <v>174</v>
      </c>
      <c r="C175">
        <v>1.69285765808176</v>
      </c>
      <c r="D175">
        <f xml:space="preserve"> C175*0.02</f>
        <v>3.3857153161635199E-2</v>
      </c>
      <c r="E175">
        <f t="shared" si="12"/>
        <v>1.7267148112433952</v>
      </c>
    </row>
    <row r="176" spans="1:5" x14ac:dyDescent="0.35">
      <c r="A176" t="s">
        <v>175</v>
      </c>
      <c r="C176">
        <v>1.69285765808176</v>
      </c>
      <c r="D176">
        <f xml:space="preserve"> C176*0.01</f>
        <v>1.69285765808176E-2</v>
      </c>
      <c r="E176">
        <f t="shared" si="12"/>
        <v>1.7097862346625776</v>
      </c>
    </row>
    <row r="177" spans="1:5" x14ac:dyDescent="0.35">
      <c r="A177" t="s">
        <v>176</v>
      </c>
      <c r="C177">
        <v>1.69285765808176</v>
      </c>
      <c r="D177">
        <f xml:space="preserve"> C177*0.01</f>
        <v>1.69285765808176E-2</v>
      </c>
      <c r="E177">
        <f t="shared" si="12"/>
        <v>1.7097862346625776</v>
      </c>
    </row>
    <row r="178" spans="1:5" x14ac:dyDescent="0.35">
      <c r="A178" t="s">
        <v>177</v>
      </c>
      <c r="C178">
        <v>1.69285765808176</v>
      </c>
      <c r="D178">
        <f xml:space="preserve"> C178*0</f>
        <v>0</v>
      </c>
      <c r="E178">
        <f t="shared" si="12"/>
        <v>1.69285765808176</v>
      </c>
    </row>
    <row r="179" spans="1:5" x14ac:dyDescent="0.35">
      <c r="A179" t="s">
        <v>178</v>
      </c>
      <c r="C179">
        <v>1.69285765808176</v>
      </c>
      <c r="D179">
        <v>0</v>
      </c>
      <c r="E179">
        <f t="shared" si="12"/>
        <v>1.69285765808176</v>
      </c>
    </row>
    <row r="180" spans="1:5" x14ac:dyDescent="0.35">
      <c r="A180" t="s">
        <v>179</v>
      </c>
      <c r="C180">
        <v>1.69285765808176</v>
      </c>
      <c r="D180">
        <v>0</v>
      </c>
      <c r="E180">
        <f t="shared" si="12"/>
        <v>1.69285765808176</v>
      </c>
    </row>
    <row r="181" spans="1:5" x14ac:dyDescent="0.35">
      <c r="A181" t="s">
        <v>180</v>
      </c>
      <c r="C181">
        <v>1.69285765808176</v>
      </c>
      <c r="D181">
        <v>0</v>
      </c>
      <c r="E181">
        <f t="shared" si="12"/>
        <v>1.69285765808176</v>
      </c>
    </row>
    <row r="182" spans="1:5" x14ac:dyDescent="0.35">
      <c r="A182" t="s">
        <v>181</v>
      </c>
      <c r="C182">
        <v>1.69285765808176</v>
      </c>
      <c r="D182">
        <v>0</v>
      </c>
      <c r="E182">
        <f t="shared" si="12"/>
        <v>1.69285765808176</v>
      </c>
    </row>
    <row r="183" spans="1:5" x14ac:dyDescent="0.35">
      <c r="A183" t="s">
        <v>182</v>
      </c>
      <c r="C183">
        <v>1.69285765808176</v>
      </c>
      <c r="D183">
        <v>0</v>
      </c>
      <c r="E183">
        <f t="shared" si="12"/>
        <v>1.69285765808176</v>
      </c>
    </row>
    <row r="184" spans="1:5" x14ac:dyDescent="0.35">
      <c r="A184" t="s">
        <v>183</v>
      </c>
      <c r="C184">
        <v>1.69285765808176</v>
      </c>
      <c r="D184">
        <v>0</v>
      </c>
      <c r="E184">
        <f t="shared" si="12"/>
        <v>1.69285765808176</v>
      </c>
    </row>
    <row r="185" spans="1:5" x14ac:dyDescent="0.35">
      <c r="A185" t="s">
        <v>184</v>
      </c>
      <c r="C185">
        <v>1.69285765808176</v>
      </c>
      <c r="D185">
        <v>0</v>
      </c>
      <c r="E185">
        <f t="shared" si="12"/>
        <v>1.69285765808176</v>
      </c>
    </row>
    <row r="186" spans="1:5" x14ac:dyDescent="0.35">
      <c r="A186" t="s">
        <v>185</v>
      </c>
      <c r="C186">
        <v>1.69285765808176</v>
      </c>
      <c r="D186">
        <v>0</v>
      </c>
      <c r="E186">
        <f t="shared" si="12"/>
        <v>1.69285765808176</v>
      </c>
    </row>
    <row r="187" spans="1:5" x14ac:dyDescent="0.35">
      <c r="A187" t="s">
        <v>186</v>
      </c>
      <c r="C187">
        <v>1.69285765808176</v>
      </c>
      <c r="D187">
        <v>0</v>
      </c>
      <c r="E187">
        <f t="shared" si="12"/>
        <v>1.69285765808176</v>
      </c>
    </row>
    <row r="188" spans="1:5" x14ac:dyDescent="0.35">
      <c r="A188" t="s">
        <v>187</v>
      </c>
      <c r="C188">
        <v>1.69285765808176</v>
      </c>
      <c r="D188">
        <v>0</v>
      </c>
      <c r="E188">
        <f t="shared" si="12"/>
        <v>1.69285765808176</v>
      </c>
    </row>
    <row r="189" spans="1:5" x14ac:dyDescent="0.35">
      <c r="A189" t="s">
        <v>188</v>
      </c>
      <c r="C189">
        <v>1.69285765808176</v>
      </c>
      <c r="D189">
        <v>0</v>
      </c>
      <c r="E189">
        <f t="shared" si="12"/>
        <v>1.69285765808176</v>
      </c>
    </row>
    <row r="190" spans="1:5" x14ac:dyDescent="0.35">
      <c r="A190" t="s">
        <v>189</v>
      </c>
      <c r="C190">
        <v>1.69285765808176</v>
      </c>
      <c r="D190">
        <v>0</v>
      </c>
      <c r="E190">
        <f t="shared" si="12"/>
        <v>1.69285765808176</v>
      </c>
    </row>
    <row r="191" spans="1:5" x14ac:dyDescent="0.35">
      <c r="A191" t="s">
        <v>190</v>
      </c>
      <c r="C191">
        <v>1.69285765808176</v>
      </c>
      <c r="D191">
        <v>0</v>
      </c>
      <c r="E191">
        <f t="shared" si="12"/>
        <v>1.69285765808176</v>
      </c>
    </row>
    <row r="192" spans="1:5" x14ac:dyDescent="0.35">
      <c r="A192" t="s">
        <v>191</v>
      </c>
      <c r="C192">
        <v>1.69285765808176</v>
      </c>
      <c r="D192">
        <v>0</v>
      </c>
      <c r="E192">
        <f t="shared" si="12"/>
        <v>1.69285765808176</v>
      </c>
    </row>
    <row r="193" spans="1:5" x14ac:dyDescent="0.35">
      <c r="A193" t="s">
        <v>192</v>
      </c>
      <c r="C193">
        <v>1.69285765808176</v>
      </c>
      <c r="D193">
        <v>0</v>
      </c>
      <c r="E193">
        <f t="shared" si="12"/>
        <v>1.69285765808176</v>
      </c>
    </row>
    <row r="194" spans="1:5" x14ac:dyDescent="0.35">
      <c r="A194" t="s">
        <v>193</v>
      </c>
      <c r="C194">
        <v>1.69285765808176</v>
      </c>
      <c r="D194">
        <v>0</v>
      </c>
      <c r="E194">
        <f t="shared" si="12"/>
        <v>1.69285765808176</v>
      </c>
    </row>
    <row r="195" spans="1:5" x14ac:dyDescent="0.35">
      <c r="A195" t="s">
        <v>194</v>
      </c>
      <c r="C195">
        <v>1.69285765808176</v>
      </c>
      <c r="D195">
        <v>0</v>
      </c>
      <c r="E195">
        <f t="shared" si="12"/>
        <v>1.69285765808176</v>
      </c>
    </row>
    <row r="196" spans="1:5" x14ac:dyDescent="0.35">
      <c r="A196" t="s">
        <v>195</v>
      </c>
      <c r="C196">
        <v>1.69285765808176</v>
      </c>
      <c r="D196">
        <v>0</v>
      </c>
      <c r="E196">
        <f t="shared" si="12"/>
        <v>1.69285765808176</v>
      </c>
    </row>
    <row r="197" spans="1:5" x14ac:dyDescent="0.35">
      <c r="A197" t="s">
        <v>196</v>
      </c>
      <c r="C197">
        <v>1.69285765808176</v>
      </c>
      <c r="D197">
        <v>0</v>
      </c>
      <c r="E197">
        <f t="shared" si="12"/>
        <v>1.69285765808176</v>
      </c>
    </row>
    <row r="198" spans="1:5" x14ac:dyDescent="0.35">
      <c r="A198" t="s">
        <v>197</v>
      </c>
      <c r="C198">
        <v>1.69285765808176</v>
      </c>
      <c r="D198">
        <v>0</v>
      </c>
      <c r="E198">
        <f t="shared" si="12"/>
        <v>1.69285765808176</v>
      </c>
    </row>
    <row r="199" spans="1:5" x14ac:dyDescent="0.35">
      <c r="A199" t="s">
        <v>198</v>
      </c>
      <c r="C199">
        <v>1.69285765808176</v>
      </c>
      <c r="D199">
        <v>0</v>
      </c>
      <c r="E199">
        <f t="shared" si="12"/>
        <v>1.69285765808176</v>
      </c>
    </row>
    <row r="200" spans="1:5" x14ac:dyDescent="0.35">
      <c r="A200" t="s">
        <v>199</v>
      </c>
      <c r="C200">
        <v>1.69285765808176</v>
      </c>
      <c r="D200">
        <v>0</v>
      </c>
      <c r="E200">
        <f t="shared" si="12"/>
        <v>1.69285765808176</v>
      </c>
    </row>
    <row r="201" spans="1:5" x14ac:dyDescent="0.35">
      <c r="A201" t="s">
        <v>200</v>
      </c>
      <c r="C201">
        <v>1.69285765808176</v>
      </c>
      <c r="D201">
        <v>0</v>
      </c>
      <c r="E201">
        <f t="shared" si="12"/>
        <v>1.69285765808176</v>
      </c>
    </row>
    <row r="202" spans="1:5" x14ac:dyDescent="0.35">
      <c r="A202" t="s">
        <v>201</v>
      </c>
      <c r="C202">
        <v>1.69285765808176</v>
      </c>
      <c r="D202">
        <v>0</v>
      </c>
      <c r="E202">
        <f t="shared" si="12"/>
        <v>1.69285765808176</v>
      </c>
    </row>
    <row r="203" spans="1:5" x14ac:dyDescent="0.35">
      <c r="A203" t="s">
        <v>202</v>
      </c>
      <c r="C203">
        <v>0</v>
      </c>
      <c r="D203">
        <v>0</v>
      </c>
      <c r="E203">
        <f t="shared" ref="E203:E237" si="13">C203+D203</f>
        <v>0</v>
      </c>
    </row>
    <row r="204" spans="1:5" x14ac:dyDescent="0.35">
      <c r="A204" t="s">
        <v>203</v>
      </c>
      <c r="C204">
        <v>0</v>
      </c>
      <c r="D204">
        <v>0</v>
      </c>
      <c r="E204">
        <f t="shared" si="13"/>
        <v>0</v>
      </c>
    </row>
    <row r="205" spans="1:5" x14ac:dyDescent="0.35">
      <c r="A205" t="s">
        <v>204</v>
      </c>
      <c r="C205">
        <v>0</v>
      </c>
      <c r="D205">
        <v>0</v>
      </c>
      <c r="E205">
        <f t="shared" si="13"/>
        <v>0</v>
      </c>
    </row>
    <row r="206" spans="1:5" x14ac:dyDescent="0.35">
      <c r="A206" t="s">
        <v>205</v>
      </c>
      <c r="C206">
        <v>0</v>
      </c>
      <c r="D206">
        <v>0</v>
      </c>
      <c r="E206">
        <f t="shared" si="13"/>
        <v>0</v>
      </c>
    </row>
    <row r="207" spans="1:5" x14ac:dyDescent="0.35">
      <c r="A207" t="s">
        <v>206</v>
      </c>
      <c r="C207">
        <v>0</v>
      </c>
      <c r="D207">
        <v>0</v>
      </c>
      <c r="E207">
        <f t="shared" si="13"/>
        <v>0</v>
      </c>
    </row>
    <row r="208" spans="1:5" x14ac:dyDescent="0.35">
      <c r="A208" t="s">
        <v>207</v>
      </c>
      <c r="C208">
        <v>0</v>
      </c>
      <c r="D208">
        <v>0</v>
      </c>
      <c r="E208">
        <f t="shared" si="13"/>
        <v>0</v>
      </c>
    </row>
    <row r="209" spans="1:5" x14ac:dyDescent="0.35">
      <c r="A209" t="s">
        <v>208</v>
      </c>
      <c r="C209">
        <v>0</v>
      </c>
      <c r="D209">
        <v>0</v>
      </c>
      <c r="E209">
        <f t="shared" si="13"/>
        <v>0</v>
      </c>
    </row>
    <row r="210" spans="1:5" x14ac:dyDescent="0.35">
      <c r="A210" t="s">
        <v>209</v>
      </c>
      <c r="C210">
        <v>0</v>
      </c>
      <c r="D210">
        <v>0</v>
      </c>
      <c r="E210">
        <f t="shared" si="13"/>
        <v>0</v>
      </c>
    </row>
    <row r="211" spans="1:5" x14ac:dyDescent="0.35">
      <c r="A211" t="s">
        <v>210</v>
      </c>
      <c r="C211">
        <v>0</v>
      </c>
      <c r="D211">
        <v>0</v>
      </c>
      <c r="E211">
        <f t="shared" si="13"/>
        <v>0</v>
      </c>
    </row>
    <row r="212" spans="1:5" x14ac:dyDescent="0.35">
      <c r="A212" t="s">
        <v>211</v>
      </c>
      <c r="C212">
        <v>0</v>
      </c>
      <c r="D212">
        <v>0</v>
      </c>
      <c r="E212">
        <f t="shared" si="13"/>
        <v>0</v>
      </c>
    </row>
    <row r="213" spans="1:5" x14ac:dyDescent="0.35">
      <c r="A213" t="s">
        <v>212</v>
      </c>
      <c r="C213">
        <v>0</v>
      </c>
      <c r="D213">
        <v>0</v>
      </c>
      <c r="E213">
        <f t="shared" si="13"/>
        <v>0</v>
      </c>
    </row>
    <row r="214" spans="1:5" x14ac:dyDescent="0.35">
      <c r="A214" t="s">
        <v>213</v>
      </c>
      <c r="C214">
        <v>0</v>
      </c>
      <c r="D214">
        <v>0</v>
      </c>
      <c r="E214">
        <f t="shared" si="13"/>
        <v>0</v>
      </c>
    </row>
    <row r="215" spans="1:5" x14ac:dyDescent="0.35">
      <c r="A215" t="s">
        <v>214</v>
      </c>
      <c r="C215">
        <v>0</v>
      </c>
      <c r="D215">
        <v>0</v>
      </c>
      <c r="E215">
        <f t="shared" si="13"/>
        <v>0</v>
      </c>
    </row>
    <row r="216" spans="1:5" x14ac:dyDescent="0.35">
      <c r="A216" t="s">
        <v>215</v>
      </c>
      <c r="C216">
        <v>0</v>
      </c>
      <c r="D216">
        <v>0</v>
      </c>
      <c r="E216">
        <f t="shared" si="13"/>
        <v>0</v>
      </c>
    </row>
    <row r="217" spans="1:5" x14ac:dyDescent="0.35">
      <c r="A217" t="s">
        <v>216</v>
      </c>
      <c r="C217">
        <v>0</v>
      </c>
      <c r="D217">
        <v>0</v>
      </c>
      <c r="E217">
        <f t="shared" si="13"/>
        <v>0</v>
      </c>
    </row>
    <row r="218" spans="1:5" x14ac:dyDescent="0.35">
      <c r="A218" t="s">
        <v>217</v>
      </c>
      <c r="C218">
        <v>0</v>
      </c>
      <c r="D218">
        <v>0</v>
      </c>
      <c r="E218">
        <f t="shared" si="13"/>
        <v>0</v>
      </c>
    </row>
    <row r="219" spans="1:5" x14ac:dyDescent="0.35">
      <c r="A219" t="s">
        <v>218</v>
      </c>
      <c r="C219">
        <v>0</v>
      </c>
      <c r="D219">
        <v>0</v>
      </c>
      <c r="E219">
        <f t="shared" si="13"/>
        <v>0</v>
      </c>
    </row>
    <row r="220" spans="1:5" x14ac:dyDescent="0.35">
      <c r="A220" t="s">
        <v>219</v>
      </c>
      <c r="C220">
        <v>0</v>
      </c>
      <c r="D220">
        <v>0</v>
      </c>
      <c r="E220">
        <f t="shared" si="13"/>
        <v>0</v>
      </c>
    </row>
    <row r="221" spans="1:5" x14ac:dyDescent="0.35">
      <c r="A221" t="s">
        <v>220</v>
      </c>
      <c r="C221">
        <v>0</v>
      </c>
      <c r="D221">
        <v>0</v>
      </c>
      <c r="E221">
        <f t="shared" si="13"/>
        <v>0</v>
      </c>
    </row>
    <row r="222" spans="1:5" x14ac:dyDescent="0.35">
      <c r="A222" t="s">
        <v>221</v>
      </c>
      <c r="C222">
        <v>0</v>
      </c>
      <c r="D222">
        <v>0</v>
      </c>
      <c r="E222">
        <f t="shared" si="13"/>
        <v>0</v>
      </c>
    </row>
    <row r="223" spans="1:5" x14ac:dyDescent="0.35">
      <c r="A223" t="s">
        <v>222</v>
      </c>
      <c r="C223">
        <v>0</v>
      </c>
      <c r="D223">
        <v>0</v>
      </c>
      <c r="E223">
        <f t="shared" si="13"/>
        <v>0</v>
      </c>
    </row>
    <row r="224" spans="1:5" x14ac:dyDescent="0.35">
      <c r="A224" t="s">
        <v>223</v>
      </c>
      <c r="C224">
        <v>0</v>
      </c>
      <c r="D224">
        <v>0</v>
      </c>
      <c r="E224">
        <f t="shared" si="13"/>
        <v>0</v>
      </c>
    </row>
    <row r="225" spans="1:5" x14ac:dyDescent="0.35">
      <c r="A225" t="s">
        <v>224</v>
      </c>
      <c r="C225">
        <v>0</v>
      </c>
      <c r="D225">
        <v>0</v>
      </c>
      <c r="E225">
        <f t="shared" si="13"/>
        <v>0</v>
      </c>
    </row>
    <row r="226" spans="1:5" x14ac:dyDescent="0.35">
      <c r="A226" t="s">
        <v>225</v>
      </c>
      <c r="C226">
        <v>0</v>
      </c>
      <c r="D226">
        <v>0</v>
      </c>
      <c r="E226">
        <f t="shared" si="13"/>
        <v>0</v>
      </c>
    </row>
    <row r="227" spans="1:5" x14ac:dyDescent="0.35">
      <c r="A227" t="s">
        <v>226</v>
      </c>
      <c r="C227">
        <v>0</v>
      </c>
      <c r="D227">
        <v>0</v>
      </c>
      <c r="E227">
        <f t="shared" si="13"/>
        <v>0</v>
      </c>
    </row>
    <row r="228" spans="1:5" x14ac:dyDescent="0.35">
      <c r="A228" t="s">
        <v>227</v>
      </c>
      <c r="C228">
        <v>0</v>
      </c>
      <c r="D228">
        <v>0</v>
      </c>
      <c r="E228">
        <f t="shared" si="13"/>
        <v>0</v>
      </c>
    </row>
    <row r="229" spans="1:5" x14ac:dyDescent="0.35">
      <c r="A229" t="s">
        <v>228</v>
      </c>
      <c r="C229">
        <v>0</v>
      </c>
      <c r="D229">
        <v>0</v>
      </c>
      <c r="E229">
        <f t="shared" si="13"/>
        <v>0</v>
      </c>
    </row>
    <row r="230" spans="1:5" x14ac:dyDescent="0.35">
      <c r="A230" t="s">
        <v>229</v>
      </c>
      <c r="C230">
        <v>0</v>
      </c>
      <c r="D230">
        <v>0</v>
      </c>
      <c r="E230">
        <f t="shared" si="13"/>
        <v>0</v>
      </c>
    </row>
    <row r="231" spans="1:5" x14ac:dyDescent="0.35">
      <c r="A231" t="s">
        <v>230</v>
      </c>
      <c r="C231">
        <v>0</v>
      </c>
      <c r="D231">
        <v>0</v>
      </c>
      <c r="E231">
        <f t="shared" si="13"/>
        <v>0</v>
      </c>
    </row>
    <row r="232" spans="1:5" x14ac:dyDescent="0.35">
      <c r="A232" t="s">
        <v>231</v>
      </c>
      <c r="C232">
        <v>0</v>
      </c>
      <c r="D232">
        <v>0</v>
      </c>
      <c r="E232">
        <f t="shared" si="13"/>
        <v>0</v>
      </c>
    </row>
    <row r="233" spans="1:5" x14ac:dyDescent="0.35">
      <c r="A233" t="s">
        <v>232</v>
      </c>
      <c r="C233">
        <v>0</v>
      </c>
      <c r="D233">
        <v>0</v>
      </c>
      <c r="E233">
        <f t="shared" si="13"/>
        <v>0</v>
      </c>
    </row>
    <row r="234" spans="1:5" x14ac:dyDescent="0.35">
      <c r="A234" t="s">
        <v>233</v>
      </c>
      <c r="C234">
        <v>0</v>
      </c>
      <c r="D234">
        <v>0</v>
      </c>
      <c r="E234">
        <f t="shared" si="13"/>
        <v>0</v>
      </c>
    </row>
    <row r="235" spans="1:5" x14ac:dyDescent="0.35">
      <c r="A235" t="s">
        <v>234</v>
      </c>
      <c r="C235">
        <v>0</v>
      </c>
      <c r="D235">
        <v>0</v>
      </c>
      <c r="E235">
        <f t="shared" si="13"/>
        <v>0</v>
      </c>
    </row>
    <row r="236" spans="1:5" x14ac:dyDescent="0.35">
      <c r="A236" t="s">
        <v>235</v>
      </c>
      <c r="C236">
        <v>0</v>
      </c>
      <c r="D236">
        <v>0</v>
      </c>
      <c r="E236">
        <f t="shared" si="13"/>
        <v>0</v>
      </c>
    </row>
    <row r="237" spans="1:5" x14ac:dyDescent="0.35">
      <c r="A237" t="s">
        <v>236</v>
      </c>
      <c r="C237">
        <v>0</v>
      </c>
      <c r="D237">
        <v>0</v>
      </c>
      <c r="E237">
        <f t="shared" si="13"/>
        <v>0</v>
      </c>
    </row>
    <row r="238" spans="1:5" x14ac:dyDescent="0.35">
      <c r="A238" t="s">
        <v>237</v>
      </c>
      <c r="C238">
        <v>0</v>
      </c>
      <c r="D238">
        <v>0</v>
      </c>
      <c r="E238">
        <f t="shared" ref="E238:E301" si="14">C238+D238</f>
        <v>0</v>
      </c>
    </row>
    <row r="239" spans="1:5" x14ac:dyDescent="0.35">
      <c r="A239" t="s">
        <v>238</v>
      </c>
      <c r="C239">
        <v>0</v>
      </c>
      <c r="D239">
        <v>0</v>
      </c>
      <c r="E239">
        <f t="shared" si="14"/>
        <v>0</v>
      </c>
    </row>
    <row r="240" spans="1:5" x14ac:dyDescent="0.35">
      <c r="A240" t="s">
        <v>239</v>
      </c>
      <c r="C240">
        <v>0</v>
      </c>
      <c r="D240">
        <v>0</v>
      </c>
      <c r="E240">
        <f t="shared" si="14"/>
        <v>0</v>
      </c>
    </row>
    <row r="241" spans="1:5" x14ac:dyDescent="0.35">
      <c r="A241" t="s">
        <v>240</v>
      </c>
      <c r="C241">
        <v>0</v>
      </c>
      <c r="D241">
        <v>0</v>
      </c>
      <c r="E241">
        <f t="shared" si="14"/>
        <v>0</v>
      </c>
    </row>
    <row r="242" spans="1:5" x14ac:dyDescent="0.35">
      <c r="A242" t="s">
        <v>241</v>
      </c>
      <c r="C242">
        <v>0</v>
      </c>
      <c r="D242">
        <v>0</v>
      </c>
      <c r="E242">
        <f t="shared" si="14"/>
        <v>0</v>
      </c>
    </row>
    <row r="243" spans="1:5" x14ac:dyDescent="0.35">
      <c r="A243" t="s">
        <v>242</v>
      </c>
      <c r="C243">
        <v>0</v>
      </c>
      <c r="D243">
        <v>0</v>
      </c>
      <c r="E243">
        <f t="shared" si="14"/>
        <v>0</v>
      </c>
    </row>
    <row r="244" spans="1:5" x14ac:dyDescent="0.35">
      <c r="A244" t="s">
        <v>243</v>
      </c>
      <c r="C244">
        <v>0</v>
      </c>
      <c r="D244">
        <v>0</v>
      </c>
      <c r="E244">
        <f t="shared" si="14"/>
        <v>0</v>
      </c>
    </row>
    <row r="245" spans="1:5" x14ac:dyDescent="0.35">
      <c r="A245" t="s">
        <v>244</v>
      </c>
      <c r="C245">
        <v>0</v>
      </c>
      <c r="D245">
        <v>0</v>
      </c>
      <c r="E245">
        <f t="shared" si="14"/>
        <v>0</v>
      </c>
    </row>
    <row r="246" spans="1:5" x14ac:dyDescent="0.35">
      <c r="A246" t="s">
        <v>245</v>
      </c>
      <c r="C246">
        <v>0</v>
      </c>
      <c r="D246">
        <v>0</v>
      </c>
      <c r="E246">
        <f t="shared" si="14"/>
        <v>0</v>
      </c>
    </row>
    <row r="247" spans="1:5" x14ac:dyDescent="0.35">
      <c r="A247" t="s">
        <v>246</v>
      </c>
      <c r="C247">
        <v>0</v>
      </c>
      <c r="D247">
        <v>0</v>
      </c>
      <c r="E247">
        <f t="shared" si="14"/>
        <v>0</v>
      </c>
    </row>
    <row r="248" spans="1:5" x14ac:dyDescent="0.35">
      <c r="A248" t="s">
        <v>247</v>
      </c>
      <c r="C248">
        <v>0</v>
      </c>
      <c r="D248">
        <v>0</v>
      </c>
      <c r="E248">
        <f t="shared" si="14"/>
        <v>0</v>
      </c>
    </row>
    <row r="249" spans="1:5" x14ac:dyDescent="0.35">
      <c r="A249" t="s">
        <v>248</v>
      </c>
      <c r="C249">
        <v>0</v>
      </c>
      <c r="D249">
        <v>0</v>
      </c>
      <c r="E249">
        <f t="shared" si="14"/>
        <v>0</v>
      </c>
    </row>
    <row r="250" spans="1:5" x14ac:dyDescent="0.35">
      <c r="A250" t="s">
        <v>249</v>
      </c>
      <c r="C250">
        <v>0</v>
      </c>
      <c r="D250">
        <v>0</v>
      </c>
      <c r="E250">
        <f t="shared" si="14"/>
        <v>0</v>
      </c>
    </row>
    <row r="251" spans="1:5" x14ac:dyDescent="0.35">
      <c r="A251" t="s">
        <v>250</v>
      </c>
      <c r="C251">
        <v>0</v>
      </c>
      <c r="D251">
        <v>0</v>
      </c>
      <c r="E251">
        <f t="shared" si="14"/>
        <v>0</v>
      </c>
    </row>
    <row r="252" spans="1:5" x14ac:dyDescent="0.35">
      <c r="A252" t="s">
        <v>251</v>
      </c>
      <c r="C252">
        <v>0</v>
      </c>
      <c r="D252">
        <v>0</v>
      </c>
      <c r="E252">
        <f t="shared" si="14"/>
        <v>0</v>
      </c>
    </row>
    <row r="253" spans="1:5" x14ac:dyDescent="0.35">
      <c r="A253" t="s">
        <v>252</v>
      </c>
      <c r="C253">
        <v>0</v>
      </c>
      <c r="D253">
        <v>0</v>
      </c>
      <c r="E253">
        <f t="shared" si="14"/>
        <v>0</v>
      </c>
    </row>
    <row r="254" spans="1:5" x14ac:dyDescent="0.35">
      <c r="A254" t="s">
        <v>253</v>
      </c>
      <c r="C254">
        <v>0</v>
      </c>
      <c r="D254">
        <v>0</v>
      </c>
      <c r="E254">
        <f t="shared" si="14"/>
        <v>0</v>
      </c>
    </row>
    <row r="255" spans="1:5" x14ac:dyDescent="0.35">
      <c r="A255" t="s">
        <v>254</v>
      </c>
      <c r="C255">
        <v>0</v>
      </c>
      <c r="D255">
        <v>0</v>
      </c>
      <c r="E255">
        <f t="shared" si="14"/>
        <v>0</v>
      </c>
    </row>
    <row r="256" spans="1:5" x14ac:dyDescent="0.35">
      <c r="A256" t="s">
        <v>255</v>
      </c>
      <c r="C256">
        <v>0</v>
      </c>
      <c r="D256">
        <v>0</v>
      </c>
      <c r="E256">
        <f t="shared" si="14"/>
        <v>0</v>
      </c>
    </row>
    <row r="257" spans="1:5" x14ac:dyDescent="0.35">
      <c r="A257" t="s">
        <v>256</v>
      </c>
      <c r="C257">
        <v>0</v>
      </c>
      <c r="D257">
        <v>0</v>
      </c>
      <c r="E257">
        <f t="shared" si="14"/>
        <v>0</v>
      </c>
    </row>
    <row r="258" spans="1:5" x14ac:dyDescent="0.35">
      <c r="A258" t="s">
        <v>257</v>
      </c>
      <c r="C258">
        <v>0</v>
      </c>
      <c r="D258">
        <v>0</v>
      </c>
      <c r="E258">
        <f t="shared" si="14"/>
        <v>0</v>
      </c>
    </row>
    <row r="259" spans="1:5" x14ac:dyDescent="0.35">
      <c r="A259" t="s">
        <v>258</v>
      </c>
      <c r="C259">
        <v>0</v>
      </c>
      <c r="D259">
        <v>0</v>
      </c>
      <c r="E259">
        <f t="shared" si="14"/>
        <v>0</v>
      </c>
    </row>
    <row r="260" spans="1:5" x14ac:dyDescent="0.35">
      <c r="A260" t="s">
        <v>259</v>
      </c>
      <c r="C260">
        <v>0</v>
      </c>
      <c r="D260">
        <v>0</v>
      </c>
      <c r="E260">
        <f t="shared" si="14"/>
        <v>0</v>
      </c>
    </row>
    <row r="261" spans="1:5" x14ac:dyDescent="0.35">
      <c r="A261" t="s">
        <v>260</v>
      </c>
      <c r="C261">
        <v>0</v>
      </c>
      <c r="D261">
        <v>0</v>
      </c>
      <c r="E261">
        <f t="shared" si="14"/>
        <v>0</v>
      </c>
    </row>
    <row r="262" spans="1:5" x14ac:dyDescent="0.35">
      <c r="A262" t="s">
        <v>261</v>
      </c>
      <c r="C262">
        <v>0</v>
      </c>
      <c r="D262">
        <v>0</v>
      </c>
      <c r="E262">
        <f t="shared" si="14"/>
        <v>0</v>
      </c>
    </row>
    <row r="263" spans="1:5" x14ac:dyDescent="0.35">
      <c r="A263" t="s">
        <v>262</v>
      </c>
      <c r="C263">
        <v>0</v>
      </c>
      <c r="D263">
        <v>0</v>
      </c>
      <c r="E263">
        <f t="shared" si="14"/>
        <v>0</v>
      </c>
    </row>
    <row r="264" spans="1:5" x14ac:dyDescent="0.35">
      <c r="A264" t="s">
        <v>263</v>
      </c>
      <c r="C264">
        <v>0</v>
      </c>
      <c r="D264">
        <v>0</v>
      </c>
      <c r="E264">
        <f t="shared" si="14"/>
        <v>0</v>
      </c>
    </row>
    <row r="265" spans="1:5" x14ac:dyDescent="0.35">
      <c r="A265" t="s">
        <v>264</v>
      </c>
      <c r="C265">
        <v>0</v>
      </c>
      <c r="D265">
        <v>0</v>
      </c>
      <c r="E265">
        <f t="shared" si="14"/>
        <v>0</v>
      </c>
    </row>
    <row r="266" spans="1:5" x14ac:dyDescent="0.35">
      <c r="A266" t="s">
        <v>265</v>
      </c>
      <c r="C266">
        <v>0</v>
      </c>
      <c r="D266">
        <v>0</v>
      </c>
      <c r="E266">
        <f t="shared" si="14"/>
        <v>0</v>
      </c>
    </row>
    <row r="267" spans="1:5" x14ac:dyDescent="0.35">
      <c r="A267" t="s">
        <v>266</v>
      </c>
      <c r="C267">
        <v>0</v>
      </c>
      <c r="D267">
        <v>0</v>
      </c>
      <c r="E267">
        <f t="shared" si="14"/>
        <v>0</v>
      </c>
    </row>
    <row r="268" spans="1:5" x14ac:dyDescent="0.35">
      <c r="A268" t="s">
        <v>267</v>
      </c>
      <c r="C268">
        <v>0</v>
      </c>
      <c r="D268">
        <v>0</v>
      </c>
      <c r="E268">
        <f t="shared" si="14"/>
        <v>0</v>
      </c>
    </row>
    <row r="269" spans="1:5" x14ac:dyDescent="0.35">
      <c r="A269" t="s">
        <v>268</v>
      </c>
      <c r="C269">
        <v>0</v>
      </c>
      <c r="D269">
        <v>0</v>
      </c>
      <c r="E269">
        <f t="shared" si="14"/>
        <v>0</v>
      </c>
    </row>
    <row r="270" spans="1:5" x14ac:dyDescent="0.35">
      <c r="A270" t="s">
        <v>269</v>
      </c>
      <c r="C270">
        <v>0</v>
      </c>
      <c r="D270">
        <v>0</v>
      </c>
      <c r="E270">
        <f t="shared" si="14"/>
        <v>0</v>
      </c>
    </row>
    <row r="271" spans="1:5" x14ac:dyDescent="0.35">
      <c r="A271" t="s">
        <v>270</v>
      </c>
      <c r="C271">
        <v>0</v>
      </c>
      <c r="D271">
        <v>0</v>
      </c>
      <c r="E271">
        <f t="shared" si="14"/>
        <v>0</v>
      </c>
    </row>
    <row r="272" spans="1:5" x14ac:dyDescent="0.35">
      <c r="A272" t="s">
        <v>271</v>
      </c>
      <c r="C272">
        <v>0</v>
      </c>
      <c r="D272">
        <v>0</v>
      </c>
      <c r="E272">
        <f t="shared" si="14"/>
        <v>0</v>
      </c>
    </row>
    <row r="273" spans="1:5" x14ac:dyDescent="0.35">
      <c r="A273" t="s">
        <v>272</v>
      </c>
      <c r="C273">
        <v>0</v>
      </c>
      <c r="D273">
        <v>0</v>
      </c>
      <c r="E273">
        <f t="shared" si="14"/>
        <v>0</v>
      </c>
    </row>
    <row r="274" spans="1:5" x14ac:dyDescent="0.35">
      <c r="A274" t="s">
        <v>273</v>
      </c>
      <c r="C274">
        <v>0</v>
      </c>
      <c r="D274">
        <v>0</v>
      </c>
      <c r="E274">
        <f t="shared" si="14"/>
        <v>0</v>
      </c>
    </row>
    <row r="275" spans="1:5" x14ac:dyDescent="0.35">
      <c r="A275" t="s">
        <v>274</v>
      </c>
      <c r="C275">
        <v>0</v>
      </c>
      <c r="D275">
        <v>0</v>
      </c>
      <c r="E275">
        <f t="shared" si="14"/>
        <v>0</v>
      </c>
    </row>
    <row r="276" spans="1:5" x14ac:dyDescent="0.35">
      <c r="A276" t="s">
        <v>275</v>
      </c>
      <c r="C276">
        <v>0</v>
      </c>
      <c r="D276">
        <v>0</v>
      </c>
      <c r="E276">
        <f t="shared" si="14"/>
        <v>0</v>
      </c>
    </row>
    <row r="277" spans="1:5" x14ac:dyDescent="0.35">
      <c r="A277" t="s">
        <v>276</v>
      </c>
      <c r="C277">
        <v>0</v>
      </c>
      <c r="D277">
        <v>0</v>
      </c>
      <c r="E277">
        <f t="shared" si="14"/>
        <v>0</v>
      </c>
    </row>
    <row r="278" spans="1:5" x14ac:dyDescent="0.35">
      <c r="A278" t="s">
        <v>277</v>
      </c>
      <c r="C278">
        <v>0</v>
      </c>
      <c r="D278">
        <v>0</v>
      </c>
      <c r="E278">
        <f t="shared" si="14"/>
        <v>0</v>
      </c>
    </row>
    <row r="279" spans="1:5" x14ac:dyDescent="0.35">
      <c r="A279" t="s">
        <v>278</v>
      </c>
      <c r="C279">
        <v>0</v>
      </c>
      <c r="D279">
        <v>0</v>
      </c>
      <c r="E279">
        <f t="shared" si="14"/>
        <v>0</v>
      </c>
    </row>
    <row r="280" spans="1:5" x14ac:dyDescent="0.35">
      <c r="A280" t="s">
        <v>279</v>
      </c>
      <c r="C280">
        <v>0</v>
      </c>
      <c r="D280">
        <v>0</v>
      </c>
      <c r="E280">
        <f t="shared" si="14"/>
        <v>0</v>
      </c>
    </row>
    <row r="281" spans="1:5" x14ac:dyDescent="0.35">
      <c r="A281" t="s">
        <v>280</v>
      </c>
      <c r="C281">
        <v>0</v>
      </c>
      <c r="D281">
        <v>0</v>
      </c>
      <c r="E281">
        <f t="shared" si="14"/>
        <v>0</v>
      </c>
    </row>
    <row r="282" spans="1:5" x14ac:dyDescent="0.35">
      <c r="A282" t="s">
        <v>281</v>
      </c>
      <c r="C282">
        <v>0</v>
      </c>
      <c r="D282">
        <v>0</v>
      </c>
      <c r="E282">
        <f t="shared" si="14"/>
        <v>0</v>
      </c>
    </row>
    <row r="283" spans="1:5" x14ac:dyDescent="0.35">
      <c r="A283" t="s">
        <v>282</v>
      </c>
      <c r="C283">
        <v>0</v>
      </c>
      <c r="D283">
        <v>0</v>
      </c>
      <c r="E283">
        <f t="shared" si="14"/>
        <v>0</v>
      </c>
    </row>
    <row r="284" spans="1:5" x14ac:dyDescent="0.35">
      <c r="A284" t="s">
        <v>283</v>
      </c>
      <c r="C284">
        <v>0</v>
      </c>
      <c r="D284">
        <v>0</v>
      </c>
      <c r="E284">
        <f t="shared" si="14"/>
        <v>0</v>
      </c>
    </row>
    <row r="285" spans="1:5" x14ac:dyDescent="0.35">
      <c r="A285" t="s">
        <v>284</v>
      </c>
      <c r="C285">
        <v>0</v>
      </c>
      <c r="D285">
        <v>0</v>
      </c>
      <c r="E285">
        <f t="shared" si="14"/>
        <v>0</v>
      </c>
    </row>
    <row r="286" spans="1:5" x14ac:dyDescent="0.35">
      <c r="A286" t="s">
        <v>285</v>
      </c>
      <c r="C286">
        <v>0</v>
      </c>
      <c r="D286">
        <v>0</v>
      </c>
      <c r="E286">
        <f t="shared" si="14"/>
        <v>0</v>
      </c>
    </row>
    <row r="287" spans="1:5" x14ac:dyDescent="0.35">
      <c r="A287" t="s">
        <v>286</v>
      </c>
      <c r="C287">
        <v>0</v>
      </c>
      <c r="D287">
        <v>0</v>
      </c>
      <c r="E287">
        <f t="shared" si="14"/>
        <v>0</v>
      </c>
    </row>
    <row r="288" spans="1:5" x14ac:dyDescent="0.35">
      <c r="A288" t="s">
        <v>287</v>
      </c>
      <c r="C288">
        <v>0</v>
      </c>
      <c r="D288">
        <v>0</v>
      </c>
      <c r="E288">
        <f t="shared" si="14"/>
        <v>0</v>
      </c>
    </row>
    <row r="289" spans="1:5" x14ac:dyDescent="0.35">
      <c r="A289" t="s">
        <v>288</v>
      </c>
      <c r="C289">
        <v>0</v>
      </c>
      <c r="D289">
        <v>0</v>
      </c>
      <c r="E289">
        <f t="shared" si="14"/>
        <v>0</v>
      </c>
    </row>
    <row r="290" spans="1:5" x14ac:dyDescent="0.35">
      <c r="A290" t="s">
        <v>289</v>
      </c>
      <c r="C290">
        <v>0</v>
      </c>
      <c r="D290">
        <v>0</v>
      </c>
      <c r="E290">
        <f t="shared" si="14"/>
        <v>0</v>
      </c>
    </row>
    <row r="291" spans="1:5" x14ac:dyDescent="0.35">
      <c r="A291" t="s">
        <v>290</v>
      </c>
      <c r="C291">
        <v>0</v>
      </c>
      <c r="D291">
        <v>0</v>
      </c>
      <c r="E291">
        <f t="shared" si="14"/>
        <v>0</v>
      </c>
    </row>
    <row r="292" spans="1:5" x14ac:dyDescent="0.35">
      <c r="A292" t="s">
        <v>291</v>
      </c>
      <c r="C292">
        <v>0</v>
      </c>
      <c r="D292">
        <v>0</v>
      </c>
      <c r="E292">
        <f t="shared" si="14"/>
        <v>0</v>
      </c>
    </row>
    <row r="293" spans="1:5" x14ac:dyDescent="0.35">
      <c r="A293" t="s">
        <v>292</v>
      </c>
      <c r="C293">
        <v>0</v>
      </c>
      <c r="D293">
        <v>0</v>
      </c>
      <c r="E293">
        <f t="shared" si="14"/>
        <v>0</v>
      </c>
    </row>
    <row r="294" spans="1:5" x14ac:dyDescent="0.35">
      <c r="A294" t="s">
        <v>293</v>
      </c>
      <c r="C294">
        <v>0</v>
      </c>
      <c r="D294">
        <v>0</v>
      </c>
      <c r="E294">
        <f t="shared" si="14"/>
        <v>0</v>
      </c>
    </row>
    <row r="295" spans="1:5" x14ac:dyDescent="0.35">
      <c r="A295" t="s">
        <v>294</v>
      </c>
      <c r="C295">
        <v>0</v>
      </c>
      <c r="D295">
        <v>0</v>
      </c>
      <c r="E295">
        <f t="shared" si="14"/>
        <v>0</v>
      </c>
    </row>
    <row r="296" spans="1:5" x14ac:dyDescent="0.35">
      <c r="A296" t="s">
        <v>295</v>
      </c>
      <c r="C296">
        <v>0</v>
      </c>
      <c r="D296">
        <v>0</v>
      </c>
      <c r="E296">
        <f t="shared" si="14"/>
        <v>0</v>
      </c>
    </row>
    <row r="297" spans="1:5" x14ac:dyDescent="0.35">
      <c r="A297" t="s">
        <v>296</v>
      </c>
      <c r="C297">
        <v>0</v>
      </c>
      <c r="D297">
        <v>0</v>
      </c>
      <c r="E297">
        <f t="shared" si="14"/>
        <v>0</v>
      </c>
    </row>
    <row r="298" spans="1:5" x14ac:dyDescent="0.35">
      <c r="A298" t="s">
        <v>297</v>
      </c>
      <c r="C298">
        <v>0</v>
      </c>
      <c r="D298">
        <v>0</v>
      </c>
      <c r="E298">
        <f t="shared" si="14"/>
        <v>0</v>
      </c>
    </row>
    <row r="299" spans="1:5" x14ac:dyDescent="0.35">
      <c r="A299" t="s">
        <v>298</v>
      </c>
      <c r="C299">
        <v>0</v>
      </c>
      <c r="D299">
        <v>0</v>
      </c>
      <c r="E299">
        <f t="shared" si="14"/>
        <v>0</v>
      </c>
    </row>
    <row r="300" spans="1:5" x14ac:dyDescent="0.35">
      <c r="A300" t="s">
        <v>299</v>
      </c>
      <c r="C300">
        <v>0</v>
      </c>
      <c r="D300">
        <v>0</v>
      </c>
      <c r="E300">
        <f t="shared" si="14"/>
        <v>0</v>
      </c>
    </row>
    <row r="301" spans="1:5" x14ac:dyDescent="0.35">
      <c r="A301" t="s">
        <v>300</v>
      </c>
      <c r="C301">
        <v>0</v>
      </c>
      <c r="D301">
        <v>0</v>
      </c>
      <c r="E301">
        <f t="shared" si="14"/>
        <v>0</v>
      </c>
    </row>
    <row r="302" spans="1:5" x14ac:dyDescent="0.35">
      <c r="A302" t="s">
        <v>301</v>
      </c>
      <c r="C302">
        <v>0</v>
      </c>
      <c r="D302">
        <v>0</v>
      </c>
      <c r="E302">
        <f t="shared" ref="E302:E365" si="15">C302+D302</f>
        <v>0</v>
      </c>
    </row>
    <row r="303" spans="1:5" x14ac:dyDescent="0.35">
      <c r="A303" t="s">
        <v>302</v>
      </c>
      <c r="C303">
        <v>0</v>
      </c>
      <c r="D303">
        <v>0</v>
      </c>
      <c r="E303">
        <f t="shared" si="15"/>
        <v>0</v>
      </c>
    </row>
    <row r="304" spans="1:5" x14ac:dyDescent="0.35">
      <c r="A304" t="s">
        <v>303</v>
      </c>
      <c r="C304">
        <v>0</v>
      </c>
      <c r="D304">
        <v>0</v>
      </c>
      <c r="E304">
        <f t="shared" si="15"/>
        <v>0</v>
      </c>
    </row>
    <row r="305" spans="1:5" x14ac:dyDescent="0.35">
      <c r="A305" t="s">
        <v>304</v>
      </c>
      <c r="C305">
        <v>0</v>
      </c>
      <c r="D305">
        <v>0</v>
      </c>
      <c r="E305">
        <f t="shared" si="15"/>
        <v>0</v>
      </c>
    </row>
    <row r="306" spans="1:5" x14ac:dyDescent="0.35">
      <c r="A306" t="s">
        <v>305</v>
      </c>
      <c r="C306">
        <v>0</v>
      </c>
      <c r="D306">
        <v>0</v>
      </c>
      <c r="E306">
        <f t="shared" si="15"/>
        <v>0</v>
      </c>
    </row>
    <row r="307" spans="1:5" x14ac:dyDescent="0.35">
      <c r="A307" t="s">
        <v>306</v>
      </c>
      <c r="C307">
        <v>0</v>
      </c>
      <c r="D307">
        <v>0</v>
      </c>
      <c r="E307">
        <f t="shared" si="15"/>
        <v>0</v>
      </c>
    </row>
    <row r="308" spans="1:5" x14ac:dyDescent="0.35">
      <c r="A308" t="s">
        <v>307</v>
      </c>
      <c r="C308">
        <v>0</v>
      </c>
      <c r="D308">
        <v>0</v>
      </c>
      <c r="E308">
        <f t="shared" si="15"/>
        <v>0</v>
      </c>
    </row>
    <row r="309" spans="1:5" x14ac:dyDescent="0.35">
      <c r="A309" t="s">
        <v>308</v>
      </c>
      <c r="C309">
        <v>0</v>
      </c>
      <c r="D309">
        <v>0</v>
      </c>
      <c r="E309">
        <f t="shared" si="15"/>
        <v>0</v>
      </c>
    </row>
    <row r="310" spans="1:5" x14ac:dyDescent="0.35">
      <c r="A310" t="s">
        <v>309</v>
      </c>
      <c r="C310">
        <v>0</v>
      </c>
      <c r="D310">
        <v>0</v>
      </c>
      <c r="E310">
        <f t="shared" si="15"/>
        <v>0</v>
      </c>
    </row>
    <row r="311" spans="1:5" x14ac:dyDescent="0.35">
      <c r="A311" t="s">
        <v>310</v>
      </c>
      <c r="C311">
        <v>0</v>
      </c>
      <c r="D311">
        <v>0</v>
      </c>
      <c r="E311">
        <f t="shared" si="15"/>
        <v>0</v>
      </c>
    </row>
    <row r="312" spans="1:5" x14ac:dyDescent="0.35">
      <c r="A312" t="s">
        <v>311</v>
      </c>
      <c r="C312">
        <v>0</v>
      </c>
      <c r="D312">
        <v>0</v>
      </c>
      <c r="E312">
        <f t="shared" si="15"/>
        <v>0</v>
      </c>
    </row>
    <row r="313" spans="1:5" x14ac:dyDescent="0.35">
      <c r="A313" t="s">
        <v>312</v>
      </c>
      <c r="C313">
        <v>0</v>
      </c>
      <c r="D313">
        <v>0</v>
      </c>
      <c r="E313">
        <f t="shared" si="15"/>
        <v>0</v>
      </c>
    </row>
    <row r="314" spans="1:5" x14ac:dyDescent="0.35">
      <c r="A314" t="s">
        <v>313</v>
      </c>
      <c r="C314">
        <v>0</v>
      </c>
      <c r="D314">
        <v>0</v>
      </c>
      <c r="E314">
        <f t="shared" si="15"/>
        <v>0</v>
      </c>
    </row>
    <row r="315" spans="1:5" x14ac:dyDescent="0.35">
      <c r="A315" t="s">
        <v>314</v>
      </c>
      <c r="C315">
        <v>0</v>
      </c>
      <c r="D315">
        <v>0</v>
      </c>
      <c r="E315">
        <f t="shared" si="15"/>
        <v>0</v>
      </c>
    </row>
    <row r="316" spans="1:5" x14ac:dyDescent="0.35">
      <c r="A316" t="s">
        <v>315</v>
      </c>
      <c r="C316">
        <v>0</v>
      </c>
      <c r="D316">
        <v>0</v>
      </c>
      <c r="E316">
        <f t="shared" si="15"/>
        <v>0</v>
      </c>
    </row>
    <row r="317" spans="1:5" x14ac:dyDescent="0.35">
      <c r="A317" t="s">
        <v>316</v>
      </c>
      <c r="C317">
        <v>0</v>
      </c>
      <c r="D317">
        <v>0</v>
      </c>
      <c r="E317">
        <f t="shared" si="15"/>
        <v>0</v>
      </c>
    </row>
    <row r="318" spans="1:5" x14ac:dyDescent="0.35">
      <c r="A318" t="s">
        <v>317</v>
      </c>
      <c r="C318">
        <v>0</v>
      </c>
      <c r="D318">
        <v>0</v>
      </c>
      <c r="E318">
        <f t="shared" si="15"/>
        <v>0</v>
      </c>
    </row>
    <row r="319" spans="1:5" x14ac:dyDescent="0.35">
      <c r="A319" t="s">
        <v>318</v>
      </c>
      <c r="C319">
        <v>0</v>
      </c>
      <c r="D319">
        <v>0</v>
      </c>
      <c r="E319">
        <f t="shared" si="15"/>
        <v>0</v>
      </c>
    </row>
    <row r="320" spans="1:5" x14ac:dyDescent="0.35">
      <c r="A320" t="s">
        <v>319</v>
      </c>
      <c r="C320">
        <v>0</v>
      </c>
      <c r="D320">
        <v>0</v>
      </c>
      <c r="E320">
        <f t="shared" si="15"/>
        <v>0</v>
      </c>
    </row>
    <row r="321" spans="1:5" x14ac:dyDescent="0.35">
      <c r="A321" t="s">
        <v>320</v>
      </c>
      <c r="C321">
        <v>0</v>
      </c>
      <c r="D321">
        <v>0</v>
      </c>
      <c r="E321">
        <f t="shared" si="15"/>
        <v>0</v>
      </c>
    </row>
    <row r="322" spans="1:5" x14ac:dyDescent="0.35">
      <c r="A322" t="s">
        <v>321</v>
      </c>
      <c r="C322">
        <v>0</v>
      </c>
      <c r="D322">
        <v>0</v>
      </c>
      <c r="E322">
        <f t="shared" si="15"/>
        <v>0</v>
      </c>
    </row>
    <row r="323" spans="1:5" x14ac:dyDescent="0.35">
      <c r="A323" t="s">
        <v>322</v>
      </c>
      <c r="C323">
        <v>0</v>
      </c>
      <c r="D323">
        <v>0</v>
      </c>
      <c r="E323">
        <f t="shared" si="15"/>
        <v>0</v>
      </c>
    </row>
    <row r="324" spans="1:5" x14ac:dyDescent="0.35">
      <c r="A324" t="s">
        <v>323</v>
      </c>
      <c r="C324">
        <v>0</v>
      </c>
      <c r="D324">
        <v>0</v>
      </c>
      <c r="E324">
        <f t="shared" si="15"/>
        <v>0</v>
      </c>
    </row>
    <row r="325" spans="1:5" x14ac:dyDescent="0.35">
      <c r="A325" t="s">
        <v>324</v>
      </c>
      <c r="C325">
        <v>0</v>
      </c>
      <c r="D325">
        <v>0</v>
      </c>
      <c r="E325">
        <f t="shared" si="15"/>
        <v>0</v>
      </c>
    </row>
    <row r="326" spans="1:5" x14ac:dyDescent="0.35">
      <c r="A326" t="s">
        <v>325</v>
      </c>
      <c r="C326">
        <v>0</v>
      </c>
      <c r="D326">
        <v>0</v>
      </c>
      <c r="E326">
        <f t="shared" si="15"/>
        <v>0</v>
      </c>
    </row>
    <row r="327" spans="1:5" x14ac:dyDescent="0.35">
      <c r="A327" t="s">
        <v>326</v>
      </c>
      <c r="C327">
        <v>0</v>
      </c>
      <c r="D327">
        <v>0</v>
      </c>
      <c r="E327">
        <f t="shared" si="15"/>
        <v>0</v>
      </c>
    </row>
    <row r="328" spans="1:5" x14ac:dyDescent="0.35">
      <c r="A328" t="s">
        <v>327</v>
      </c>
      <c r="C328">
        <v>0</v>
      </c>
      <c r="D328">
        <v>0</v>
      </c>
      <c r="E328">
        <f t="shared" si="15"/>
        <v>0</v>
      </c>
    </row>
    <row r="329" spans="1:5" x14ac:dyDescent="0.35">
      <c r="A329" t="s">
        <v>328</v>
      </c>
      <c r="C329">
        <v>0</v>
      </c>
      <c r="D329">
        <v>0</v>
      </c>
      <c r="E329">
        <f t="shared" si="15"/>
        <v>0</v>
      </c>
    </row>
    <row r="330" spans="1:5" x14ac:dyDescent="0.35">
      <c r="A330" t="s">
        <v>329</v>
      </c>
      <c r="C330">
        <v>0</v>
      </c>
      <c r="D330">
        <v>0</v>
      </c>
      <c r="E330">
        <f t="shared" si="15"/>
        <v>0</v>
      </c>
    </row>
    <row r="331" spans="1:5" x14ac:dyDescent="0.35">
      <c r="A331" t="s">
        <v>330</v>
      </c>
      <c r="C331">
        <v>0</v>
      </c>
      <c r="D331">
        <v>0</v>
      </c>
      <c r="E331">
        <f t="shared" si="15"/>
        <v>0</v>
      </c>
    </row>
    <row r="332" spans="1:5" x14ac:dyDescent="0.35">
      <c r="A332" t="s">
        <v>331</v>
      </c>
      <c r="C332">
        <v>0</v>
      </c>
      <c r="D332">
        <v>0</v>
      </c>
      <c r="E332">
        <f t="shared" si="15"/>
        <v>0</v>
      </c>
    </row>
    <row r="333" spans="1:5" x14ac:dyDescent="0.35">
      <c r="A333" t="s">
        <v>332</v>
      </c>
      <c r="C333">
        <v>0</v>
      </c>
      <c r="D333">
        <v>0</v>
      </c>
      <c r="E333">
        <f t="shared" si="15"/>
        <v>0</v>
      </c>
    </row>
    <row r="334" spans="1:5" x14ac:dyDescent="0.35">
      <c r="A334" t="s">
        <v>333</v>
      </c>
      <c r="C334">
        <v>0</v>
      </c>
      <c r="D334">
        <v>0</v>
      </c>
      <c r="E334">
        <f t="shared" si="15"/>
        <v>0</v>
      </c>
    </row>
    <row r="335" spans="1:5" x14ac:dyDescent="0.35">
      <c r="A335" t="s">
        <v>334</v>
      </c>
      <c r="C335">
        <v>0</v>
      </c>
      <c r="D335">
        <v>0</v>
      </c>
      <c r="E335">
        <f t="shared" si="15"/>
        <v>0</v>
      </c>
    </row>
    <row r="336" spans="1:5" x14ac:dyDescent="0.35">
      <c r="A336" t="s">
        <v>335</v>
      </c>
      <c r="C336">
        <v>0</v>
      </c>
      <c r="D336">
        <v>0</v>
      </c>
      <c r="E336">
        <f t="shared" si="15"/>
        <v>0</v>
      </c>
    </row>
    <row r="337" spans="1:5" x14ac:dyDescent="0.35">
      <c r="A337" t="s">
        <v>336</v>
      </c>
      <c r="C337">
        <v>0</v>
      </c>
      <c r="D337">
        <v>0</v>
      </c>
      <c r="E337">
        <f t="shared" si="15"/>
        <v>0</v>
      </c>
    </row>
    <row r="338" spans="1:5" x14ac:dyDescent="0.35">
      <c r="A338" t="s">
        <v>337</v>
      </c>
      <c r="C338">
        <v>0</v>
      </c>
      <c r="D338">
        <v>0</v>
      </c>
      <c r="E338">
        <f t="shared" si="15"/>
        <v>0</v>
      </c>
    </row>
    <row r="339" spans="1:5" x14ac:dyDescent="0.35">
      <c r="A339" t="s">
        <v>338</v>
      </c>
      <c r="C339">
        <v>0</v>
      </c>
      <c r="D339">
        <v>0</v>
      </c>
      <c r="E339">
        <f t="shared" si="15"/>
        <v>0</v>
      </c>
    </row>
    <row r="340" spans="1:5" x14ac:dyDescent="0.35">
      <c r="A340" t="s">
        <v>339</v>
      </c>
      <c r="C340">
        <v>0</v>
      </c>
      <c r="D340">
        <v>0</v>
      </c>
      <c r="E340">
        <f t="shared" si="15"/>
        <v>0</v>
      </c>
    </row>
    <row r="341" spans="1:5" x14ac:dyDescent="0.35">
      <c r="A341" t="s">
        <v>340</v>
      </c>
      <c r="C341">
        <v>0</v>
      </c>
      <c r="D341">
        <v>0</v>
      </c>
      <c r="E341">
        <f t="shared" si="15"/>
        <v>0</v>
      </c>
    </row>
    <row r="342" spans="1:5" x14ac:dyDescent="0.35">
      <c r="A342" t="s">
        <v>341</v>
      </c>
      <c r="C342">
        <v>0</v>
      </c>
      <c r="D342">
        <v>0</v>
      </c>
      <c r="E342">
        <f t="shared" si="15"/>
        <v>0</v>
      </c>
    </row>
    <row r="343" spans="1:5" x14ac:dyDescent="0.35">
      <c r="A343" t="s">
        <v>342</v>
      </c>
      <c r="C343">
        <v>0</v>
      </c>
      <c r="D343">
        <v>0</v>
      </c>
      <c r="E343">
        <f t="shared" si="15"/>
        <v>0</v>
      </c>
    </row>
    <row r="344" spans="1:5" x14ac:dyDescent="0.35">
      <c r="A344" t="s">
        <v>343</v>
      </c>
      <c r="C344">
        <v>0</v>
      </c>
      <c r="D344">
        <v>0</v>
      </c>
      <c r="E344">
        <f t="shared" si="15"/>
        <v>0</v>
      </c>
    </row>
    <row r="345" spans="1:5" x14ac:dyDescent="0.35">
      <c r="A345" t="s">
        <v>344</v>
      </c>
      <c r="C345">
        <v>0</v>
      </c>
      <c r="D345">
        <v>0</v>
      </c>
      <c r="E345">
        <f t="shared" si="15"/>
        <v>0</v>
      </c>
    </row>
    <row r="346" spans="1:5" x14ac:dyDescent="0.35">
      <c r="A346" t="s">
        <v>345</v>
      </c>
      <c r="C346">
        <v>0</v>
      </c>
      <c r="D346">
        <v>0</v>
      </c>
      <c r="E346">
        <f t="shared" si="15"/>
        <v>0</v>
      </c>
    </row>
    <row r="347" spans="1:5" x14ac:dyDescent="0.35">
      <c r="A347" t="s">
        <v>346</v>
      </c>
      <c r="C347">
        <v>0</v>
      </c>
      <c r="D347">
        <v>0</v>
      </c>
      <c r="E347">
        <f t="shared" si="15"/>
        <v>0</v>
      </c>
    </row>
    <row r="348" spans="1:5" x14ac:dyDescent="0.35">
      <c r="A348" t="s">
        <v>347</v>
      </c>
      <c r="C348">
        <v>0</v>
      </c>
      <c r="D348">
        <v>0</v>
      </c>
      <c r="E348">
        <f t="shared" si="15"/>
        <v>0</v>
      </c>
    </row>
    <row r="349" spans="1:5" x14ac:dyDescent="0.35">
      <c r="A349" t="s">
        <v>348</v>
      </c>
      <c r="C349">
        <v>0</v>
      </c>
      <c r="D349">
        <v>0</v>
      </c>
      <c r="E349">
        <f t="shared" si="15"/>
        <v>0</v>
      </c>
    </row>
    <row r="350" spans="1:5" x14ac:dyDescent="0.35">
      <c r="A350" t="s">
        <v>349</v>
      </c>
      <c r="C350">
        <v>0</v>
      </c>
      <c r="D350">
        <v>0</v>
      </c>
      <c r="E350">
        <f t="shared" si="15"/>
        <v>0</v>
      </c>
    </row>
    <row r="351" spans="1:5" x14ac:dyDescent="0.35">
      <c r="A351" t="s">
        <v>350</v>
      </c>
      <c r="C351">
        <v>0</v>
      </c>
      <c r="D351">
        <v>0</v>
      </c>
      <c r="E351">
        <f t="shared" si="15"/>
        <v>0</v>
      </c>
    </row>
    <row r="352" spans="1:5" x14ac:dyDescent="0.35">
      <c r="A352" t="s">
        <v>351</v>
      </c>
      <c r="C352">
        <v>0</v>
      </c>
      <c r="D352">
        <v>0</v>
      </c>
      <c r="E352">
        <f t="shared" si="15"/>
        <v>0</v>
      </c>
    </row>
    <row r="353" spans="1:5" x14ac:dyDescent="0.35">
      <c r="A353" t="s">
        <v>352</v>
      </c>
      <c r="C353">
        <v>0</v>
      </c>
      <c r="D353">
        <v>0</v>
      </c>
      <c r="E353">
        <f t="shared" si="15"/>
        <v>0</v>
      </c>
    </row>
    <row r="354" spans="1:5" x14ac:dyDescent="0.35">
      <c r="A354" t="s">
        <v>353</v>
      </c>
      <c r="C354">
        <v>0</v>
      </c>
      <c r="D354">
        <v>0</v>
      </c>
      <c r="E354">
        <f t="shared" si="15"/>
        <v>0</v>
      </c>
    </row>
    <row r="355" spans="1:5" x14ac:dyDescent="0.35">
      <c r="A355" t="s">
        <v>354</v>
      </c>
      <c r="C355">
        <v>0</v>
      </c>
      <c r="D355">
        <v>0</v>
      </c>
      <c r="E355">
        <f t="shared" si="15"/>
        <v>0</v>
      </c>
    </row>
    <row r="356" spans="1:5" x14ac:dyDescent="0.35">
      <c r="A356" t="s">
        <v>355</v>
      </c>
      <c r="C356">
        <v>0</v>
      </c>
      <c r="D356">
        <v>0</v>
      </c>
      <c r="E356">
        <f t="shared" si="15"/>
        <v>0</v>
      </c>
    </row>
    <row r="357" spans="1:5" x14ac:dyDescent="0.35">
      <c r="A357" t="s">
        <v>356</v>
      </c>
      <c r="C357">
        <v>0</v>
      </c>
      <c r="D357">
        <v>0</v>
      </c>
      <c r="E357">
        <f t="shared" si="15"/>
        <v>0</v>
      </c>
    </row>
    <row r="358" spans="1:5" x14ac:dyDescent="0.35">
      <c r="A358" t="s">
        <v>357</v>
      </c>
      <c r="C358">
        <v>0</v>
      </c>
      <c r="D358">
        <v>0</v>
      </c>
      <c r="E358">
        <f t="shared" si="15"/>
        <v>0</v>
      </c>
    </row>
    <row r="359" spans="1:5" x14ac:dyDescent="0.35">
      <c r="A359" t="s">
        <v>358</v>
      </c>
      <c r="C359">
        <v>0</v>
      </c>
      <c r="D359">
        <v>0</v>
      </c>
      <c r="E359">
        <f t="shared" si="15"/>
        <v>0</v>
      </c>
    </row>
    <row r="360" spans="1:5" x14ac:dyDescent="0.35">
      <c r="A360" t="s">
        <v>359</v>
      </c>
      <c r="C360">
        <v>0</v>
      </c>
      <c r="D360">
        <v>0</v>
      </c>
      <c r="E360">
        <f t="shared" si="15"/>
        <v>0</v>
      </c>
    </row>
    <row r="361" spans="1:5" x14ac:dyDescent="0.35">
      <c r="A361" t="s">
        <v>360</v>
      </c>
      <c r="C361">
        <v>0</v>
      </c>
      <c r="D361">
        <v>0</v>
      </c>
      <c r="E361">
        <f t="shared" si="15"/>
        <v>0</v>
      </c>
    </row>
    <row r="362" spans="1:5" x14ac:dyDescent="0.35">
      <c r="A362" t="s">
        <v>361</v>
      </c>
      <c r="C362">
        <v>0</v>
      </c>
      <c r="D362">
        <v>0</v>
      </c>
      <c r="E362">
        <f t="shared" si="15"/>
        <v>0</v>
      </c>
    </row>
    <row r="363" spans="1:5" x14ac:dyDescent="0.35">
      <c r="A363" t="s">
        <v>362</v>
      </c>
      <c r="C363">
        <v>0</v>
      </c>
      <c r="D363">
        <v>0</v>
      </c>
      <c r="E363">
        <f t="shared" si="15"/>
        <v>0</v>
      </c>
    </row>
    <row r="364" spans="1:5" x14ac:dyDescent="0.35">
      <c r="A364" t="s">
        <v>363</v>
      </c>
      <c r="C364">
        <v>0</v>
      </c>
      <c r="D364">
        <v>0</v>
      </c>
      <c r="E364">
        <f t="shared" si="15"/>
        <v>0</v>
      </c>
    </row>
    <row r="365" spans="1:5" x14ac:dyDescent="0.35">
      <c r="A365" t="s">
        <v>364</v>
      </c>
      <c r="C365">
        <v>0</v>
      </c>
      <c r="D365">
        <v>0</v>
      </c>
      <c r="E365">
        <f t="shared" si="15"/>
        <v>0</v>
      </c>
    </row>
    <row r="366" spans="1:5" x14ac:dyDescent="0.35">
      <c r="A366" t="s">
        <v>365</v>
      </c>
      <c r="C366">
        <v>0</v>
      </c>
      <c r="D366">
        <v>0</v>
      </c>
      <c r="E366">
        <f t="shared" ref="E366:E412" si="16">C366+D366</f>
        <v>0</v>
      </c>
    </row>
    <row r="367" spans="1:5" x14ac:dyDescent="0.35">
      <c r="A367" t="s">
        <v>366</v>
      </c>
      <c r="C367">
        <v>0</v>
      </c>
      <c r="D367">
        <v>0</v>
      </c>
      <c r="E367">
        <f t="shared" si="16"/>
        <v>0</v>
      </c>
    </row>
    <row r="368" spans="1:5" x14ac:dyDescent="0.35">
      <c r="A368" t="s">
        <v>367</v>
      </c>
      <c r="C368">
        <v>0</v>
      </c>
      <c r="D368">
        <v>0</v>
      </c>
      <c r="E368">
        <f t="shared" si="16"/>
        <v>0</v>
      </c>
    </row>
    <row r="369" spans="1:5" x14ac:dyDescent="0.35">
      <c r="A369" t="s">
        <v>368</v>
      </c>
      <c r="C369">
        <v>0</v>
      </c>
      <c r="D369">
        <v>0</v>
      </c>
      <c r="E369">
        <f t="shared" si="16"/>
        <v>0</v>
      </c>
    </row>
    <row r="370" spans="1:5" x14ac:dyDescent="0.35">
      <c r="A370" t="s">
        <v>369</v>
      </c>
      <c r="C370">
        <v>0</v>
      </c>
      <c r="D370">
        <v>0</v>
      </c>
      <c r="E370">
        <f t="shared" si="16"/>
        <v>0</v>
      </c>
    </row>
    <row r="371" spans="1:5" x14ac:dyDescent="0.35">
      <c r="A371" t="s">
        <v>370</v>
      </c>
      <c r="C371">
        <v>0</v>
      </c>
      <c r="D371">
        <v>0</v>
      </c>
      <c r="E371">
        <f t="shared" si="16"/>
        <v>0</v>
      </c>
    </row>
    <row r="372" spans="1:5" x14ac:dyDescent="0.35">
      <c r="A372" t="s">
        <v>371</v>
      </c>
      <c r="C372">
        <v>0</v>
      </c>
      <c r="D372">
        <v>0</v>
      </c>
      <c r="E372">
        <f t="shared" si="16"/>
        <v>0</v>
      </c>
    </row>
    <row r="373" spans="1:5" x14ac:dyDescent="0.35">
      <c r="A373" t="s">
        <v>372</v>
      </c>
      <c r="C373">
        <v>0</v>
      </c>
      <c r="D373">
        <v>0</v>
      </c>
      <c r="E373">
        <f t="shared" si="16"/>
        <v>0</v>
      </c>
    </row>
    <row r="374" spans="1:5" x14ac:dyDescent="0.35">
      <c r="A374" t="s">
        <v>373</v>
      </c>
      <c r="C374">
        <v>0</v>
      </c>
      <c r="D374">
        <v>0</v>
      </c>
      <c r="E374">
        <f t="shared" si="16"/>
        <v>0</v>
      </c>
    </row>
    <row r="375" spans="1:5" x14ac:dyDescent="0.35">
      <c r="A375" t="s">
        <v>374</v>
      </c>
      <c r="C375">
        <v>0</v>
      </c>
      <c r="D375">
        <v>0</v>
      </c>
      <c r="E375">
        <f t="shared" si="16"/>
        <v>0</v>
      </c>
    </row>
    <row r="376" spans="1:5" x14ac:dyDescent="0.35">
      <c r="A376" t="s">
        <v>375</v>
      </c>
      <c r="C376">
        <v>0</v>
      </c>
      <c r="D376">
        <v>0</v>
      </c>
      <c r="E376">
        <f t="shared" si="16"/>
        <v>0</v>
      </c>
    </row>
    <row r="377" spans="1:5" x14ac:dyDescent="0.35">
      <c r="A377" t="s">
        <v>376</v>
      </c>
      <c r="C377">
        <v>0</v>
      </c>
      <c r="D377">
        <v>0</v>
      </c>
      <c r="E377">
        <f t="shared" si="16"/>
        <v>0</v>
      </c>
    </row>
    <row r="378" spans="1:5" x14ac:dyDescent="0.35">
      <c r="A378" t="s">
        <v>377</v>
      </c>
      <c r="C378">
        <v>0</v>
      </c>
      <c r="D378">
        <v>0</v>
      </c>
      <c r="E378">
        <f t="shared" si="16"/>
        <v>0</v>
      </c>
    </row>
    <row r="379" spans="1:5" x14ac:dyDescent="0.35">
      <c r="A379" t="s">
        <v>378</v>
      </c>
      <c r="C379">
        <v>0</v>
      </c>
      <c r="D379">
        <v>0</v>
      </c>
      <c r="E379">
        <f t="shared" si="16"/>
        <v>0</v>
      </c>
    </row>
    <row r="380" spans="1:5" x14ac:dyDescent="0.35">
      <c r="A380" t="s">
        <v>379</v>
      </c>
      <c r="C380">
        <v>0</v>
      </c>
      <c r="D380">
        <v>0</v>
      </c>
      <c r="E380">
        <f t="shared" si="16"/>
        <v>0</v>
      </c>
    </row>
    <row r="381" spans="1:5" x14ac:dyDescent="0.35">
      <c r="A381" t="s">
        <v>380</v>
      </c>
      <c r="C381">
        <v>0</v>
      </c>
      <c r="D381">
        <v>0</v>
      </c>
      <c r="E381">
        <f t="shared" si="16"/>
        <v>0</v>
      </c>
    </row>
    <row r="382" spans="1:5" x14ac:dyDescent="0.35">
      <c r="A382" t="s">
        <v>381</v>
      </c>
      <c r="C382">
        <v>0</v>
      </c>
      <c r="D382">
        <v>0</v>
      </c>
      <c r="E382">
        <f t="shared" si="16"/>
        <v>0</v>
      </c>
    </row>
    <row r="383" spans="1:5" x14ac:dyDescent="0.35">
      <c r="A383" t="s">
        <v>382</v>
      </c>
      <c r="C383">
        <v>0</v>
      </c>
      <c r="D383">
        <v>0</v>
      </c>
      <c r="E383">
        <f t="shared" si="16"/>
        <v>0</v>
      </c>
    </row>
    <row r="384" spans="1:5" x14ac:dyDescent="0.35">
      <c r="A384" t="s">
        <v>383</v>
      </c>
      <c r="C384">
        <v>0</v>
      </c>
      <c r="D384">
        <v>0</v>
      </c>
      <c r="E384">
        <f t="shared" si="16"/>
        <v>0</v>
      </c>
    </row>
    <row r="385" spans="1:5" x14ac:dyDescent="0.35">
      <c r="A385" t="s">
        <v>384</v>
      </c>
      <c r="C385">
        <v>0</v>
      </c>
      <c r="D385">
        <v>0</v>
      </c>
      <c r="E385">
        <f t="shared" si="16"/>
        <v>0</v>
      </c>
    </row>
    <row r="386" spans="1:5" x14ac:dyDescent="0.35">
      <c r="A386" t="s">
        <v>385</v>
      </c>
      <c r="C386">
        <v>0</v>
      </c>
      <c r="D386">
        <v>0</v>
      </c>
      <c r="E386">
        <f t="shared" si="16"/>
        <v>0</v>
      </c>
    </row>
    <row r="387" spans="1:5" x14ac:dyDescent="0.35">
      <c r="A387" t="s">
        <v>386</v>
      </c>
      <c r="C387">
        <v>0</v>
      </c>
      <c r="D387">
        <v>0</v>
      </c>
      <c r="E387">
        <f t="shared" si="16"/>
        <v>0</v>
      </c>
    </row>
    <row r="388" spans="1:5" x14ac:dyDescent="0.35">
      <c r="A388" t="s">
        <v>387</v>
      </c>
      <c r="C388">
        <v>0</v>
      </c>
      <c r="D388">
        <v>0</v>
      </c>
      <c r="E388">
        <f t="shared" si="16"/>
        <v>0</v>
      </c>
    </row>
    <row r="389" spans="1:5" x14ac:dyDescent="0.35">
      <c r="A389" t="s">
        <v>388</v>
      </c>
      <c r="C389">
        <v>0</v>
      </c>
      <c r="D389">
        <v>0</v>
      </c>
      <c r="E389">
        <f t="shared" si="16"/>
        <v>0</v>
      </c>
    </row>
    <row r="390" spans="1:5" x14ac:dyDescent="0.35">
      <c r="A390" t="s">
        <v>389</v>
      </c>
      <c r="C390">
        <v>0</v>
      </c>
      <c r="D390">
        <v>0</v>
      </c>
      <c r="E390">
        <f t="shared" si="16"/>
        <v>0</v>
      </c>
    </row>
    <row r="391" spans="1:5" x14ac:dyDescent="0.35">
      <c r="A391" t="s">
        <v>390</v>
      </c>
      <c r="C391">
        <v>0</v>
      </c>
      <c r="D391">
        <v>0</v>
      </c>
      <c r="E391">
        <f t="shared" si="16"/>
        <v>0</v>
      </c>
    </row>
    <row r="392" spans="1:5" x14ac:dyDescent="0.35">
      <c r="A392" t="s">
        <v>391</v>
      </c>
      <c r="C392">
        <v>0</v>
      </c>
      <c r="D392">
        <v>0</v>
      </c>
      <c r="E392">
        <f t="shared" si="16"/>
        <v>0</v>
      </c>
    </row>
    <row r="393" spans="1:5" x14ac:dyDescent="0.35">
      <c r="A393" t="s">
        <v>392</v>
      </c>
      <c r="C393">
        <v>0</v>
      </c>
      <c r="D393">
        <v>0</v>
      </c>
      <c r="E393">
        <f t="shared" si="16"/>
        <v>0</v>
      </c>
    </row>
    <row r="394" spans="1:5" x14ac:dyDescent="0.35">
      <c r="A394" t="s">
        <v>393</v>
      </c>
      <c r="C394">
        <v>0</v>
      </c>
      <c r="D394">
        <v>0</v>
      </c>
      <c r="E394">
        <f t="shared" si="16"/>
        <v>0</v>
      </c>
    </row>
    <row r="395" spans="1:5" x14ac:dyDescent="0.35">
      <c r="A395" t="s">
        <v>394</v>
      </c>
      <c r="C395">
        <v>0</v>
      </c>
      <c r="D395">
        <v>0</v>
      </c>
      <c r="E395">
        <f t="shared" si="16"/>
        <v>0</v>
      </c>
    </row>
    <row r="396" spans="1:5" x14ac:dyDescent="0.35">
      <c r="A396" t="s">
        <v>395</v>
      </c>
      <c r="C396">
        <v>0</v>
      </c>
      <c r="D396">
        <v>0</v>
      </c>
      <c r="E396">
        <f t="shared" si="16"/>
        <v>0</v>
      </c>
    </row>
    <row r="397" spans="1:5" x14ac:dyDescent="0.35">
      <c r="A397" t="s">
        <v>396</v>
      </c>
      <c r="C397">
        <v>0</v>
      </c>
      <c r="D397">
        <v>0</v>
      </c>
      <c r="E397">
        <f t="shared" si="16"/>
        <v>0</v>
      </c>
    </row>
    <row r="398" spans="1:5" x14ac:dyDescent="0.35">
      <c r="A398" t="s">
        <v>397</v>
      </c>
      <c r="C398">
        <v>0</v>
      </c>
      <c r="D398">
        <v>0</v>
      </c>
      <c r="E398">
        <f t="shared" si="16"/>
        <v>0</v>
      </c>
    </row>
    <row r="399" spans="1:5" x14ac:dyDescent="0.35">
      <c r="A399" t="s">
        <v>398</v>
      </c>
      <c r="C399">
        <v>0</v>
      </c>
      <c r="D399">
        <v>0</v>
      </c>
      <c r="E399">
        <f t="shared" si="16"/>
        <v>0</v>
      </c>
    </row>
    <row r="400" spans="1:5" x14ac:dyDescent="0.35">
      <c r="A400" t="s">
        <v>399</v>
      </c>
      <c r="C400">
        <v>0</v>
      </c>
      <c r="D400">
        <v>0</v>
      </c>
      <c r="E400">
        <f t="shared" si="16"/>
        <v>0</v>
      </c>
    </row>
    <row r="401" spans="1:5" x14ac:dyDescent="0.35">
      <c r="A401" t="s">
        <v>400</v>
      </c>
      <c r="C401">
        <v>0</v>
      </c>
      <c r="D401">
        <v>0</v>
      </c>
      <c r="E401">
        <f t="shared" si="16"/>
        <v>0</v>
      </c>
    </row>
    <row r="402" spans="1:5" x14ac:dyDescent="0.35">
      <c r="A402" t="s">
        <v>401</v>
      </c>
      <c r="C402">
        <v>0</v>
      </c>
      <c r="D402">
        <v>0</v>
      </c>
      <c r="E402">
        <f t="shared" si="16"/>
        <v>0</v>
      </c>
    </row>
    <row r="403" spans="1:5" x14ac:dyDescent="0.35">
      <c r="A403" t="s">
        <v>402</v>
      </c>
      <c r="C403">
        <v>0</v>
      </c>
      <c r="D403">
        <v>0</v>
      </c>
      <c r="E403">
        <f t="shared" si="16"/>
        <v>0</v>
      </c>
    </row>
    <row r="404" spans="1:5" x14ac:dyDescent="0.35">
      <c r="A404" t="s">
        <v>403</v>
      </c>
      <c r="C404">
        <v>0</v>
      </c>
      <c r="D404">
        <v>0</v>
      </c>
      <c r="E404">
        <f t="shared" si="16"/>
        <v>0</v>
      </c>
    </row>
    <row r="405" spans="1:5" x14ac:dyDescent="0.35">
      <c r="A405" t="s">
        <v>404</v>
      </c>
      <c r="C405">
        <v>0</v>
      </c>
      <c r="D405">
        <v>0</v>
      </c>
      <c r="E405">
        <f t="shared" si="16"/>
        <v>0</v>
      </c>
    </row>
    <row r="406" spans="1:5" x14ac:dyDescent="0.35">
      <c r="A406" t="s">
        <v>405</v>
      </c>
      <c r="C406">
        <v>0</v>
      </c>
      <c r="D406">
        <v>0</v>
      </c>
      <c r="E406">
        <f t="shared" si="16"/>
        <v>0</v>
      </c>
    </row>
    <row r="407" spans="1:5" x14ac:dyDescent="0.35">
      <c r="A407" t="s">
        <v>406</v>
      </c>
      <c r="C407">
        <v>0</v>
      </c>
      <c r="D407">
        <v>0</v>
      </c>
      <c r="E407">
        <f t="shared" si="16"/>
        <v>0</v>
      </c>
    </row>
    <row r="408" spans="1:5" x14ac:dyDescent="0.35">
      <c r="A408" t="s">
        <v>407</v>
      </c>
      <c r="C408">
        <v>0</v>
      </c>
      <c r="D408">
        <v>0</v>
      </c>
      <c r="E408">
        <f t="shared" si="16"/>
        <v>0</v>
      </c>
    </row>
    <row r="409" spans="1:5" x14ac:dyDescent="0.35">
      <c r="A409" t="s">
        <v>408</v>
      </c>
      <c r="C409">
        <v>0</v>
      </c>
      <c r="D409">
        <v>0</v>
      </c>
      <c r="E409">
        <f t="shared" si="16"/>
        <v>0</v>
      </c>
    </row>
    <row r="410" spans="1:5" x14ac:dyDescent="0.35">
      <c r="A410" t="s">
        <v>409</v>
      </c>
      <c r="C410">
        <v>0</v>
      </c>
      <c r="D410">
        <v>0</v>
      </c>
      <c r="E410">
        <f t="shared" si="16"/>
        <v>0</v>
      </c>
    </row>
    <row r="411" spans="1:5" x14ac:dyDescent="0.35">
      <c r="A411" t="s">
        <v>410</v>
      </c>
      <c r="C411">
        <v>0</v>
      </c>
      <c r="D411">
        <v>0</v>
      </c>
      <c r="E411">
        <f t="shared" si="16"/>
        <v>0</v>
      </c>
    </row>
    <row r="412" spans="1:5" x14ac:dyDescent="0.35">
      <c r="A412" t="s">
        <v>411</v>
      </c>
      <c r="C412">
        <v>0</v>
      </c>
      <c r="D412">
        <v>0</v>
      </c>
      <c r="E412">
        <f t="shared" si="1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Cosimo Brogi</dc:creator>
  <cp:lastModifiedBy>Sonia Akter</cp:lastModifiedBy>
  <dcterms:created xsi:type="dcterms:W3CDTF">2026-01-19T08:57:40Z</dcterms:created>
  <dcterms:modified xsi:type="dcterms:W3CDTF">2026-06-03T13:16:26Z</dcterms:modified>
</cp:coreProperties>
</file>