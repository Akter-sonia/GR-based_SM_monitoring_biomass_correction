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Data_3rd_paper_cleaned\Biomass_correction_Selhausen\Biomass_correction_2023\"/>
    </mc:Choice>
  </mc:AlternateContent>
  <xr:revisionPtr revIDLastSave="0" documentId="13_ncr:1_{701C6A49-F9E2-40F5-A71B-5E71F0E7983F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selhausen_SM_EGR_daily" sheetId="1" r:id="rId1"/>
    <sheet name="Sheet1" sheetId="2" r:id="rId2"/>
  </sheets>
  <definedNames>
    <definedName name="solver_adj" localSheetId="0" hidden="1">selhausen_SM_EGR_daily!$B$2,selhausen_SM_EGR_daily!$B$4</definedName>
    <definedName name="solver_cvg" localSheetId="0" hidden="1">_xlfn._LONGTEXT(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0,0001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)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_xlfn._LONGTEXT(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0,075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)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selhausen_SM_EGR_daily!$K$6</definedName>
    <definedName name="solver_pre" localSheetId="0" hidden="1">_xlfn._LONGTEXT(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0,000001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","""""""""""""""""""""""""""""")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2" i="1" l="1"/>
  <c r="E282" i="1" s="1"/>
  <c r="B283" i="1"/>
  <c r="E283" i="1" s="1"/>
  <c r="B284" i="1"/>
  <c r="E284" i="1" s="1"/>
  <c r="B285" i="1"/>
  <c r="E285" i="1" s="1"/>
  <c r="B286" i="1"/>
  <c r="E286" i="1" s="1"/>
  <c r="B287" i="1"/>
  <c r="E287" i="1" s="1"/>
  <c r="B288" i="1"/>
  <c r="E288" i="1" s="1"/>
  <c r="B289" i="1"/>
  <c r="E289" i="1" s="1"/>
  <c r="B290" i="1"/>
  <c r="E290" i="1" s="1"/>
  <c r="B291" i="1"/>
  <c r="E291" i="1" s="1"/>
  <c r="B292" i="1"/>
  <c r="E292" i="1" s="1"/>
  <c r="B293" i="1"/>
  <c r="E293" i="1" s="1"/>
  <c r="B294" i="1"/>
  <c r="E294" i="1" s="1"/>
  <c r="B295" i="1"/>
  <c r="E295" i="1" s="1"/>
  <c r="B296" i="1"/>
  <c r="E296" i="1" s="1"/>
  <c r="B297" i="1"/>
  <c r="E297" i="1" s="1"/>
  <c r="B298" i="1"/>
  <c r="E298" i="1" s="1"/>
  <c r="B299" i="1"/>
  <c r="E299" i="1" s="1"/>
  <c r="B300" i="1"/>
  <c r="E300" i="1" s="1"/>
  <c r="B301" i="1"/>
  <c r="E301" i="1" s="1"/>
  <c r="B302" i="1"/>
  <c r="E302" i="1" s="1"/>
  <c r="B303" i="1"/>
  <c r="E303" i="1" s="1"/>
  <c r="B304" i="1"/>
  <c r="E304" i="1" s="1"/>
  <c r="B305" i="1"/>
  <c r="E305" i="1" s="1"/>
  <c r="B306" i="1"/>
  <c r="E306" i="1" s="1"/>
  <c r="B307" i="1"/>
  <c r="E307" i="1" s="1"/>
  <c r="B308" i="1"/>
  <c r="E308" i="1" s="1"/>
  <c r="B309" i="1"/>
  <c r="E309" i="1" s="1"/>
  <c r="B310" i="1"/>
  <c r="E310" i="1" s="1"/>
  <c r="B311" i="1"/>
  <c r="E311" i="1" s="1"/>
  <c r="B312" i="1"/>
  <c r="E312" i="1" s="1"/>
  <c r="B313" i="1"/>
  <c r="E313" i="1" s="1"/>
  <c r="B314" i="1"/>
  <c r="E314" i="1" s="1"/>
  <c r="B315" i="1"/>
  <c r="E315" i="1" s="1"/>
  <c r="B316" i="1"/>
  <c r="E316" i="1" s="1"/>
  <c r="B317" i="1"/>
  <c r="E317" i="1" s="1"/>
  <c r="B318" i="1"/>
  <c r="E318" i="1" s="1"/>
  <c r="B319" i="1"/>
  <c r="E319" i="1" s="1"/>
  <c r="B320" i="1"/>
  <c r="E320" i="1" s="1"/>
  <c r="B321" i="1"/>
  <c r="E321" i="1" s="1"/>
  <c r="B322" i="1"/>
  <c r="E322" i="1" s="1"/>
  <c r="B323" i="1"/>
  <c r="E323" i="1" s="1"/>
  <c r="B324" i="1"/>
  <c r="E324" i="1" s="1"/>
  <c r="B325" i="1"/>
  <c r="E325" i="1" s="1"/>
  <c r="B326" i="1"/>
  <c r="E326" i="1" s="1"/>
  <c r="B327" i="1"/>
  <c r="E327" i="1" s="1"/>
  <c r="B328" i="1"/>
  <c r="E328" i="1" s="1"/>
  <c r="B329" i="1"/>
  <c r="E329" i="1" s="1"/>
  <c r="B330" i="1"/>
  <c r="E330" i="1" s="1"/>
  <c r="B331" i="1"/>
  <c r="E331" i="1" s="1"/>
  <c r="B332" i="1"/>
  <c r="E332" i="1" s="1"/>
  <c r="B333" i="1"/>
  <c r="E333" i="1" s="1"/>
  <c r="B334" i="1"/>
  <c r="E334" i="1" s="1"/>
  <c r="B335" i="1"/>
  <c r="E335" i="1" s="1"/>
  <c r="B336" i="1"/>
  <c r="E336" i="1" s="1"/>
  <c r="B337" i="1"/>
  <c r="E337" i="1" s="1"/>
  <c r="B338" i="1"/>
  <c r="E338" i="1" s="1"/>
  <c r="B339" i="1"/>
  <c r="E339" i="1" s="1"/>
  <c r="B340" i="1"/>
  <c r="E340" i="1" s="1"/>
  <c r="B341" i="1"/>
  <c r="E341" i="1" s="1"/>
  <c r="B342" i="1"/>
  <c r="E342" i="1" s="1"/>
  <c r="B343" i="1"/>
  <c r="E343" i="1" s="1"/>
  <c r="B344" i="1"/>
  <c r="E344" i="1" s="1"/>
  <c r="B345" i="1"/>
  <c r="E345" i="1" s="1"/>
  <c r="B346" i="1"/>
  <c r="E346" i="1" s="1"/>
  <c r="B347" i="1"/>
  <c r="E347" i="1" s="1"/>
  <c r="B348" i="1"/>
  <c r="E348" i="1" s="1"/>
  <c r="B349" i="1"/>
  <c r="E349" i="1" s="1"/>
  <c r="B350" i="1"/>
  <c r="E350" i="1" s="1"/>
  <c r="B351" i="1"/>
  <c r="E351" i="1" s="1"/>
  <c r="B352" i="1"/>
  <c r="E352" i="1" s="1"/>
  <c r="B353" i="1"/>
  <c r="E353" i="1" s="1"/>
  <c r="B354" i="1"/>
  <c r="E354" i="1" s="1"/>
  <c r="B355" i="1"/>
  <c r="E355" i="1" s="1"/>
  <c r="B356" i="1"/>
  <c r="E356" i="1" s="1"/>
  <c r="B357" i="1"/>
  <c r="E357" i="1" s="1"/>
  <c r="B358" i="1"/>
  <c r="E358" i="1" s="1"/>
  <c r="B359" i="1"/>
  <c r="E359" i="1" s="1"/>
  <c r="B360" i="1"/>
  <c r="E360" i="1" s="1"/>
  <c r="B361" i="1"/>
  <c r="E361" i="1" s="1"/>
  <c r="B362" i="1"/>
  <c r="E362" i="1" s="1"/>
  <c r="B363" i="1"/>
  <c r="E363" i="1" s="1"/>
  <c r="B364" i="1"/>
  <c r="E364" i="1" s="1"/>
  <c r="B365" i="1"/>
  <c r="E365" i="1" s="1"/>
  <c r="B366" i="1"/>
  <c r="E366" i="1" s="1"/>
  <c r="B367" i="1"/>
  <c r="E367" i="1" s="1"/>
  <c r="B368" i="1"/>
  <c r="E368" i="1" s="1"/>
  <c r="B9" i="1"/>
  <c r="E9" i="1" s="1"/>
  <c r="B10" i="1"/>
  <c r="E10" i="1" s="1"/>
  <c r="B11" i="1"/>
  <c r="E11" i="1" s="1"/>
  <c r="B12" i="1"/>
  <c r="E12" i="1" s="1"/>
  <c r="B13" i="1"/>
  <c r="E13" i="1" s="1"/>
  <c r="B14" i="1"/>
  <c r="E14" i="1" s="1"/>
  <c r="B15" i="1"/>
  <c r="E15" i="1" s="1"/>
  <c r="B16" i="1"/>
  <c r="E16" i="1" s="1"/>
  <c r="B17" i="1"/>
  <c r="E17" i="1" s="1"/>
  <c r="B18" i="1"/>
  <c r="E18" i="1" s="1"/>
  <c r="B19" i="1"/>
  <c r="E19" i="1" s="1"/>
  <c r="B20" i="1"/>
  <c r="E20" i="1" s="1"/>
  <c r="B21" i="1"/>
  <c r="E21" i="1" s="1"/>
  <c r="B22" i="1"/>
  <c r="E22" i="1" s="1"/>
  <c r="B23" i="1"/>
  <c r="E23" i="1" s="1"/>
  <c r="B24" i="1"/>
  <c r="E24" i="1" s="1"/>
  <c r="B25" i="1"/>
  <c r="E25" i="1" s="1"/>
  <c r="B26" i="1"/>
  <c r="E26" i="1" s="1"/>
  <c r="B27" i="1"/>
  <c r="E27" i="1" s="1"/>
  <c r="B28" i="1"/>
  <c r="E28" i="1" s="1"/>
  <c r="B29" i="1"/>
  <c r="E29" i="1" s="1"/>
  <c r="B30" i="1"/>
  <c r="E30" i="1" s="1"/>
  <c r="B31" i="1"/>
  <c r="E31" i="1" s="1"/>
  <c r="B32" i="1"/>
  <c r="E32" i="1" s="1"/>
  <c r="B33" i="1"/>
  <c r="E33" i="1" s="1"/>
  <c r="B34" i="1"/>
  <c r="E34" i="1" s="1"/>
  <c r="B35" i="1"/>
  <c r="E35" i="1" s="1"/>
  <c r="B36" i="1"/>
  <c r="E36" i="1" s="1"/>
  <c r="B37" i="1"/>
  <c r="E37" i="1" s="1"/>
  <c r="B38" i="1"/>
  <c r="E38" i="1" s="1"/>
  <c r="B39" i="1"/>
  <c r="E39" i="1" s="1"/>
  <c r="B40" i="1"/>
  <c r="E40" i="1" s="1"/>
  <c r="B41" i="1"/>
  <c r="E41" i="1" s="1"/>
  <c r="B42" i="1"/>
  <c r="E42" i="1" s="1"/>
  <c r="B43" i="1"/>
  <c r="E43" i="1" s="1"/>
  <c r="B44" i="1"/>
  <c r="E44" i="1" s="1"/>
  <c r="B45" i="1"/>
  <c r="E45" i="1" s="1"/>
  <c r="B46" i="1"/>
  <c r="E46" i="1" s="1"/>
  <c r="B47" i="1"/>
  <c r="E47" i="1" s="1"/>
  <c r="B48" i="1"/>
  <c r="E48" i="1" s="1"/>
  <c r="B49" i="1"/>
  <c r="E49" i="1" s="1"/>
  <c r="B50" i="1"/>
  <c r="E50" i="1" s="1"/>
  <c r="B51" i="1"/>
  <c r="E51" i="1" s="1"/>
  <c r="B52" i="1"/>
  <c r="E52" i="1" s="1"/>
  <c r="B53" i="1"/>
  <c r="E53" i="1" s="1"/>
  <c r="B54" i="1"/>
  <c r="E54" i="1" s="1"/>
  <c r="B55" i="1"/>
  <c r="E55" i="1" s="1"/>
  <c r="B56" i="1"/>
  <c r="E56" i="1" s="1"/>
  <c r="B57" i="1"/>
  <c r="E57" i="1" s="1"/>
  <c r="B58" i="1"/>
  <c r="E58" i="1" s="1"/>
  <c r="B59" i="1"/>
  <c r="E59" i="1" s="1"/>
  <c r="B60" i="1"/>
  <c r="E60" i="1" s="1"/>
  <c r="B61" i="1"/>
  <c r="E61" i="1" s="1"/>
  <c r="B62" i="1"/>
  <c r="E62" i="1" s="1"/>
  <c r="B63" i="1"/>
  <c r="E63" i="1" s="1"/>
  <c r="B64" i="1"/>
  <c r="E64" i="1" s="1"/>
  <c r="B65" i="1"/>
  <c r="E65" i="1" s="1"/>
  <c r="B66" i="1"/>
  <c r="E66" i="1" s="1"/>
  <c r="B67" i="1"/>
  <c r="E67" i="1" s="1"/>
  <c r="B68" i="1"/>
  <c r="E68" i="1" s="1"/>
  <c r="B69" i="1"/>
  <c r="E69" i="1" s="1"/>
  <c r="B70" i="1"/>
  <c r="E70" i="1" s="1"/>
  <c r="B71" i="1"/>
  <c r="E71" i="1" s="1"/>
  <c r="B72" i="1"/>
  <c r="E72" i="1" s="1"/>
  <c r="B73" i="1"/>
  <c r="E73" i="1" s="1"/>
  <c r="B74" i="1"/>
  <c r="E74" i="1" s="1"/>
  <c r="B75" i="1"/>
  <c r="E75" i="1" s="1"/>
  <c r="B76" i="1"/>
  <c r="E76" i="1" s="1"/>
  <c r="B77" i="1"/>
  <c r="E77" i="1" s="1"/>
  <c r="B78" i="1"/>
  <c r="E78" i="1" s="1"/>
  <c r="B79" i="1"/>
  <c r="E79" i="1" s="1"/>
  <c r="B80" i="1"/>
  <c r="E80" i="1" s="1"/>
  <c r="B81" i="1"/>
  <c r="E81" i="1" s="1"/>
  <c r="B82" i="1"/>
  <c r="E82" i="1" s="1"/>
  <c r="B83" i="1"/>
  <c r="E83" i="1" s="1"/>
  <c r="B84" i="1"/>
  <c r="E84" i="1" s="1"/>
  <c r="B85" i="1"/>
  <c r="E85" i="1" s="1"/>
  <c r="B86" i="1"/>
  <c r="E86" i="1" s="1"/>
  <c r="B87" i="1"/>
  <c r="E87" i="1" s="1"/>
  <c r="B88" i="1"/>
  <c r="E88" i="1" s="1"/>
  <c r="B89" i="1"/>
  <c r="E89" i="1" s="1"/>
  <c r="B90" i="1"/>
  <c r="E90" i="1" s="1"/>
  <c r="B91" i="1"/>
  <c r="E91" i="1" s="1"/>
  <c r="B92" i="1"/>
  <c r="E92" i="1" s="1"/>
  <c r="B93" i="1"/>
  <c r="E93" i="1" s="1"/>
  <c r="B94" i="1"/>
  <c r="E94" i="1" s="1"/>
  <c r="B95" i="1"/>
  <c r="E95" i="1" s="1"/>
  <c r="B96" i="1"/>
  <c r="E96" i="1" s="1"/>
  <c r="B97" i="1"/>
  <c r="E97" i="1" s="1"/>
  <c r="B98" i="1"/>
  <c r="E98" i="1" s="1"/>
  <c r="B99" i="1"/>
  <c r="E99" i="1" s="1"/>
  <c r="B100" i="1"/>
  <c r="E100" i="1" s="1"/>
  <c r="B101" i="1"/>
  <c r="E101" i="1" s="1"/>
  <c r="B102" i="1"/>
  <c r="E102" i="1" s="1"/>
  <c r="B103" i="1"/>
  <c r="E103" i="1" s="1"/>
  <c r="B104" i="1"/>
  <c r="E104" i="1" s="1"/>
  <c r="B105" i="1"/>
  <c r="E105" i="1" s="1"/>
  <c r="B106" i="1"/>
  <c r="E106" i="1" s="1"/>
  <c r="B107" i="1"/>
  <c r="E107" i="1" s="1"/>
  <c r="B108" i="1"/>
  <c r="E108" i="1" s="1"/>
  <c r="B109" i="1"/>
  <c r="E109" i="1" s="1"/>
  <c r="B110" i="1"/>
  <c r="E110" i="1" s="1"/>
  <c r="B111" i="1"/>
  <c r="E111" i="1" s="1"/>
  <c r="B112" i="1"/>
  <c r="E112" i="1" s="1"/>
  <c r="B113" i="1"/>
  <c r="E113" i="1" s="1"/>
  <c r="B114" i="1"/>
  <c r="E114" i="1" s="1"/>
  <c r="B115" i="1"/>
  <c r="E115" i="1" s="1"/>
  <c r="B116" i="1"/>
  <c r="E116" i="1" s="1"/>
  <c r="B117" i="1"/>
  <c r="E117" i="1" s="1"/>
  <c r="B118" i="1"/>
  <c r="E118" i="1" s="1"/>
  <c r="B119" i="1"/>
  <c r="E119" i="1" s="1"/>
  <c r="B120" i="1"/>
  <c r="E120" i="1" s="1"/>
  <c r="B121" i="1"/>
  <c r="E121" i="1" s="1"/>
  <c r="B122" i="1"/>
  <c r="E122" i="1" s="1"/>
  <c r="B123" i="1"/>
  <c r="E123" i="1" s="1"/>
  <c r="B124" i="1"/>
  <c r="E124" i="1" s="1"/>
  <c r="B125" i="1"/>
  <c r="E125" i="1" s="1"/>
  <c r="B126" i="1"/>
  <c r="E126" i="1" s="1"/>
  <c r="B127" i="1"/>
  <c r="E127" i="1" s="1"/>
  <c r="B128" i="1"/>
  <c r="E128" i="1" s="1"/>
  <c r="B129" i="1"/>
  <c r="E129" i="1" s="1"/>
  <c r="B130" i="1"/>
  <c r="E130" i="1" s="1"/>
  <c r="B131" i="1"/>
  <c r="E131" i="1" s="1"/>
  <c r="B132" i="1"/>
  <c r="E132" i="1" s="1"/>
  <c r="B133" i="1"/>
  <c r="E133" i="1" s="1"/>
  <c r="B134" i="1"/>
  <c r="E134" i="1" s="1"/>
  <c r="B135" i="1"/>
  <c r="E135" i="1" s="1"/>
  <c r="B136" i="1"/>
  <c r="E136" i="1" s="1"/>
  <c r="B137" i="1"/>
  <c r="E137" i="1" s="1"/>
  <c r="B138" i="1"/>
  <c r="E138" i="1" s="1"/>
  <c r="B139" i="1"/>
  <c r="E139" i="1" s="1"/>
  <c r="B140" i="1"/>
  <c r="E140" i="1" s="1"/>
  <c r="B141" i="1"/>
  <c r="E141" i="1" s="1"/>
  <c r="B142" i="1"/>
  <c r="E142" i="1" s="1"/>
  <c r="B143" i="1"/>
  <c r="E143" i="1" s="1"/>
  <c r="B144" i="1"/>
  <c r="E144" i="1" s="1"/>
  <c r="B145" i="1"/>
  <c r="E145" i="1" s="1"/>
  <c r="B146" i="1"/>
  <c r="E146" i="1" s="1"/>
  <c r="B147" i="1"/>
  <c r="E147" i="1" s="1"/>
  <c r="B148" i="1"/>
  <c r="E148" i="1" s="1"/>
  <c r="B149" i="1"/>
  <c r="E149" i="1" s="1"/>
  <c r="B150" i="1"/>
  <c r="E150" i="1" s="1"/>
  <c r="B151" i="1"/>
  <c r="E151" i="1" s="1"/>
  <c r="B152" i="1"/>
  <c r="E152" i="1" s="1"/>
  <c r="B153" i="1"/>
  <c r="E153" i="1" s="1"/>
  <c r="B154" i="1"/>
  <c r="E154" i="1" s="1"/>
  <c r="B155" i="1"/>
  <c r="E155" i="1" s="1"/>
  <c r="B156" i="1"/>
  <c r="E156" i="1" s="1"/>
  <c r="B157" i="1"/>
  <c r="E157" i="1" s="1"/>
  <c r="B158" i="1"/>
  <c r="E158" i="1" s="1"/>
  <c r="B159" i="1"/>
  <c r="E159" i="1" s="1"/>
  <c r="B160" i="1"/>
  <c r="E160" i="1" s="1"/>
  <c r="B161" i="1"/>
  <c r="E161" i="1" s="1"/>
  <c r="B162" i="1"/>
  <c r="E162" i="1" s="1"/>
  <c r="B163" i="1"/>
  <c r="E163" i="1" s="1"/>
  <c r="B164" i="1"/>
  <c r="E164" i="1" s="1"/>
  <c r="B165" i="1"/>
  <c r="E165" i="1" s="1"/>
  <c r="B166" i="1"/>
  <c r="E166" i="1" s="1"/>
  <c r="B167" i="1"/>
  <c r="E167" i="1" s="1"/>
  <c r="B168" i="1"/>
  <c r="E168" i="1" s="1"/>
  <c r="B169" i="1"/>
  <c r="E169" i="1" s="1"/>
  <c r="B170" i="1"/>
  <c r="E170" i="1" s="1"/>
  <c r="B171" i="1"/>
  <c r="E171" i="1" s="1"/>
  <c r="B172" i="1"/>
  <c r="E172" i="1" s="1"/>
  <c r="B173" i="1"/>
  <c r="E173" i="1" s="1"/>
  <c r="B174" i="1"/>
  <c r="E174" i="1" s="1"/>
  <c r="B175" i="1"/>
  <c r="E175" i="1" s="1"/>
  <c r="B176" i="1"/>
  <c r="E176" i="1" s="1"/>
  <c r="B177" i="1"/>
  <c r="E177" i="1" s="1"/>
  <c r="B178" i="1"/>
  <c r="E178" i="1" s="1"/>
  <c r="B179" i="1"/>
  <c r="E179" i="1" s="1"/>
  <c r="B180" i="1"/>
  <c r="E180" i="1" s="1"/>
  <c r="B181" i="1"/>
  <c r="E181" i="1" s="1"/>
  <c r="B182" i="1"/>
  <c r="E182" i="1" s="1"/>
  <c r="B183" i="1"/>
  <c r="E183" i="1" s="1"/>
  <c r="B184" i="1"/>
  <c r="E184" i="1" s="1"/>
  <c r="B185" i="1"/>
  <c r="E185" i="1" s="1"/>
  <c r="B186" i="1"/>
  <c r="E186" i="1" s="1"/>
  <c r="B187" i="1"/>
  <c r="E187" i="1" s="1"/>
  <c r="B188" i="1"/>
  <c r="E188" i="1" s="1"/>
  <c r="B189" i="1"/>
  <c r="E189" i="1" s="1"/>
  <c r="B190" i="1"/>
  <c r="E190" i="1" s="1"/>
  <c r="B191" i="1"/>
  <c r="E191" i="1" s="1"/>
  <c r="B192" i="1"/>
  <c r="E192" i="1" s="1"/>
  <c r="B193" i="1"/>
  <c r="E193" i="1" s="1"/>
  <c r="B194" i="1"/>
  <c r="E194" i="1" s="1"/>
  <c r="B195" i="1"/>
  <c r="E195" i="1" s="1"/>
  <c r="B196" i="1"/>
  <c r="E196" i="1" s="1"/>
  <c r="B197" i="1"/>
  <c r="E197" i="1" s="1"/>
  <c r="B198" i="1"/>
  <c r="E198" i="1" s="1"/>
  <c r="B199" i="1"/>
  <c r="E199" i="1" s="1"/>
  <c r="B200" i="1"/>
  <c r="E200" i="1" s="1"/>
  <c r="B201" i="1"/>
  <c r="E201" i="1" s="1"/>
  <c r="B202" i="1"/>
  <c r="E202" i="1" s="1"/>
  <c r="B203" i="1"/>
  <c r="E203" i="1" s="1"/>
  <c r="B204" i="1"/>
  <c r="E204" i="1" s="1"/>
  <c r="B205" i="1"/>
  <c r="E205" i="1" s="1"/>
  <c r="B206" i="1"/>
  <c r="E206" i="1" s="1"/>
  <c r="B207" i="1"/>
  <c r="E207" i="1" s="1"/>
  <c r="B208" i="1"/>
  <c r="E208" i="1" s="1"/>
  <c r="B209" i="1"/>
  <c r="E209" i="1" s="1"/>
  <c r="B210" i="1"/>
  <c r="E210" i="1" s="1"/>
  <c r="B211" i="1"/>
  <c r="E211" i="1" s="1"/>
  <c r="B212" i="1"/>
  <c r="E212" i="1" s="1"/>
  <c r="B213" i="1"/>
  <c r="E213" i="1" s="1"/>
  <c r="B214" i="1"/>
  <c r="E214" i="1" s="1"/>
  <c r="B215" i="1"/>
  <c r="E215" i="1" s="1"/>
  <c r="B216" i="1"/>
  <c r="E216" i="1" s="1"/>
  <c r="B217" i="1"/>
  <c r="E217" i="1" s="1"/>
  <c r="B218" i="1"/>
  <c r="E218" i="1" s="1"/>
  <c r="B219" i="1"/>
  <c r="E219" i="1" s="1"/>
  <c r="B220" i="1"/>
  <c r="E220" i="1" s="1"/>
  <c r="B221" i="1"/>
  <c r="E221" i="1" s="1"/>
  <c r="B222" i="1"/>
  <c r="E222" i="1" s="1"/>
  <c r="B223" i="1"/>
  <c r="E223" i="1" s="1"/>
  <c r="B224" i="1"/>
  <c r="E224" i="1" s="1"/>
  <c r="B225" i="1"/>
  <c r="E225" i="1" s="1"/>
  <c r="B226" i="1"/>
  <c r="E226" i="1" s="1"/>
  <c r="B227" i="1"/>
  <c r="E227" i="1" s="1"/>
  <c r="B228" i="1"/>
  <c r="E228" i="1" s="1"/>
  <c r="B229" i="1"/>
  <c r="E229" i="1" s="1"/>
  <c r="B230" i="1"/>
  <c r="E230" i="1" s="1"/>
  <c r="B231" i="1"/>
  <c r="E231" i="1" s="1"/>
  <c r="B232" i="1"/>
  <c r="E232" i="1" s="1"/>
  <c r="B233" i="1"/>
  <c r="E233" i="1" s="1"/>
  <c r="B234" i="1"/>
  <c r="E234" i="1" s="1"/>
  <c r="B235" i="1"/>
  <c r="E235" i="1" s="1"/>
  <c r="B236" i="1"/>
  <c r="E236" i="1" s="1"/>
  <c r="B237" i="1"/>
  <c r="E237" i="1" s="1"/>
  <c r="B238" i="1"/>
  <c r="E238" i="1" s="1"/>
  <c r="B239" i="1"/>
  <c r="E239" i="1" s="1"/>
  <c r="B240" i="1"/>
  <c r="E240" i="1" s="1"/>
  <c r="B241" i="1"/>
  <c r="E241" i="1" s="1"/>
  <c r="B242" i="1"/>
  <c r="E242" i="1" s="1"/>
  <c r="B243" i="1"/>
  <c r="E243" i="1" s="1"/>
  <c r="B244" i="1"/>
  <c r="E244" i="1" s="1"/>
  <c r="B245" i="1"/>
  <c r="E245" i="1" s="1"/>
  <c r="B246" i="1"/>
  <c r="E246" i="1" s="1"/>
  <c r="B247" i="1"/>
  <c r="E247" i="1" s="1"/>
  <c r="B248" i="1"/>
  <c r="E248" i="1" s="1"/>
  <c r="B249" i="1"/>
  <c r="E249" i="1" s="1"/>
  <c r="B250" i="1"/>
  <c r="E250" i="1" s="1"/>
  <c r="B251" i="1"/>
  <c r="E251" i="1" s="1"/>
  <c r="B252" i="1"/>
  <c r="E252" i="1" s="1"/>
  <c r="B253" i="1"/>
  <c r="E253" i="1" s="1"/>
  <c r="B254" i="1"/>
  <c r="E254" i="1" s="1"/>
  <c r="B255" i="1"/>
  <c r="E255" i="1" s="1"/>
  <c r="B256" i="1"/>
  <c r="E256" i="1" s="1"/>
  <c r="B257" i="1"/>
  <c r="E257" i="1" s="1"/>
  <c r="B258" i="1"/>
  <c r="E258" i="1" s="1"/>
  <c r="B259" i="1"/>
  <c r="E259" i="1" s="1"/>
  <c r="B260" i="1"/>
  <c r="E260" i="1" s="1"/>
  <c r="B261" i="1"/>
  <c r="E261" i="1" s="1"/>
  <c r="B262" i="1"/>
  <c r="E262" i="1" s="1"/>
  <c r="B263" i="1"/>
  <c r="E263" i="1" s="1"/>
  <c r="B264" i="1"/>
  <c r="E264" i="1" s="1"/>
  <c r="B265" i="1"/>
  <c r="E265" i="1" s="1"/>
  <c r="B266" i="1"/>
  <c r="E266" i="1" s="1"/>
  <c r="B267" i="1"/>
  <c r="E267" i="1" s="1"/>
  <c r="B268" i="1"/>
  <c r="E268" i="1" s="1"/>
  <c r="B269" i="1"/>
  <c r="E269" i="1" s="1"/>
  <c r="B270" i="1"/>
  <c r="E270" i="1" s="1"/>
  <c r="B271" i="1"/>
  <c r="E271" i="1" s="1"/>
  <c r="B272" i="1"/>
  <c r="E272" i="1" s="1"/>
  <c r="B273" i="1"/>
  <c r="E273" i="1" s="1"/>
  <c r="B274" i="1"/>
  <c r="E274" i="1" s="1"/>
  <c r="B275" i="1"/>
  <c r="E275" i="1" s="1"/>
  <c r="B276" i="1"/>
  <c r="E276" i="1" s="1"/>
  <c r="B277" i="1"/>
  <c r="E277" i="1" s="1"/>
  <c r="B278" i="1"/>
  <c r="E278" i="1" s="1"/>
  <c r="B279" i="1"/>
  <c r="E279" i="1" s="1"/>
  <c r="B280" i="1"/>
  <c r="E280" i="1" s="1"/>
  <c r="B281" i="1"/>
  <c r="E281" i="1" s="1"/>
  <c r="B8" i="1"/>
  <c r="E8" i="1" s="1"/>
  <c r="C282" i="1" l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231" i="1" l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8" i="1"/>
  <c r="F8" i="1"/>
  <c r="O6" i="1" l="1" a="1"/>
  <c r="P6" i="1" a="1"/>
  <c r="K5" i="1"/>
  <c r="K6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<sst xmlns="http://schemas.openxmlformats.org/spreadsheetml/2006/main" count="381" uniqueCount="380">
  <si>
    <t>Timestamp GMT</t>
  </si>
  <si>
    <t>Parameters</t>
  </si>
  <si>
    <t>Estimates</t>
  </si>
  <si>
    <t>BD</t>
  </si>
  <si>
    <t>ratio</t>
  </si>
  <si>
    <t>R-squared</t>
  </si>
  <si>
    <t>RMSE</t>
  </si>
  <si>
    <t>SM_predicted_empirical</t>
  </si>
  <si>
    <t>K-dose prediction</t>
  </si>
  <si>
    <t xml:space="preserve">Empirical </t>
  </si>
  <si>
    <t>SM prediction</t>
  </si>
  <si>
    <t>SM_ref</t>
  </si>
  <si>
    <t>SM_predicted_theory</t>
  </si>
  <si>
    <t>2023-02-05 00:00:00+00:00</t>
  </si>
  <si>
    <t>2023-02-06 00:00:00+00:00</t>
  </si>
  <si>
    <t>2023-02-07 00:00:00+00:00</t>
  </si>
  <si>
    <t>2023-02-08 00:00:00+00:00</t>
  </si>
  <si>
    <t>2023-02-09 00:00:00+00:00</t>
  </si>
  <si>
    <t>2023-02-10 00:00:00+00:00</t>
  </si>
  <si>
    <t>2023-02-11 00:00:00+00:00</t>
  </si>
  <si>
    <t>2023-02-12 00:00:00+00:00</t>
  </si>
  <si>
    <t>2023-02-13 00:00:00+00:00</t>
  </si>
  <si>
    <t>2023-02-14 00:00:00+00:00</t>
  </si>
  <si>
    <t>2023-02-15 00:00:00+00:00</t>
  </si>
  <si>
    <t>2023-02-16 00:00:00+00:00</t>
  </si>
  <si>
    <t>2023-02-17 00:00:00+00:00</t>
  </si>
  <si>
    <t>2023-02-18 00:00:00+00:00</t>
  </si>
  <si>
    <t>2023-02-19 00:00:00+00:00</t>
  </si>
  <si>
    <t>2023-02-20 00:00:00+00:00</t>
  </si>
  <si>
    <t>2023-02-21 00:00:00+00:00</t>
  </si>
  <si>
    <t>2023-02-22 00:00:00+00:00</t>
  </si>
  <si>
    <t>2023-02-23 00:00:00+00:00</t>
  </si>
  <si>
    <t>2023-02-24 00:00:00+00:00</t>
  </si>
  <si>
    <t>2023-02-25 00:00:00+00:00</t>
  </si>
  <si>
    <t>2023-02-26 00:00:00+00:00</t>
  </si>
  <si>
    <t>2023-02-27 00:00:00+00:00</t>
  </si>
  <si>
    <t>2023-02-28 00:00:00+00:00</t>
  </si>
  <si>
    <t>2023-03-01 00:00:00+00:00</t>
  </si>
  <si>
    <t>2023-03-02 00:00:00+00:00</t>
  </si>
  <si>
    <t>2023-03-03 00:00:00+00:00</t>
  </si>
  <si>
    <t>2023-03-04 00:00:00+00:00</t>
  </si>
  <si>
    <t>2023-03-05 00:00:00+00:00</t>
  </si>
  <si>
    <t>2023-03-06 00:00:00+00:00</t>
  </si>
  <si>
    <t>2023-03-07 00:00:00+00:00</t>
  </si>
  <si>
    <t>2023-03-08 00:00:00+00:00</t>
  </si>
  <si>
    <t>2023-03-09 00:00:00+00:00</t>
  </si>
  <si>
    <t>2023-03-10 00:00:00+00:00</t>
  </si>
  <si>
    <t>2023-03-11 00:00:00+00:00</t>
  </si>
  <si>
    <t>2023-03-12 00:00:00+00:00</t>
  </si>
  <si>
    <t>2023-03-13 00:00:00+00:00</t>
  </si>
  <si>
    <t>2023-03-14 00:00:00+00:00</t>
  </si>
  <si>
    <t>2023-03-15 00:00:00+00:00</t>
  </si>
  <si>
    <t>2023-03-16 00:00:00+00:00</t>
  </si>
  <si>
    <t>2023-03-17 00:00:00+00:00</t>
  </si>
  <si>
    <t>2023-03-18 00:00:00+00:00</t>
  </si>
  <si>
    <t>2023-03-19 00:00:00+00:00</t>
  </si>
  <si>
    <t>2023-03-20 00:00:00+00:00</t>
  </si>
  <si>
    <t>2023-03-21 00:00:00+00:00</t>
  </si>
  <si>
    <t>2023-03-22 00:00:00+00:00</t>
  </si>
  <si>
    <t>2023-03-23 00:00:00+00:00</t>
  </si>
  <si>
    <t>2023-03-24 00:00:00+00:00</t>
  </si>
  <si>
    <t>2023-03-25 00:00:00+00:00</t>
  </si>
  <si>
    <t>2023-03-26 00:00:00+00:00</t>
  </si>
  <si>
    <t>2023-03-27 00:00:00+00:00</t>
  </si>
  <si>
    <t>2023-03-28 00:00:00+00:00</t>
  </si>
  <si>
    <t>2023-03-29 00:00:00+00:00</t>
  </si>
  <si>
    <t>2023-03-30 00:00:00+00:00</t>
  </si>
  <si>
    <t>2023-03-31 00:00:00+00:00</t>
  </si>
  <si>
    <t>2023-04-01 00:00:00+00:00</t>
  </si>
  <si>
    <t>2023-04-02 00:00:00+00:00</t>
  </si>
  <si>
    <t>2023-04-03 00:00:00+00:00</t>
  </si>
  <si>
    <t>2023-04-04 00:00:00+00:00</t>
  </si>
  <si>
    <t>2023-04-05 00:00:00+00:00</t>
  </si>
  <si>
    <t>2023-04-06 00:00:00+00:00</t>
  </si>
  <si>
    <t>2023-04-07 00:00:00+00:00</t>
  </si>
  <si>
    <t>2023-04-08 00:00:00+00:00</t>
  </si>
  <si>
    <t>2023-04-09 00:00:00+00:00</t>
  </si>
  <si>
    <t>2023-04-10 00:00:00+00:00</t>
  </si>
  <si>
    <t>2023-04-11 00:00:00+00:00</t>
  </si>
  <si>
    <t>2023-04-12 00:00:00+00:00</t>
  </si>
  <si>
    <t>2023-04-13 00:00:00+00:00</t>
  </si>
  <si>
    <t>2023-04-14 00:00:00+00:00</t>
  </si>
  <si>
    <t>2023-04-15 00:00:00+00:00</t>
  </si>
  <si>
    <t>2023-04-16 00:00:00+00:00</t>
  </si>
  <si>
    <t>2023-04-17 00:00:00+00:00</t>
  </si>
  <si>
    <t>2023-04-18 00:00:00+00:00</t>
  </si>
  <si>
    <t>2023-04-19 00:00:00+00:00</t>
  </si>
  <si>
    <t>2023-04-20 00:00:00+00:00</t>
  </si>
  <si>
    <t>2023-04-21 00:00:00+00:00</t>
  </si>
  <si>
    <t>2023-04-22 00:00:00+00:00</t>
  </si>
  <si>
    <t>2023-04-23 00:00:00+00:00</t>
  </si>
  <si>
    <t>2023-04-24 00:00:00+00:00</t>
  </si>
  <si>
    <t>2023-04-25 00:00:00+00:00</t>
  </si>
  <si>
    <t>2023-04-26 00:00:00+00:00</t>
  </si>
  <si>
    <t>2023-04-27 00:00:00+00:00</t>
  </si>
  <si>
    <t>2023-04-28 00:00:00+00:00</t>
  </si>
  <si>
    <t>2023-04-29 00:00:00+00:00</t>
  </si>
  <si>
    <t>2023-04-30 00:00:00+00:00</t>
  </si>
  <si>
    <t>2023-05-01 00:00:00+00:00</t>
  </si>
  <si>
    <t>2023-05-02 00:00:00+00:00</t>
  </si>
  <si>
    <t>2023-05-03 00:00:00+00:00</t>
  </si>
  <si>
    <t>2023-05-04 00:00:00+00:00</t>
  </si>
  <si>
    <t>2023-05-05 00:00:00+00:00</t>
  </si>
  <si>
    <t>2023-05-06 00:00:00+00:00</t>
  </si>
  <si>
    <t>2023-05-07 00:00:00+00:00</t>
  </si>
  <si>
    <t>2023-05-08 00:00:00+00:00</t>
  </si>
  <si>
    <t>2023-05-09 00:00:00+00:00</t>
  </si>
  <si>
    <t>2023-05-10 00:00:00+00:00</t>
  </si>
  <si>
    <t>2023-05-11 00:00:00+00:00</t>
  </si>
  <si>
    <t>2023-05-12 00:00:00+00:00</t>
  </si>
  <si>
    <t>2023-05-13 00:00:00+00:00</t>
  </si>
  <si>
    <t>2023-05-14 00:00:00+00:00</t>
  </si>
  <si>
    <t>2023-05-15 00:00:00+00:00</t>
  </si>
  <si>
    <t>2023-05-16 00:00:00+00:00</t>
  </si>
  <si>
    <t>2023-05-17 00:00:00+00:00</t>
  </si>
  <si>
    <t>2023-05-18 00:00:00+00:00</t>
  </si>
  <si>
    <t>2023-05-19 00:00:00+00:00</t>
  </si>
  <si>
    <t>2023-05-20 00:00:00+00:00</t>
  </si>
  <si>
    <t>2023-05-21 00:00:00+00:00</t>
  </si>
  <si>
    <t>2023-05-22 00:00:00+00:00</t>
  </si>
  <si>
    <t>2023-05-23 00:00:00+00:00</t>
  </si>
  <si>
    <t>2023-05-24 00:00:00+00:00</t>
  </si>
  <si>
    <t>2023-05-25 00:00:00+00:00</t>
  </si>
  <si>
    <t>2023-05-26 00:00:00+00:00</t>
  </si>
  <si>
    <t>2023-05-27 00:00:00+00:00</t>
  </si>
  <si>
    <t>2023-05-28 00:00:00+00:00</t>
  </si>
  <si>
    <t>2023-05-29 00:00:00+00:00</t>
  </si>
  <si>
    <t>2023-05-30 00:00:00+00:00</t>
  </si>
  <si>
    <t>2023-05-31 00:00:00+00:00</t>
  </si>
  <si>
    <t>2023-06-01 00:00:00+00:00</t>
  </si>
  <si>
    <t>2023-06-02 00:00:00+00:00</t>
  </si>
  <si>
    <t>2023-06-03 00:00:00+00:00</t>
  </si>
  <si>
    <t>2023-06-04 00:00:00+00:00</t>
  </si>
  <si>
    <t>2023-06-05 00:00:00+00:00</t>
  </si>
  <si>
    <t>2023-06-06 00:00:00+00:00</t>
  </si>
  <si>
    <t>2023-06-07 00:00:00+00:00</t>
  </si>
  <si>
    <t>2023-06-08 00:00:00+00:00</t>
  </si>
  <si>
    <t>2023-06-09 00:00:00+00:00</t>
  </si>
  <si>
    <t>2023-06-10 00:00:00+00:00</t>
  </si>
  <si>
    <t>2023-06-11 00:00:00+00:00</t>
  </si>
  <si>
    <t>2023-06-12 00:00:00+00:00</t>
  </si>
  <si>
    <t>2023-06-13 00:00:00+00:00</t>
  </si>
  <si>
    <t>2023-06-14 00:00:00+00:00</t>
  </si>
  <si>
    <t>2023-06-15 00:00:00+00:00</t>
  </si>
  <si>
    <t>2023-06-16 00:00:00+00:00</t>
  </si>
  <si>
    <t>2023-06-17 00:00:00+00:00</t>
  </si>
  <si>
    <t>2023-06-18 00:00:00+00:00</t>
  </si>
  <si>
    <t>2023-06-19 00:00:00+00:00</t>
  </si>
  <si>
    <t>2023-06-20 00:00:00+00:00</t>
  </si>
  <si>
    <t>2023-06-21 00:00:00+00:00</t>
  </si>
  <si>
    <t>2023-06-22 00:00:00+00:00</t>
  </si>
  <si>
    <t>2023-06-23 00:00:00+00:00</t>
  </si>
  <si>
    <t>2023-06-24 00:00:00+00:00</t>
  </si>
  <si>
    <t>2023-06-25 00:00:00+00:00</t>
  </si>
  <si>
    <t>2023-06-26 00:00:00+00:00</t>
  </si>
  <si>
    <t>2023-06-27 00:00:00+00:00</t>
  </si>
  <si>
    <t>2023-06-28 00:00:00+00:00</t>
  </si>
  <si>
    <t>2023-06-29 00:00:00+00:00</t>
  </si>
  <si>
    <t>2023-06-30 00:00:00+00:00</t>
  </si>
  <si>
    <t>2023-07-01 00:00:00+00:00</t>
  </si>
  <si>
    <t>2023-07-02 00:00:00+00:00</t>
  </si>
  <si>
    <t>2023-07-03 00:00:00+00:00</t>
  </si>
  <si>
    <t>2023-07-04 00:00:00+00:00</t>
  </si>
  <si>
    <t>2023-07-05 00:00:00+00:00</t>
  </si>
  <si>
    <t>2023-07-06 00:00:00+00:00</t>
  </si>
  <si>
    <t>2023-07-07 00:00:00+00:00</t>
  </si>
  <si>
    <t>2023-07-08 00:00:00+00:00</t>
  </si>
  <si>
    <t>2023-07-09 00:00:00+00:00</t>
  </si>
  <si>
    <t>2023-07-10 00:00:00+00:00</t>
  </si>
  <si>
    <t>2023-07-11 00:00:00+00:00</t>
  </si>
  <si>
    <t>2023-07-12 00:00:00+00:00</t>
  </si>
  <si>
    <t>2023-07-13 00:00:00+00:00</t>
  </si>
  <si>
    <t>2023-07-14 00:00:00+00:00</t>
  </si>
  <si>
    <t>2023-07-15 00:00:00+00:00</t>
  </si>
  <si>
    <t>2023-07-16 00:00:00+00:00</t>
  </si>
  <si>
    <t>2023-07-17 00:00:00+00:00</t>
  </si>
  <si>
    <t>2023-07-18 00:00:00+00:00</t>
  </si>
  <si>
    <t>2023-07-19 00:00:00+00:00</t>
  </si>
  <si>
    <t>2023-07-20 00:00:00+00:00</t>
  </si>
  <si>
    <t>2023-07-21 00:00:00+00:00</t>
  </si>
  <si>
    <t>2023-07-22 00:00:00+00:00</t>
  </si>
  <si>
    <t>2023-07-23 00:00:00+00:00</t>
  </si>
  <si>
    <t>2023-07-24 00:00:00+00:00</t>
  </si>
  <si>
    <t>2023-07-25 00:00:00+00:00</t>
  </si>
  <si>
    <t>2023-07-26 00:00:00+00:00</t>
  </si>
  <si>
    <t>2023-07-27 00:00:00+00:00</t>
  </si>
  <si>
    <t>2023-07-28 00:00:00+00:00</t>
  </si>
  <si>
    <t>2023-07-29 00:00:00+00:00</t>
  </si>
  <si>
    <t>2023-07-30 00:00:00+00:00</t>
  </si>
  <si>
    <t>2023-07-31 00:00:00+00:00</t>
  </si>
  <si>
    <t>2023-08-01 00:00:00+00:00</t>
  </si>
  <si>
    <t>2023-08-02 00:00:00+00:00</t>
  </si>
  <si>
    <t>2023-08-03 00:00:00+00:00</t>
  </si>
  <si>
    <t>2023-08-04 00:00:00+00:00</t>
  </si>
  <si>
    <t>2023-08-05 00:00:00+00:00</t>
  </si>
  <si>
    <t>2023-08-06 00:00:00+00:00</t>
  </si>
  <si>
    <t>2023-08-07 00:00:00+00:00</t>
  </si>
  <si>
    <t>2023-08-08 00:00:00+00:00</t>
  </si>
  <si>
    <t>2023-08-09 00:00:00+00:00</t>
  </si>
  <si>
    <t>2023-08-10 00:00:00+00:00</t>
  </si>
  <si>
    <t>2023-08-11 00:00:00+00:00</t>
  </si>
  <si>
    <t>2023-08-12 00:00:00+00:00</t>
  </si>
  <si>
    <t>2023-08-13 00:00:00+00:00</t>
  </si>
  <si>
    <t>2023-08-14 00:00:00+00:00</t>
  </si>
  <si>
    <t>2023-08-15 00:00:00+00:00</t>
  </si>
  <si>
    <t>2023-08-16 00:00:00+00:00</t>
  </si>
  <si>
    <t>2023-08-17 00:00:00+00:00</t>
  </si>
  <si>
    <t>2023-08-18 00:00:00+00:00</t>
  </si>
  <si>
    <t>2023-08-19 00:00:00+00:00</t>
  </si>
  <si>
    <t>2023-08-20 00:00:00+00:00</t>
  </si>
  <si>
    <t>2023-08-21 00:00:00+00:00</t>
  </si>
  <si>
    <t>2023-08-22 00:00:00+00:00</t>
  </si>
  <si>
    <t>2023-08-23 00:00:00+00:00</t>
  </si>
  <si>
    <t>2023-08-24 00:00:00+00:00</t>
  </si>
  <si>
    <t>2023-08-25 00:00:00+00:00</t>
  </si>
  <si>
    <t>2023-08-26 00:00:00+00:00</t>
  </si>
  <si>
    <t>2023-08-27 00:00:00+00:00</t>
  </si>
  <si>
    <t>2023-08-28 00:00:00+00:00</t>
  </si>
  <si>
    <t>2023-08-29 00:00:00+00:00</t>
  </si>
  <si>
    <t>2023-08-30 00:00:00+00:00</t>
  </si>
  <si>
    <t>2023-08-31 00:00:00+00:00</t>
  </si>
  <si>
    <t>2023-09-01 00:00:00+00:00</t>
  </si>
  <si>
    <t>2023-09-02 00:00:00+00:00</t>
  </si>
  <si>
    <t>2023-09-03 00:00:00+00:00</t>
  </si>
  <si>
    <t>2023-09-04 00:00:00+00:00</t>
  </si>
  <si>
    <t>2023-09-05 00:00:00+00:00</t>
  </si>
  <si>
    <t>2023-09-06 00:00:00+00:00</t>
  </si>
  <si>
    <t>2023-09-07 00:00:00+00:00</t>
  </si>
  <si>
    <t>2023-09-08 00:00:00+00:00</t>
  </si>
  <si>
    <t>2023-09-09 00:00:00+00:00</t>
  </si>
  <si>
    <t>2023-09-10 00:00:00+00:00</t>
  </si>
  <si>
    <t>2023-09-11 00:00:00+00:00</t>
  </si>
  <si>
    <t>2023-09-12 00:00:00+00:00</t>
  </si>
  <si>
    <t>2023-09-13 00:00:00+00:00</t>
  </si>
  <si>
    <t>2023-09-14 00:00:00+00:00</t>
  </si>
  <si>
    <t>2023-09-15 00:00:00+00:00</t>
  </si>
  <si>
    <t>2023-09-16 00:00:00+00:00</t>
  </si>
  <si>
    <t>2023-09-17 00:00:00+00:00</t>
  </si>
  <si>
    <t>2023-09-18 00:00:00+00:00</t>
  </si>
  <si>
    <t>2023-09-19 00:00:00+00:00</t>
  </si>
  <si>
    <t>2023-09-20 00:00:00+00:00</t>
  </si>
  <si>
    <t>2023-09-21 00:00:00+00:00</t>
  </si>
  <si>
    <t>2023-09-22 00:00:00+00:00</t>
  </si>
  <si>
    <t>2023-09-23 00:00:00+00:00</t>
  </si>
  <si>
    <t>2023-09-24 00:00:00+00:00</t>
  </si>
  <si>
    <t>2023-09-25 00:00:00+00:00</t>
  </si>
  <si>
    <t>2023-09-26 00:00:00+00:00</t>
  </si>
  <si>
    <t>2023-09-27 00:00:00+00:00</t>
  </si>
  <si>
    <t>2023-09-28 00:00:00+00:00</t>
  </si>
  <si>
    <t>2023-09-29 00:00:00+00:00</t>
  </si>
  <si>
    <t>2023-09-30 00:00:00+00:00</t>
  </si>
  <si>
    <t>2023-10-01 00:00:00+00:00</t>
  </si>
  <si>
    <t>2023-10-02 00:00:00+00:00</t>
  </si>
  <si>
    <t>2023-10-03 00:00:00+00:00</t>
  </si>
  <si>
    <t>2023-10-04 00:00:00+00:00</t>
  </si>
  <si>
    <t>2023-10-05 00:00:00+00:00</t>
  </si>
  <si>
    <t>2023-10-06 00:00:00+00:00</t>
  </si>
  <si>
    <t>2023-10-07 00:00:00+00:00</t>
  </si>
  <si>
    <t>2023-10-08 00:00:00+00:00</t>
  </si>
  <si>
    <t>2023-10-09 00:00:00+00:00</t>
  </si>
  <si>
    <t>2023-10-10 00:00:00+00:00</t>
  </si>
  <si>
    <t>2023-10-11 00:00:00+00:00</t>
  </si>
  <si>
    <t>2023-10-12 00:00:00+00:00</t>
  </si>
  <si>
    <t>2023-10-13 00:00:00+00:00</t>
  </si>
  <si>
    <t>2023-10-14 00:00:00+00:00</t>
  </si>
  <si>
    <t>2023-10-15 00:00:00+00:00</t>
  </si>
  <si>
    <t>2023-10-16 00:00:00+00:00</t>
  </si>
  <si>
    <t>2023-10-17 00:00:00+00:00</t>
  </si>
  <si>
    <t>2023-10-18 00:00:00+00:00</t>
  </si>
  <si>
    <t>2023-10-19 00:00:00+00:00</t>
  </si>
  <si>
    <t>2023-10-20 00:00:00+00:00</t>
  </si>
  <si>
    <t>2023-10-21 00:00:00+00:00</t>
  </si>
  <si>
    <t>2023-10-22 00:00:00+00:00</t>
  </si>
  <si>
    <t>2023-10-23 00:00:00+00:00</t>
  </si>
  <si>
    <t>2023-10-24 00:00:00+00:00</t>
  </si>
  <si>
    <t>2023-10-25 00:00:00+00:00</t>
  </si>
  <si>
    <t>2023-10-26 00:00:00+00:00</t>
  </si>
  <si>
    <t>2023-10-27 00:00:00+00:00</t>
  </si>
  <si>
    <t>2023-10-28 00:00:00+00:00</t>
  </si>
  <si>
    <t>2023-10-29 00:00:00+00:00</t>
  </si>
  <si>
    <t>2023-10-30 00:00:00+00:00</t>
  </si>
  <si>
    <t>2023-10-31 00:00:00+00:00</t>
  </si>
  <si>
    <t>2023-11-01 00:00:00+00:00</t>
  </si>
  <si>
    <t>2023-11-02 00:00:00+00:00</t>
  </si>
  <si>
    <t>2023-11-03 00:00:00+00:00</t>
  </si>
  <si>
    <t>2023-11-04 00:00:00+00:00</t>
  </si>
  <si>
    <t>2023-11-05 00:00:00+00:00</t>
  </si>
  <si>
    <t>2023-11-06 00:00:00+00:00</t>
  </si>
  <si>
    <t>2023-11-07 00:00:00+00:00</t>
  </si>
  <si>
    <t>2023-11-08 00:00:00+00:00</t>
  </si>
  <si>
    <t>2023-11-09 00:00:00+00:00</t>
  </si>
  <si>
    <t>2023-11-10 00:00:00+00:00</t>
  </si>
  <si>
    <t>2023-11-11 00:00:00+00:00</t>
  </si>
  <si>
    <t>2023-11-12 00:00:00+00:00</t>
  </si>
  <si>
    <t>2023-11-13 00:00:00+00:00</t>
  </si>
  <si>
    <t>2023-11-14 00:00:00+00:00</t>
  </si>
  <si>
    <t>2023-11-15 00:00:00+00:00</t>
  </si>
  <si>
    <t>2023-11-16 00:00:00+00:00</t>
  </si>
  <si>
    <t>2023-11-17 00:00:00+00:00</t>
  </si>
  <si>
    <t>2023-11-18 00:00:00+00:00</t>
  </si>
  <si>
    <t>2023-11-19 00:00:00+00:00</t>
  </si>
  <si>
    <t>2023-11-20 00:00:00+00:00</t>
  </si>
  <si>
    <t>2023-11-21 00:00:00+00:00</t>
  </si>
  <si>
    <t>2023-11-22 00:00:00+00:00</t>
  </si>
  <si>
    <t>2023-11-23 00:00:00+00:00</t>
  </si>
  <si>
    <t>2023-11-24 00:00:00+00:00</t>
  </si>
  <si>
    <t>2023-11-25 00:00:00+00:00</t>
  </si>
  <si>
    <t>2023-11-26 00:00:00+00:00</t>
  </si>
  <si>
    <t>2023-11-27 00:00:00+00:00</t>
  </si>
  <si>
    <t>2023-11-28 00:00:00+00:00</t>
  </si>
  <si>
    <t>2023-11-29 00:00:00+00:00</t>
  </si>
  <si>
    <t>2023-11-30 00:00:00+00:00</t>
  </si>
  <si>
    <t>2023-12-01 00:00:00+00:00</t>
  </si>
  <si>
    <t>2023-12-02 00:00:00+00:00</t>
  </si>
  <si>
    <t>2023-12-03 00:00:00+00:00</t>
  </si>
  <si>
    <t>2023-12-04 00:00:00+00:00</t>
  </si>
  <si>
    <t>2023-12-05 00:00:00+00:00</t>
  </si>
  <si>
    <t>2023-12-06 00:00:00+00:00</t>
  </si>
  <si>
    <t>2023-12-07 00:00:00+00:00</t>
  </si>
  <si>
    <t>2023-12-08 00:00:00+00:00</t>
  </si>
  <si>
    <t>2023-12-09 00:00:00+00:00</t>
  </si>
  <si>
    <t>2023-12-10 00:00:00+00:00</t>
  </si>
  <si>
    <t>2023-12-11 00:00:00+00:00</t>
  </si>
  <si>
    <t>2023-12-12 00:00:00+00:00</t>
  </si>
  <si>
    <t>2023-12-13 00:00:00+00:00</t>
  </si>
  <si>
    <t>2023-12-14 00:00:00+00:00</t>
  </si>
  <si>
    <t>2023-12-15 00:00:00+00:00</t>
  </si>
  <si>
    <t>2023-12-16 00:00:00+00:00</t>
  </si>
  <si>
    <t>2023-12-17 00:00:00+00:00</t>
  </si>
  <si>
    <t>2023-12-18 00:00:00+00:00</t>
  </si>
  <si>
    <t>2023-12-19 00:00:00+00:00</t>
  </si>
  <si>
    <t>2023-12-20 00:00:00+00:00</t>
  </si>
  <si>
    <t>2023-12-21 00:00:00+00:00</t>
  </si>
  <si>
    <t>2023-12-22 00:00:00+00:00</t>
  </si>
  <si>
    <t>2023-12-23 00:00:00+00:00</t>
  </si>
  <si>
    <t>2023-12-24 00:00:00+00:00</t>
  </si>
  <si>
    <t>2023-12-25 00:00:00+00:00</t>
  </si>
  <si>
    <t>2023-12-26 00:00:00+00:00</t>
  </si>
  <si>
    <t>2023-12-27 00:00:00+00:00</t>
  </si>
  <si>
    <t>2023-12-28 00:00:00+00:00</t>
  </si>
  <si>
    <t>2023-12-29 00:00:00+00:00</t>
  </si>
  <si>
    <t>2023-12-30 00:00:00+00:00</t>
  </si>
  <si>
    <t>2023-12-31 00:00:00+00:00</t>
  </si>
  <si>
    <t>2024-01-01 00:00:00+00:00</t>
  </si>
  <si>
    <t>2024-01-02 00:00:00+00:00</t>
  </si>
  <si>
    <t>2024-01-03 00:00:00+00:00</t>
  </si>
  <si>
    <t>2024-01-04 00:00:00+00:00</t>
  </si>
  <si>
    <t>2024-01-05 00:00:00+00:00</t>
  </si>
  <si>
    <t>2024-01-06 00:00:00+00:00</t>
  </si>
  <si>
    <t>2024-01-07 00:00:00+00:00</t>
  </si>
  <si>
    <t>2024-01-08 00:00:00+00:00</t>
  </si>
  <si>
    <t>2024-01-09 00:00:00+00:00</t>
  </si>
  <si>
    <t>2024-01-10 00:00:00+00:00</t>
  </si>
  <si>
    <t>2024-01-11 00:00:00+00:00</t>
  </si>
  <si>
    <t>2024-01-12 00:00:00+00:00</t>
  </si>
  <si>
    <t>2024-01-13 00:00:00+00:00</t>
  </si>
  <si>
    <t>2024-01-14 00:00:00+00:00</t>
  </si>
  <si>
    <t>2024-01-15 00:00:00+00:00</t>
  </si>
  <si>
    <t>2024-01-16 00:00:00+00:00</t>
  </si>
  <si>
    <t>2024-01-17 00:00:00+00:00</t>
  </si>
  <si>
    <t>2024-01-18 00:00:00+00:00</t>
  </si>
  <si>
    <t>2024-01-19 00:00:00+00:00</t>
  </si>
  <si>
    <t>2024-01-20 00:00:00+00:00</t>
  </si>
  <si>
    <t>2024-01-21 00:00:00+00:00</t>
  </si>
  <si>
    <t>2024-01-22 00:00:00+00:00</t>
  </si>
  <si>
    <t>2024-01-23 00:00:00+00:00</t>
  </si>
  <si>
    <t>2024-01-24 00:00:00+00:00</t>
  </si>
  <si>
    <t>2024-01-25 00:00:00+00:00</t>
  </si>
  <si>
    <t>2024-01-26 00:00:00+00:00</t>
  </si>
  <si>
    <t>2024-01-27 00:00:00+00:00</t>
  </si>
  <si>
    <t>2024-01-28 00:00:00+00:00</t>
  </si>
  <si>
    <t>2024-01-29 00:00:00+00:00</t>
  </si>
  <si>
    <t>2024-01-30 00:00:00+00:00</t>
  </si>
  <si>
    <t>2024-01-31 00:00:00+00:00</t>
  </si>
  <si>
    <t>beta</t>
  </si>
  <si>
    <t>Corrected_MIRA_EGR</t>
  </si>
  <si>
    <t>Predicted_MIRA_EGR</t>
  </si>
  <si>
    <t>MIRA_EGR</t>
  </si>
  <si>
    <t>Biomass</t>
  </si>
  <si>
    <t>GRdry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</si>
</sst>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Kdose_SM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642541557305337E-2"/>
                  <c:y val="-0.5572393554972294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selhausen_SM_EGR_daily!$D$8:$D$400</c:f>
              <c:numCache>
                <c:formatCode>General</c:formatCode>
                <c:ptCount val="393"/>
                <c:pt idx="0">
                  <c:v>35.267864366824199</c:v>
                </c:pt>
                <c:pt idx="1">
                  <c:v>35.1993709636075</c:v>
                </c:pt>
                <c:pt idx="2">
                  <c:v>34.623326589406403</c:v>
                </c:pt>
                <c:pt idx="3">
                  <c:v>34.047282215205399</c:v>
                </c:pt>
                <c:pt idx="4">
                  <c:v>33.471237841004303</c:v>
                </c:pt>
                <c:pt idx="5">
                  <c:v>32.895193466803299</c:v>
                </c:pt>
                <c:pt idx="6">
                  <c:v>32.731530427774302</c:v>
                </c:pt>
                <c:pt idx="7">
                  <c:v>32.596651251184497</c:v>
                </c:pt>
                <c:pt idx="8">
                  <c:v>32.4536587751696</c:v>
                </c:pt>
                <c:pt idx="9">
                  <c:v>32.176603565747101</c:v>
                </c:pt>
                <c:pt idx="10">
                  <c:v>31.936275817145599</c:v>
                </c:pt>
                <c:pt idx="11">
                  <c:v>31.824461490872402</c:v>
                </c:pt>
                <c:pt idx="12">
                  <c:v>31.659673067343999</c:v>
                </c:pt>
                <c:pt idx="13">
                  <c:v>31.473443625845999</c:v>
                </c:pt>
                <c:pt idx="14">
                  <c:v>31.851141941655001</c:v>
                </c:pt>
                <c:pt idx="15">
                  <c:v>31.8194347825062</c:v>
                </c:pt>
                <c:pt idx="16">
                  <c:v>31.599505151353402</c:v>
                </c:pt>
                <c:pt idx="17">
                  <c:v>31.463331280833</c:v>
                </c:pt>
                <c:pt idx="18">
                  <c:v>33.151635158716701</c:v>
                </c:pt>
                <c:pt idx="19">
                  <c:v>32.998640120501001</c:v>
                </c:pt>
                <c:pt idx="20">
                  <c:v>32.794448674991102</c:v>
                </c:pt>
                <c:pt idx="21">
                  <c:v>32.166767682053397</c:v>
                </c:pt>
                <c:pt idx="22">
                  <c:v>31.524188101936598</c:v>
                </c:pt>
                <c:pt idx="23">
                  <c:v>31.138822162791101</c:v>
                </c:pt>
                <c:pt idx="24">
                  <c:v>30.705000572561101</c:v>
                </c:pt>
                <c:pt idx="25">
                  <c:v>30.488454813834799</c:v>
                </c:pt>
                <c:pt idx="26">
                  <c:v>30.405468680709301</c:v>
                </c:pt>
                <c:pt idx="27">
                  <c:v>30.4157502506878</c:v>
                </c:pt>
                <c:pt idx="28">
                  <c:v>30.3620788052596</c:v>
                </c:pt>
                <c:pt idx="29">
                  <c:v>30.335750368182499</c:v>
                </c:pt>
                <c:pt idx="30">
                  <c:v>32.315058318218497</c:v>
                </c:pt>
                <c:pt idx="31">
                  <c:v>36.337446053406097</c:v>
                </c:pt>
                <c:pt idx="32">
                  <c:v>37.0493163861155</c:v>
                </c:pt>
                <c:pt idx="33">
                  <c:v>37.159532534574801</c:v>
                </c:pt>
                <c:pt idx="34">
                  <c:v>36.058666854678798</c:v>
                </c:pt>
                <c:pt idx="35">
                  <c:v>35.3272768251298</c:v>
                </c:pt>
                <c:pt idx="36">
                  <c:v>34.870909228816899</c:v>
                </c:pt>
                <c:pt idx="37">
                  <c:v>36.107426871348601</c:v>
                </c:pt>
                <c:pt idx="38">
                  <c:v>36.894246105104102</c:v>
                </c:pt>
                <c:pt idx="39">
                  <c:v>35.586914151347898</c:v>
                </c:pt>
                <c:pt idx="40">
                  <c:v>34.740036497319103</c:v>
                </c:pt>
                <c:pt idx="41">
                  <c:v>34.1406571505727</c:v>
                </c:pt>
                <c:pt idx="42">
                  <c:v>33.755179624401798</c:v>
                </c:pt>
                <c:pt idx="43">
                  <c:v>33.440578497936897</c:v>
                </c:pt>
                <c:pt idx="44">
                  <c:v>33.366809618916299</c:v>
                </c:pt>
                <c:pt idx="45">
                  <c:v>33.2781730489151</c:v>
                </c:pt>
                <c:pt idx="46">
                  <c:v>32.989720538044701</c:v>
                </c:pt>
                <c:pt idx="47">
                  <c:v>32.6202136074062</c:v>
                </c:pt>
                <c:pt idx="48">
                  <c:v>32.632159117632497</c:v>
                </c:pt>
                <c:pt idx="49">
                  <c:v>35.194891389522901</c:v>
                </c:pt>
                <c:pt idx="50">
                  <c:v>35.5541925632211</c:v>
                </c:pt>
                <c:pt idx="51">
                  <c:v>34.451621502619801</c:v>
                </c:pt>
                <c:pt idx="52">
                  <c:v>33.918666064892903</c:v>
                </c:pt>
                <c:pt idx="53">
                  <c:v>34.9264315009531</c:v>
                </c:pt>
                <c:pt idx="54">
                  <c:v>35.9720499422329</c:v>
                </c:pt>
                <c:pt idx="55">
                  <c:v>37.452550331109897</c:v>
                </c:pt>
                <c:pt idx="56">
                  <c:v>36.853394534188098</c:v>
                </c:pt>
                <c:pt idx="57">
                  <c:v>35.419109861034798</c:v>
                </c:pt>
                <c:pt idx="58">
                  <c:v>34.230262953228298</c:v>
                </c:pt>
                <c:pt idx="59">
                  <c:v>33.353690098410297</c:v>
                </c:pt>
                <c:pt idx="60">
                  <c:v>32.906982665148497</c:v>
                </c:pt>
                <c:pt idx="61">
                  <c:v>34.001598062262502</c:v>
                </c:pt>
                <c:pt idx="62">
                  <c:v>33.594117494012103</c:v>
                </c:pt>
                <c:pt idx="63">
                  <c:v>32.863698666536798</c:v>
                </c:pt>
                <c:pt idx="64">
                  <c:v>31.929528519340501</c:v>
                </c:pt>
                <c:pt idx="65">
                  <c:v>31.8187544647027</c:v>
                </c:pt>
                <c:pt idx="66">
                  <c:v>31.978542344228199</c:v>
                </c:pt>
                <c:pt idx="67">
                  <c:v>32.119359103697299</c:v>
                </c:pt>
                <c:pt idx="68">
                  <c:v>31.388270840056101</c:v>
                </c:pt>
                <c:pt idx="69">
                  <c:v>30.826170185197999</c:v>
                </c:pt>
                <c:pt idx="70">
                  <c:v>30.795057920367299</c:v>
                </c:pt>
                <c:pt idx="71">
                  <c:v>31.101263937880301</c:v>
                </c:pt>
                <c:pt idx="72">
                  <c:v>30.589301263243598</c:v>
                </c:pt>
                <c:pt idx="73">
                  <c:v>29.8002461812139</c:v>
                </c:pt>
                <c:pt idx="74">
                  <c:v>29.5227431967092</c:v>
                </c:pt>
                <c:pt idx="75">
                  <c:v>31.740145579730001</c:v>
                </c:pt>
                <c:pt idx="76">
                  <c:v>32.477372669146398</c:v>
                </c:pt>
                <c:pt idx="77">
                  <c:v>31.7710212648884</c:v>
                </c:pt>
                <c:pt idx="78">
                  <c:v>33.994098202371397</c:v>
                </c:pt>
                <c:pt idx="79">
                  <c:v>33.625050559207203</c:v>
                </c:pt>
                <c:pt idx="80">
                  <c:v>32.261598678655503</c:v>
                </c:pt>
                <c:pt idx="81">
                  <c:v>31.270556767525001</c:v>
                </c:pt>
                <c:pt idx="82">
                  <c:v>31.341742482722601</c:v>
                </c:pt>
                <c:pt idx="83">
                  <c:v>31.499305644137699</c:v>
                </c:pt>
                <c:pt idx="84">
                  <c:v>30.844746298729699</c:v>
                </c:pt>
                <c:pt idx="85">
                  <c:v>31.092952604678199</c:v>
                </c:pt>
                <c:pt idx="86">
                  <c:v>32.520759688818899</c:v>
                </c:pt>
                <c:pt idx="87">
                  <c:v>31.125154741045002</c:v>
                </c:pt>
                <c:pt idx="88">
                  <c:v>29.743116706564699</c:v>
                </c:pt>
                <c:pt idx="89">
                  <c:v>28.835197503355001</c:v>
                </c:pt>
                <c:pt idx="90">
                  <c:v>28.7999343310602</c:v>
                </c:pt>
                <c:pt idx="91">
                  <c:v>28.887370540225</c:v>
                </c:pt>
                <c:pt idx="92">
                  <c:v>29.193154150494699</c:v>
                </c:pt>
                <c:pt idx="93">
                  <c:v>30.558400191701999</c:v>
                </c:pt>
                <c:pt idx="94">
                  <c:v>35.7448051577801</c:v>
                </c:pt>
                <c:pt idx="95">
                  <c:v>35.842524481833401</c:v>
                </c:pt>
                <c:pt idx="96">
                  <c:v>36.535171254122901</c:v>
                </c:pt>
                <c:pt idx="97">
                  <c:v>34.810315729182598</c:v>
                </c:pt>
                <c:pt idx="98">
                  <c:v>33.261872706583802</c:v>
                </c:pt>
                <c:pt idx="99">
                  <c:v>31.866719774305999</c:v>
                </c:pt>
                <c:pt idx="100">
                  <c:v>32.245625550981799</c:v>
                </c:pt>
                <c:pt idx="101">
                  <c:v>31.377793676799399</c:v>
                </c:pt>
                <c:pt idx="102">
                  <c:v>30.153389849566299</c:v>
                </c:pt>
                <c:pt idx="103">
                  <c:v>29.028954763539399</c:v>
                </c:pt>
                <c:pt idx="104">
                  <c:v>28.037238426599401</c:v>
                </c:pt>
                <c:pt idx="105">
                  <c:v>27.245549377518198</c:v>
                </c:pt>
                <c:pt idx="106">
                  <c:v>26.513923209679302</c:v>
                </c:pt>
                <c:pt idx="107">
                  <c:v>25.963983990271</c:v>
                </c:pt>
                <c:pt idx="108">
                  <c:v>25.4109470343293</c:v>
                </c:pt>
                <c:pt idx="109">
                  <c:v>24.801535714449901</c:v>
                </c:pt>
                <c:pt idx="110">
                  <c:v>24.038942728144001</c:v>
                </c:pt>
                <c:pt idx="111">
                  <c:v>23.1799587860299</c:v>
                </c:pt>
                <c:pt idx="112">
                  <c:v>22.301716058769902</c:v>
                </c:pt>
                <c:pt idx="113">
                  <c:v>21.4644273422746</c:v>
                </c:pt>
                <c:pt idx="114">
                  <c:v>20.719358996576801</c:v>
                </c:pt>
                <c:pt idx="115">
                  <c:v>19.883847871136499</c:v>
                </c:pt>
                <c:pt idx="116">
                  <c:v>19.0724667794684</c:v>
                </c:pt>
                <c:pt idx="117">
                  <c:v>18.4252096373617</c:v>
                </c:pt>
                <c:pt idx="118">
                  <c:v>17.816724878372401</c:v>
                </c:pt>
                <c:pt idx="119">
                  <c:v>17.1409611910113</c:v>
                </c:pt>
                <c:pt idx="120">
                  <c:v>16.502159339338501</c:v>
                </c:pt>
                <c:pt idx="121">
                  <c:v>15.9564505597438</c:v>
                </c:pt>
                <c:pt idx="122">
                  <c:v>15.5549989264365</c:v>
                </c:pt>
                <c:pt idx="123">
                  <c:v>15.3481669916854</c:v>
                </c:pt>
                <c:pt idx="124">
                  <c:v>15.1018072418783</c:v>
                </c:pt>
                <c:pt idx="125">
                  <c:v>14.684364347253</c:v>
                </c:pt>
                <c:pt idx="126">
                  <c:v>14.2719829044572</c:v>
                </c:pt>
                <c:pt idx="127">
                  <c:v>13.870311719019099</c:v>
                </c:pt>
                <c:pt idx="128">
                  <c:v>13.639805136925499</c:v>
                </c:pt>
                <c:pt idx="129">
                  <c:v>13.40179509969</c:v>
                </c:pt>
                <c:pt idx="130">
                  <c:v>13.2012271610472</c:v>
                </c:pt>
                <c:pt idx="131">
                  <c:v>13.0367602107941</c:v>
                </c:pt>
                <c:pt idx="132">
                  <c:v>12.8647316479148</c:v>
                </c:pt>
                <c:pt idx="133">
                  <c:v>12.7303546672451</c:v>
                </c:pt>
                <c:pt idx="134">
                  <c:v>12.688782936202999</c:v>
                </c:pt>
                <c:pt idx="135">
                  <c:v>12.6080413025986</c:v>
                </c:pt>
                <c:pt idx="136">
                  <c:v>12.534826272679499</c:v>
                </c:pt>
                <c:pt idx="137">
                  <c:v>14.065510931278901</c:v>
                </c:pt>
                <c:pt idx="138">
                  <c:v>19.3980679660086</c:v>
                </c:pt>
                <c:pt idx="139">
                  <c:v>18.4400443392759</c:v>
                </c:pt>
                <c:pt idx="140">
                  <c:v>17.384240805547901</c:v>
                </c:pt>
                <c:pt idx="141">
                  <c:v>16.398364993737701</c:v>
                </c:pt>
                <c:pt idx="142">
                  <c:v>15.6553489222811</c:v>
                </c:pt>
                <c:pt idx="143">
                  <c:v>15.380249305344799</c:v>
                </c:pt>
                <c:pt idx="144">
                  <c:v>15.2716752420641</c:v>
                </c:pt>
                <c:pt idx="145">
                  <c:v>16.6785179219513</c:v>
                </c:pt>
                <c:pt idx="146">
                  <c:v>16.540718787753001</c:v>
                </c:pt>
                <c:pt idx="147">
                  <c:v>16.248685515698298</c:v>
                </c:pt>
                <c:pt idx="148">
                  <c:v>15.589959430437</c:v>
                </c:pt>
                <c:pt idx="149">
                  <c:v>14.9898123244141</c:v>
                </c:pt>
                <c:pt idx="150">
                  <c:v>14.793556725618901</c:v>
                </c:pt>
                <c:pt idx="151">
                  <c:v>14.742843160888899</c:v>
                </c:pt>
                <c:pt idx="152">
                  <c:v>14.499666533743699</c:v>
                </c:pt>
                <c:pt idx="153">
                  <c:v>14.1678150842577</c:v>
                </c:pt>
                <c:pt idx="154">
                  <c:v>13.951461268176899</c:v>
                </c:pt>
                <c:pt idx="155">
                  <c:v>14.0090446378438</c:v>
                </c:pt>
                <c:pt idx="156">
                  <c:v>13.8792491166662</c:v>
                </c:pt>
                <c:pt idx="157">
                  <c:v>13.6475018409566</c:v>
                </c:pt>
                <c:pt idx="158">
                  <c:v>13.414761370551</c:v>
                </c:pt>
                <c:pt idx="159">
                  <c:v>13.269424938927299</c:v>
                </c:pt>
                <c:pt idx="160">
                  <c:v>13.2052249199362</c:v>
                </c:pt>
                <c:pt idx="161">
                  <c:v>13.3557071277103</c:v>
                </c:pt>
                <c:pt idx="162">
                  <c:v>13.3386361813712</c:v>
                </c:pt>
                <c:pt idx="163">
                  <c:v>13.1857484192771</c:v>
                </c:pt>
                <c:pt idx="164">
                  <c:v>13.0783631808319</c:v>
                </c:pt>
                <c:pt idx="165">
                  <c:v>12.978034852513099</c:v>
                </c:pt>
                <c:pt idx="166">
                  <c:v>12.9029415853653</c:v>
                </c:pt>
                <c:pt idx="167">
                  <c:v>12.799866503661001</c:v>
                </c:pt>
                <c:pt idx="168">
                  <c:v>12.630043115208199</c:v>
                </c:pt>
                <c:pt idx="169">
                  <c:v>13.155723285701299</c:v>
                </c:pt>
                <c:pt idx="170">
                  <c:v>13.956676291902699</c:v>
                </c:pt>
                <c:pt idx="171">
                  <c:v>14.1640073779721</c:v>
                </c:pt>
                <c:pt idx="172">
                  <c:v>14.734635518111</c:v>
                </c:pt>
                <c:pt idx="173">
                  <c:v>17.246028724485999</c:v>
                </c:pt>
                <c:pt idx="174">
                  <c:v>18.7407199599999</c:v>
                </c:pt>
                <c:pt idx="175">
                  <c:v>20.227284219208201</c:v>
                </c:pt>
                <c:pt idx="176">
                  <c:v>21.197110881493</c:v>
                </c:pt>
                <c:pt idx="177">
                  <c:v>25.432610506773901</c:v>
                </c:pt>
                <c:pt idx="178">
                  <c:v>26.221159404808901</c:v>
                </c:pt>
                <c:pt idx="179">
                  <c:v>26.9255638983179</c:v>
                </c:pt>
                <c:pt idx="180">
                  <c:v>27.149733979157901</c:v>
                </c:pt>
                <c:pt idx="181">
                  <c:v>26.333475464708201</c:v>
                </c:pt>
                <c:pt idx="182">
                  <c:v>30.1608705360416</c:v>
                </c:pt>
                <c:pt idx="183">
                  <c:v>30.605315963638802</c:v>
                </c:pt>
                <c:pt idx="184">
                  <c:v>29.030152283597101</c:v>
                </c:pt>
                <c:pt idx="185">
                  <c:v>29.878552974986</c:v>
                </c:pt>
                <c:pt idx="186">
                  <c:v>28.6887912056944</c:v>
                </c:pt>
                <c:pt idx="187">
                  <c:v>27.443521617152701</c:v>
                </c:pt>
                <c:pt idx="188">
                  <c:v>30.813751942416602</c:v>
                </c:pt>
                <c:pt idx="189">
                  <c:v>29.740374642152702</c:v>
                </c:pt>
                <c:pt idx="190">
                  <c:v>28.506178668680398</c:v>
                </c:pt>
                <c:pt idx="191">
                  <c:v>28.709956359611098</c:v>
                </c:pt>
                <c:pt idx="192">
                  <c:v>28.919571531805499</c:v>
                </c:pt>
                <c:pt idx="193">
                  <c:v>31.453605799236001</c:v>
                </c:pt>
                <c:pt idx="194">
                  <c:v>30.016890578944299</c:v>
                </c:pt>
                <c:pt idx="195">
                  <c:v>28.919413075180501</c:v>
                </c:pt>
                <c:pt idx="196">
                  <c:v>27.982316732972102</c:v>
                </c:pt>
                <c:pt idx="197">
                  <c:v>26.7234445732221</c:v>
                </c:pt>
                <c:pt idx="198">
                  <c:v>25.654445621735999</c:v>
                </c:pt>
                <c:pt idx="199">
                  <c:v>24.529209716069399</c:v>
                </c:pt>
                <c:pt idx="200">
                  <c:v>23.790099215638801</c:v>
                </c:pt>
                <c:pt idx="201">
                  <c:v>26.870676620888801</c:v>
                </c:pt>
                <c:pt idx="202">
                  <c:v>28.727012494819299</c:v>
                </c:pt>
                <c:pt idx="203">
                  <c:v>27.4028524032916</c:v>
                </c:pt>
                <c:pt idx="204">
                  <c:v>26.6187733402259</c:v>
                </c:pt>
                <c:pt idx="205">
                  <c:v>25.998387141483601</c:v>
                </c:pt>
                <c:pt idx="206">
                  <c:v>26.047473524138798</c:v>
                </c:pt>
                <c:pt idx="207">
                  <c:v>27.095320503236</c:v>
                </c:pt>
                <c:pt idx="208">
                  <c:v>30.6466978299582</c:v>
                </c:pt>
                <c:pt idx="209">
                  <c:v>31.595901990735999</c:v>
                </c:pt>
                <c:pt idx="210">
                  <c:v>30.4030089779721</c:v>
                </c:pt>
                <c:pt idx="211">
                  <c:v>29.239402826499902</c:v>
                </c:pt>
                <c:pt idx="212">
                  <c:v>27.907813418013799</c:v>
                </c:pt>
                <c:pt idx="213">
                  <c:v>26.7159381721839</c:v>
                </c:pt>
                <c:pt idx="214">
                  <c:v>23.995684525626</c:v>
                </c:pt>
                <c:pt idx="215">
                  <c:v>23.7601182871337</c:v>
                </c:pt>
                <c:pt idx="216">
                  <c:v>23.499634694358502</c:v>
                </c:pt>
                <c:pt idx="217">
                  <c:v>23.244947879529199</c:v>
                </c:pt>
                <c:pt idx="218">
                  <c:v>22.945815931696501</c:v>
                </c:pt>
                <c:pt idx="219">
                  <c:v>24.033854082923799</c:v>
                </c:pt>
                <c:pt idx="220">
                  <c:v>29.503924314726401</c:v>
                </c:pt>
                <c:pt idx="221">
                  <c:v>28.741324029191901</c:v>
                </c:pt>
                <c:pt idx="222">
                  <c:v>27.9195067778133</c:v>
                </c:pt>
                <c:pt idx="223">
                  <c:v>27.538497196261599</c:v>
                </c:pt>
                <c:pt idx="224">
                  <c:v>27.4906890629847</c:v>
                </c:pt>
                <c:pt idx="225">
                  <c:v>27.149424685076301</c:v>
                </c:pt>
                <c:pt idx="226">
                  <c:v>26.665504798477802</c:v>
                </c:pt>
                <c:pt idx="227">
                  <c:v>26.0421322048668</c:v>
                </c:pt>
                <c:pt idx="228">
                  <c:v>26.1494750034615</c:v>
                </c:pt>
                <c:pt idx="229">
                  <c:v>28.088133900033</c:v>
                </c:pt>
                <c:pt idx="230">
                  <c:v>28.5459110472178</c:v>
                </c:pt>
                <c:pt idx="231">
                  <c:v>27.6599074387107</c:v>
                </c:pt>
                <c:pt idx="232">
                  <c:v>26.895821858144199</c:v>
                </c:pt>
                <c:pt idx="233">
                  <c:v>26.3374477187295</c:v>
                </c:pt>
                <c:pt idx="234">
                  <c:v>25.8871552580908</c:v>
                </c:pt>
                <c:pt idx="235">
                  <c:v>25.506677034009101</c:v>
                </c:pt>
                <c:pt idx="236">
                  <c:v>25.191092204862301</c:v>
                </c:pt>
                <c:pt idx="237">
                  <c:v>24.911594257879599</c:v>
                </c:pt>
                <c:pt idx="238">
                  <c:v>24.608016751176201</c:v>
                </c:pt>
                <c:pt idx="239">
                  <c:v>24.290534069230699</c:v>
                </c:pt>
                <c:pt idx="240">
                  <c:v>24.058565918509199</c:v>
                </c:pt>
                <c:pt idx="241">
                  <c:v>24.037524589978499</c:v>
                </c:pt>
                <c:pt idx="242">
                  <c:v>23.8442329907048</c:v>
                </c:pt>
                <c:pt idx="243">
                  <c:v>23.499316363920698</c:v>
                </c:pt>
                <c:pt idx="244">
                  <c:v>23.0075209086279</c:v>
                </c:pt>
                <c:pt idx="245">
                  <c:v>22.5017628295058</c:v>
                </c:pt>
                <c:pt idx="246">
                  <c:v>22.083467953183</c:v>
                </c:pt>
                <c:pt idx="247">
                  <c:v>21.609753503034899</c:v>
                </c:pt>
                <c:pt idx="248">
                  <c:v>21.0457879157969</c:v>
                </c:pt>
                <c:pt idx="249">
                  <c:v>20.4324574252689</c:v>
                </c:pt>
                <c:pt idx="250">
                  <c:v>20.281381125061799</c:v>
                </c:pt>
                <c:pt idx="251">
                  <c:v>20.465845404642501</c:v>
                </c:pt>
                <c:pt idx="252">
                  <c:v>20.799153317267098</c:v>
                </c:pt>
                <c:pt idx="253">
                  <c:v>20.9356204951224</c:v>
                </c:pt>
                <c:pt idx="254">
                  <c:v>20.872744858217601</c:v>
                </c:pt>
                <c:pt idx="255">
                  <c:v>21.0929165949312</c:v>
                </c:pt>
                <c:pt idx="256">
                  <c:v>24.210431733414801</c:v>
                </c:pt>
                <c:pt idx="257">
                  <c:v>29.412694938656099</c:v>
                </c:pt>
                <c:pt idx="258">
                  <c:v>32.923101578848701</c:v>
                </c:pt>
                <c:pt idx="259">
                  <c:v>32.142210303991497</c:v>
                </c:pt>
                <c:pt idx="260">
                  <c:v>32.631385721304099</c:v>
                </c:pt>
                <c:pt idx="261">
                  <c:v>33.575521381364801</c:v>
                </c:pt>
                <c:pt idx="262">
                  <c:v>34.460600721793199</c:v>
                </c:pt>
                <c:pt idx="263">
                  <c:v>34.0193149623856</c:v>
                </c:pt>
                <c:pt idx="264">
                  <c:v>35.350378631574301</c:v>
                </c:pt>
                <c:pt idx="265">
                  <c:v>34.567769313829501</c:v>
                </c:pt>
                <c:pt idx="266">
                  <c:v>33.672264810191301</c:v>
                </c:pt>
                <c:pt idx="267">
                  <c:v>34.058262461225901</c:v>
                </c:pt>
                <c:pt idx="268">
                  <c:v>34.927886847788798</c:v>
                </c:pt>
                <c:pt idx="269">
                  <c:v>35.117848816544999</c:v>
                </c:pt>
                <c:pt idx="270">
                  <c:v>34.620813410053501</c:v>
                </c:pt>
                <c:pt idx="271">
                  <c:v>31.7434225339444</c:v>
                </c:pt>
                <c:pt idx="272">
                  <c:v>31.2355184243332</c:v>
                </c:pt>
                <c:pt idx="273">
                  <c:v>31.592126725388798</c:v>
                </c:pt>
                <c:pt idx="274">
                  <c:v>31.905589145333199</c:v>
                </c:pt>
                <c:pt idx="275">
                  <c:v>31.654561910888798</c:v>
                </c:pt>
                <c:pt idx="276">
                  <c:v>31.478487529444301</c:v>
                </c:pt>
                <c:pt idx="277">
                  <c:v>32.727696565735997</c:v>
                </c:pt>
                <c:pt idx="278">
                  <c:v>34.985504359694303</c:v>
                </c:pt>
                <c:pt idx="279">
                  <c:v>36.117573445284599</c:v>
                </c:pt>
                <c:pt idx="280">
                  <c:v>34.855615928611002</c:v>
                </c:pt>
                <c:pt idx="281">
                  <c:v>35.393371734930398</c:v>
                </c:pt>
                <c:pt idx="282">
                  <c:v>36.915412255999399</c:v>
                </c:pt>
                <c:pt idx="283">
                  <c:v>36.5589696569632</c:v>
                </c:pt>
                <c:pt idx="284">
                  <c:v>35.518264992157199</c:v>
                </c:pt>
                <c:pt idx="285">
                  <c:v>36.796886413280298</c:v>
                </c:pt>
                <c:pt idx="286">
                  <c:v>37.2384811923638</c:v>
                </c:pt>
                <c:pt idx="287">
                  <c:v>37.1254049966279</c:v>
                </c:pt>
                <c:pt idx="288">
                  <c:v>36.931095282001898</c:v>
                </c:pt>
                <c:pt idx="289">
                  <c:v>37.351921598185697</c:v>
                </c:pt>
                <c:pt idx="290">
                  <c:v>36.421603679425097</c:v>
                </c:pt>
                <c:pt idx="291">
                  <c:v>35.855795303946202</c:v>
                </c:pt>
                <c:pt idx="292">
                  <c:v>37.374237942877102</c:v>
                </c:pt>
                <c:pt idx="293">
                  <c:v>37.683946984656302</c:v>
                </c:pt>
                <c:pt idx="294">
                  <c:v>37.645893852925099</c:v>
                </c:pt>
                <c:pt idx="295">
                  <c:v>39.207286499989003</c:v>
                </c:pt>
                <c:pt idx="296">
                  <c:v>38.704357218372998</c:v>
                </c:pt>
                <c:pt idx="297">
                  <c:v>37.534592205244998</c:v>
                </c:pt>
                <c:pt idx="298">
                  <c:v>37.210148148726198</c:v>
                </c:pt>
                <c:pt idx="299">
                  <c:v>36.950075435126202</c:v>
                </c:pt>
                <c:pt idx="300">
                  <c:v>36.4682711885836</c:v>
                </c:pt>
                <c:pt idx="301">
                  <c:v>35.812876792585598</c:v>
                </c:pt>
                <c:pt idx="302">
                  <c:v>36.286495541424202</c:v>
                </c:pt>
                <c:pt idx="303">
                  <c:v>38.6733617616187</c:v>
                </c:pt>
                <c:pt idx="304">
                  <c:v>38.173596798364102</c:v>
                </c:pt>
                <c:pt idx="305">
                  <c:v>37.410789125817097</c:v>
                </c:pt>
                <c:pt idx="306">
                  <c:v>37.5581926883549</c:v>
                </c:pt>
                <c:pt idx="307">
                  <c:v>37.623209145579402</c:v>
                </c:pt>
                <c:pt idx="308">
                  <c:v>37.728612629846602</c:v>
                </c:pt>
                <c:pt idx="309">
                  <c:v>37.71304724422</c:v>
                </c:pt>
                <c:pt idx="310">
                  <c:v>38.3655328539027</c:v>
                </c:pt>
                <c:pt idx="311">
                  <c:v>38.781087788155801</c:v>
                </c:pt>
                <c:pt idx="312">
                  <c:v>38.149409618447699</c:v>
                </c:pt>
                <c:pt idx="313">
                  <c:v>37.960801656700298</c:v>
                </c:pt>
                <c:pt idx="314">
                  <c:v>37.600125968260897</c:v>
                </c:pt>
                <c:pt idx="315">
                  <c:v>37.237026495168998</c:v>
                </c:pt>
                <c:pt idx="316">
                  <c:v>36.872246819696002</c:v>
                </c:pt>
                <c:pt idx="317">
                  <c:v>37.155280278940801</c:v>
                </c:pt>
                <c:pt idx="318">
                  <c:v>38.764227015145799</c:v>
                </c:pt>
                <c:pt idx="319">
                  <c:v>38.927309649202897</c:v>
                </c:pt>
                <c:pt idx="320">
                  <c:v>40.093474363694497</c:v>
                </c:pt>
                <c:pt idx="321">
                  <c:v>39.604227745787703</c:v>
                </c:pt>
                <c:pt idx="322">
                  <c:v>39.312630048909398</c:v>
                </c:pt>
                <c:pt idx="323">
                  <c:v>39.546169090370498</c:v>
                </c:pt>
                <c:pt idx="324">
                  <c:v>39.294561422320299</c:v>
                </c:pt>
                <c:pt idx="325">
                  <c:v>38.674690974476398</c:v>
                </c:pt>
                <c:pt idx="326">
                  <c:v>38.110974339970902</c:v>
                </c:pt>
                <c:pt idx="327">
                  <c:v>38.132267232782198</c:v>
                </c:pt>
                <c:pt idx="328">
                  <c:v>38.722027056319199</c:v>
                </c:pt>
                <c:pt idx="329">
                  <c:v>38.19657828335</c:v>
                </c:pt>
                <c:pt idx="330">
                  <c:v>37.759045780243902</c:v>
                </c:pt>
                <c:pt idx="331">
                  <c:v>39.355045714738502</c:v>
                </c:pt>
                <c:pt idx="332">
                  <c:v>39.567961146104601</c:v>
                </c:pt>
                <c:pt idx="333">
                  <c:v>40.107341797738101</c:v>
                </c:pt>
                <c:pt idx="334">
                  <c:v>39.226900913212702</c:v>
                </c:pt>
                <c:pt idx="335">
                  <c:v>39.728472595818097</c:v>
                </c:pt>
                <c:pt idx="336">
                  <c:v>39.605874709040499</c:v>
                </c:pt>
                <c:pt idx="337">
                  <c:v>38.854525458881803</c:v>
                </c:pt>
                <c:pt idx="338">
                  <c:v>38.740415868543103</c:v>
                </c:pt>
                <c:pt idx="339">
                  <c:v>38.754279923779698</c:v>
                </c:pt>
                <c:pt idx="340">
                  <c:v>38.767229336483197</c:v>
                </c:pt>
                <c:pt idx="341">
                  <c:v>38.743127476798399</c:v>
                </c:pt>
                <c:pt idx="342">
                  <c:v>38.719025617113701</c:v>
                </c:pt>
                <c:pt idx="343">
                  <c:v>38.694923757429002</c:v>
                </c:pt>
                <c:pt idx="344">
                  <c:v>38.670821897744297</c:v>
                </c:pt>
                <c:pt idx="345">
                  <c:v>38.646720038059598</c:v>
                </c:pt>
                <c:pt idx="346">
                  <c:v>38.6226181783748</c:v>
                </c:pt>
                <c:pt idx="347">
                  <c:v>38.598516318690102</c:v>
                </c:pt>
                <c:pt idx="348">
                  <c:v>38.574414459005403</c:v>
                </c:pt>
                <c:pt idx="349">
                  <c:v>38.550312599320698</c:v>
                </c:pt>
                <c:pt idx="350">
                  <c:v>38.526210739635999</c:v>
                </c:pt>
                <c:pt idx="351">
                  <c:v>38.502108879951301</c:v>
                </c:pt>
                <c:pt idx="352">
                  <c:v>38.197763899757099</c:v>
                </c:pt>
                <c:pt idx="353">
                  <c:v>37.998883200438101</c:v>
                </c:pt>
                <c:pt idx="354">
                  <c:v>37.558789281713203</c:v>
                </c:pt>
                <c:pt idx="355">
                  <c:v>38.231501503208897</c:v>
                </c:pt>
                <c:pt idx="356">
                  <c:v>37.930594108829197</c:v>
                </c:pt>
                <c:pt idx="357">
                  <c:v>37.203320865026697</c:v>
                </c:pt>
                <c:pt idx="358">
                  <c:v>36.8653056525118</c:v>
                </c:pt>
                <c:pt idx="359">
                  <c:v>36.632093418688399</c:v>
                </c:pt>
                <c:pt idx="360">
                  <c:v>36.316992311430297</c:v>
                </c:pt>
              </c:numCache>
            </c:numRef>
          </c:xVal>
          <c:yVal>
            <c:numRef>
              <c:f>selhausen_SM_EGR_daily!$B$8:$B$400</c:f>
              <c:numCache>
                <c:formatCode>General</c:formatCode>
                <c:ptCount val="393"/>
                <c:pt idx="0">
                  <c:v>89.677773672228</c:v>
                </c:pt>
                <c:pt idx="1">
                  <c:v>90.551369069587096</c:v>
                </c:pt>
                <c:pt idx="2">
                  <c:v>90.906757031458199</c:v>
                </c:pt>
                <c:pt idx="3">
                  <c:v>91.598697775433195</c:v>
                </c:pt>
                <c:pt idx="4">
                  <c:v>91.534481291355803</c:v>
                </c:pt>
                <c:pt idx="5">
                  <c:v>91.596326090495893</c:v>
                </c:pt>
                <c:pt idx="6">
                  <c:v>91.562559274159696</c:v>
                </c:pt>
                <c:pt idx="7">
                  <c:v>91.852236804325003</c:v>
                </c:pt>
                <c:pt idx="8">
                  <c:v>92.599630677359102</c:v>
                </c:pt>
                <c:pt idx="9">
                  <c:v>93.9574357211782</c:v>
                </c:pt>
                <c:pt idx="10">
                  <c:v>94.397145473936405</c:v>
                </c:pt>
                <c:pt idx="11">
                  <c:v>93.360727318346605</c:v>
                </c:pt>
                <c:pt idx="12">
                  <c:v>91.493680671329301</c:v>
                </c:pt>
                <c:pt idx="13">
                  <c:v>90.602716615175694</c:v>
                </c:pt>
                <c:pt idx="14">
                  <c:v>90.173977053680005</c:v>
                </c:pt>
                <c:pt idx="15">
                  <c:v>90.651394417558507</c:v>
                </c:pt>
                <c:pt idx="16">
                  <c:v>91.881430113799993</c:v>
                </c:pt>
                <c:pt idx="17">
                  <c:v>92.062789814456096</c:v>
                </c:pt>
                <c:pt idx="18">
                  <c:v>91.416558199218699</c:v>
                </c:pt>
                <c:pt idx="19">
                  <c:v>90.060859484378497</c:v>
                </c:pt>
                <c:pt idx="20">
                  <c:v>90.066895924202498</c:v>
                </c:pt>
                <c:pt idx="21">
                  <c:v>90.545565513363997</c:v>
                </c:pt>
                <c:pt idx="22">
                  <c:v>90.969161485897004</c:v>
                </c:pt>
                <c:pt idx="23">
                  <c:v>91.249585832524204</c:v>
                </c:pt>
                <c:pt idx="24">
                  <c:v>91.645203798133593</c:v>
                </c:pt>
                <c:pt idx="25">
                  <c:v>91.803241339848697</c:v>
                </c:pt>
                <c:pt idx="26">
                  <c:v>91.720438512182696</c:v>
                </c:pt>
                <c:pt idx="27">
                  <c:v>91.745912789318794</c:v>
                </c:pt>
                <c:pt idx="28">
                  <c:v>91.507326870385398</c:v>
                </c:pt>
                <c:pt idx="29">
                  <c:v>91.644206125434707</c:v>
                </c:pt>
                <c:pt idx="30">
                  <c:v>91.303548147706195</c:v>
                </c:pt>
                <c:pt idx="31">
                  <c:v>90.322008320383702</c:v>
                </c:pt>
                <c:pt idx="32">
                  <c:v>89.340468493061195</c:v>
                </c:pt>
                <c:pt idx="33">
                  <c:v>88.358928665738603</c:v>
                </c:pt>
                <c:pt idx="34">
                  <c:v>89.022057709365896</c:v>
                </c:pt>
                <c:pt idx="35">
                  <c:v>88.961398625484705</c:v>
                </c:pt>
                <c:pt idx="36">
                  <c:v>89.44241285519665</c:v>
                </c:pt>
                <c:pt idx="37">
                  <c:v>88.726425256945447</c:v>
                </c:pt>
                <c:pt idx="38">
                  <c:v>89.0500453603008</c:v>
                </c:pt>
                <c:pt idx="39">
                  <c:v>89.062011739770909</c:v>
                </c:pt>
                <c:pt idx="40">
                  <c:v>89.726723880757532</c:v>
                </c:pt>
                <c:pt idx="41">
                  <c:v>89.805664145991258</c:v>
                </c:pt>
                <c:pt idx="42">
                  <c:v>89.884604411224998</c:v>
                </c:pt>
                <c:pt idx="43">
                  <c:v>89.993793932433618</c:v>
                </c:pt>
                <c:pt idx="44">
                  <c:v>90.084876761490037</c:v>
                </c:pt>
                <c:pt idx="45">
                  <c:v>90.036626854870946</c:v>
                </c:pt>
                <c:pt idx="46">
                  <c:v>90.036233238686464</c:v>
                </c:pt>
                <c:pt idx="47">
                  <c:v>90.105739837415641</c:v>
                </c:pt>
                <c:pt idx="48">
                  <c:v>90.059656293843076</c:v>
                </c:pt>
                <c:pt idx="49">
                  <c:v>89.158577507514082</c:v>
                </c:pt>
                <c:pt idx="50">
                  <c:v>89.221272549693524</c:v>
                </c:pt>
                <c:pt idx="51">
                  <c:v>89.435664600334974</c:v>
                </c:pt>
                <c:pt idx="52">
                  <c:v>89.70483999776873</c:v>
                </c:pt>
                <c:pt idx="53">
                  <c:v>89.539509800973661</c:v>
                </c:pt>
                <c:pt idx="54">
                  <c:v>89.409918879714368</c:v>
                </c:pt>
                <c:pt idx="55">
                  <c:v>89.107449042586296</c:v>
                </c:pt>
                <c:pt idx="56">
                  <c:v>89.298565202883722</c:v>
                </c:pt>
                <c:pt idx="57">
                  <c:v>89.578767712756914</c:v>
                </c:pt>
                <c:pt idx="58">
                  <c:v>90.244885468010921</c:v>
                </c:pt>
                <c:pt idx="59">
                  <c:v>91.492767938289447</c:v>
                </c:pt>
                <c:pt idx="60">
                  <c:v>91.244082812500835</c:v>
                </c:pt>
                <c:pt idx="61">
                  <c:v>90.507956670280421</c:v>
                </c:pt>
                <c:pt idx="62">
                  <c:v>89.851731495787433</c:v>
                </c:pt>
                <c:pt idx="63">
                  <c:v>91.042499727802053</c:v>
                </c:pt>
                <c:pt idx="64">
                  <c:v>91.968687737502364</c:v>
                </c:pt>
                <c:pt idx="65">
                  <c:v>92.200194977924596</c:v>
                </c:pt>
                <c:pt idx="66">
                  <c:v>90.778296750457159</c:v>
                </c:pt>
                <c:pt idx="67">
                  <c:v>91.393717495994807</c:v>
                </c:pt>
                <c:pt idx="68">
                  <c:v>92.057374933709212</c:v>
                </c:pt>
                <c:pt idx="69">
                  <c:v>92.35170188122747</c:v>
                </c:pt>
                <c:pt idx="70">
                  <c:v>92.19374780378736</c:v>
                </c:pt>
                <c:pt idx="71">
                  <c:v>92.312427853210181</c:v>
                </c:pt>
                <c:pt idx="72">
                  <c:v>92.028847423460249</c:v>
                </c:pt>
                <c:pt idx="73">
                  <c:v>92.582869164739463</c:v>
                </c:pt>
                <c:pt idx="74">
                  <c:v>92.104827666520009</c:v>
                </c:pt>
                <c:pt idx="75">
                  <c:v>92.407171517177645</c:v>
                </c:pt>
                <c:pt idx="76">
                  <c:v>92.137346450361548</c:v>
                </c:pt>
                <c:pt idx="77">
                  <c:v>91.452549170286588</c:v>
                </c:pt>
                <c:pt idx="78">
                  <c:v>90.749737062400541</c:v>
                </c:pt>
                <c:pt idx="79">
                  <c:v>90.499133486205338</c:v>
                </c:pt>
                <c:pt idx="80">
                  <c:v>90.797392075084304</c:v>
                </c:pt>
                <c:pt idx="81">
                  <c:v>91.294569099473065</c:v>
                </c:pt>
                <c:pt idx="82">
                  <c:v>91.296876458868653</c:v>
                </c:pt>
                <c:pt idx="83">
                  <c:v>91.636652798014609</c:v>
                </c:pt>
                <c:pt idx="84">
                  <c:v>92.809192607189544</c:v>
                </c:pt>
                <c:pt idx="85">
                  <c:v>92.364423952271366</c:v>
                </c:pt>
                <c:pt idx="86">
                  <c:v>92.505457668541283</c:v>
                </c:pt>
                <c:pt idx="87">
                  <c:v>92.4873650996376</c:v>
                </c:pt>
                <c:pt idx="88">
                  <c:v>93.437897285613488</c:v>
                </c:pt>
                <c:pt idx="89">
                  <c:v>93.761014457282016</c:v>
                </c:pt>
                <c:pt idx="90">
                  <c:v>93.431712617941727</c:v>
                </c:pt>
                <c:pt idx="91">
                  <c:v>93.644367995383476</c:v>
                </c:pt>
                <c:pt idx="92">
                  <c:v>93.318227038885809</c:v>
                </c:pt>
                <c:pt idx="93">
                  <c:v>93.078395832918972</c:v>
                </c:pt>
                <c:pt idx="94">
                  <c:v>91.948985174527323</c:v>
                </c:pt>
                <c:pt idx="95">
                  <c:v>91.572462923726263</c:v>
                </c:pt>
                <c:pt idx="96">
                  <c:v>91.642731861870288</c:v>
                </c:pt>
                <c:pt idx="97">
                  <c:v>92.52527325691257</c:v>
                </c:pt>
                <c:pt idx="98">
                  <c:v>92.662896661827588</c:v>
                </c:pt>
                <c:pt idx="99">
                  <c:v>92.905026909716128</c:v>
                </c:pt>
                <c:pt idx="100">
                  <c:v>92.420736393214824</c:v>
                </c:pt>
                <c:pt idx="101">
                  <c:v>92.751729894357567</c:v>
                </c:pt>
                <c:pt idx="102">
                  <c:v>93.284945268831038</c:v>
                </c:pt>
                <c:pt idx="103">
                  <c:v>93.781827827103115</c:v>
                </c:pt>
                <c:pt idx="104">
                  <c:v>94.535012551522385</c:v>
                </c:pt>
                <c:pt idx="105">
                  <c:v>94.662056499647761</c:v>
                </c:pt>
                <c:pt idx="106">
                  <c:v>94.615247210322636</c:v>
                </c:pt>
                <c:pt idx="107">
                  <c:v>94.148701750229549</c:v>
                </c:pt>
                <c:pt idx="108">
                  <c:v>94.480862511627663</c:v>
                </c:pt>
                <c:pt idx="109">
                  <c:v>94.509934633770271</c:v>
                </c:pt>
                <c:pt idx="110">
                  <c:v>94.819523927098771</c:v>
                </c:pt>
                <c:pt idx="111">
                  <c:v>95.521437593476747</c:v>
                </c:pt>
                <c:pt idx="112">
                  <c:v>96.071058523389013</c:v>
                </c:pt>
                <c:pt idx="113">
                  <c:v>96.620076323755498</c:v>
                </c:pt>
                <c:pt idx="114">
                  <c:v>96.329149522119124</c:v>
                </c:pt>
                <c:pt idx="115">
                  <c:v>96.706479507865666</c:v>
                </c:pt>
                <c:pt idx="116">
                  <c:v>97.003152262996892</c:v>
                </c:pt>
                <c:pt idx="117">
                  <c:v>97.379308942106718</c:v>
                </c:pt>
                <c:pt idx="118">
                  <c:v>98.559466200855894</c:v>
                </c:pt>
                <c:pt idx="119">
                  <c:v>99.785686740644678</c:v>
                </c:pt>
                <c:pt idx="120">
                  <c:v>100.34119027418149</c:v>
                </c:pt>
                <c:pt idx="121">
                  <c:v>100.61668109756394</c:v>
                </c:pt>
                <c:pt idx="122">
                  <c:v>101.0380615100548</c:v>
                </c:pt>
                <c:pt idx="123">
                  <c:v>100.95404553976896</c:v>
                </c:pt>
                <c:pt idx="124">
                  <c:v>100.95618749928686</c:v>
                </c:pt>
                <c:pt idx="125">
                  <c:v>101.32618095546923</c:v>
                </c:pt>
                <c:pt idx="126">
                  <c:v>101.86777659937879</c:v>
                </c:pt>
                <c:pt idx="127">
                  <c:v>102.22634744068689</c:v>
                </c:pt>
                <c:pt idx="128">
                  <c:v>102.40577617585495</c:v>
                </c:pt>
                <c:pt idx="129">
                  <c:v>102.64856581027743</c:v>
                </c:pt>
                <c:pt idx="130">
                  <c:v>102.89287859427695</c:v>
                </c:pt>
                <c:pt idx="131">
                  <c:v>103.0385523093374</c:v>
                </c:pt>
                <c:pt idx="132">
                  <c:v>103.72081397011308</c:v>
                </c:pt>
                <c:pt idx="133">
                  <c:v>103.95715577798653</c:v>
                </c:pt>
                <c:pt idx="134">
                  <c:v>103.92351193554259</c:v>
                </c:pt>
                <c:pt idx="135">
                  <c:v>103.20646417704005</c:v>
                </c:pt>
                <c:pt idx="136">
                  <c:v>102.48292054169369</c:v>
                </c:pt>
                <c:pt idx="137">
                  <c:v>99.104155416677997</c:v>
                </c:pt>
                <c:pt idx="138">
                  <c:v>96.866849614595338</c:v>
                </c:pt>
                <c:pt idx="139">
                  <c:v>95.475153189233282</c:v>
                </c:pt>
                <c:pt idx="140">
                  <c:v>96.676325000244731</c:v>
                </c:pt>
                <c:pt idx="141">
                  <c:v>97.135877544746876</c:v>
                </c:pt>
                <c:pt idx="142">
                  <c:v>97.072552743472698</c:v>
                </c:pt>
                <c:pt idx="143">
                  <c:v>97.719651484405574</c:v>
                </c:pt>
                <c:pt idx="144">
                  <c:v>96.868260300093681</c:v>
                </c:pt>
                <c:pt idx="145">
                  <c:v>97.133576712452992</c:v>
                </c:pt>
                <c:pt idx="146">
                  <c:v>96.239560524926517</c:v>
                </c:pt>
                <c:pt idx="147">
                  <c:v>97.017639236466394</c:v>
                </c:pt>
                <c:pt idx="148">
                  <c:v>96.942459088147729</c:v>
                </c:pt>
                <c:pt idx="149">
                  <c:v>97.146852110359745</c:v>
                </c:pt>
                <c:pt idx="150">
                  <c:v>97.052946254904924</c:v>
                </c:pt>
                <c:pt idx="151">
                  <c:v>97.787250708674634</c:v>
                </c:pt>
                <c:pt idx="152">
                  <c:v>99.378536989128591</c:v>
                </c:pt>
                <c:pt idx="153">
                  <c:v>100.9454452561538</c:v>
                </c:pt>
                <c:pt idx="154">
                  <c:v>100.79110862680787</c:v>
                </c:pt>
                <c:pt idx="155">
                  <c:v>100.74228104689347</c:v>
                </c:pt>
                <c:pt idx="156">
                  <c:v>99.381208702141365</c:v>
                </c:pt>
                <c:pt idx="157">
                  <c:v>99.57315372093548</c:v>
                </c:pt>
                <c:pt idx="158">
                  <c:v>99.280180384579552</c:v>
                </c:pt>
                <c:pt idx="159">
                  <c:v>99.96638035016511</c:v>
                </c:pt>
                <c:pt idx="160">
                  <c:v>99.697432632626004</c:v>
                </c:pt>
                <c:pt idx="161">
                  <c:v>99.510327103562474</c:v>
                </c:pt>
                <c:pt idx="162">
                  <c:v>99.574856841870087</c:v>
                </c:pt>
                <c:pt idx="163">
                  <c:v>100.78012369816393</c:v>
                </c:pt>
                <c:pt idx="164">
                  <c:v>101.32750370163377</c:v>
                </c:pt>
                <c:pt idx="165">
                  <c:v>100.82924270420857</c:v>
                </c:pt>
                <c:pt idx="166">
                  <c:v>100.37875839579017</c:v>
                </c:pt>
                <c:pt idx="167">
                  <c:v>100.30941748529597</c:v>
                </c:pt>
                <c:pt idx="168">
                  <c:v>99.575954678361583</c:v>
                </c:pt>
                <c:pt idx="169">
                  <c:v>98.386736629411274</c:v>
                </c:pt>
                <c:pt idx="170">
                  <c:v>97.292184889320566</c:v>
                </c:pt>
                <c:pt idx="171">
                  <c:v>97.237164917429652</c:v>
                </c:pt>
                <c:pt idx="172">
                  <c:v>97.698848176840414</c:v>
                </c:pt>
                <c:pt idx="173">
                  <c:v>95.163718106590039</c:v>
                </c:pt>
                <c:pt idx="174">
                  <c:v>92.628588036339579</c:v>
                </c:pt>
                <c:pt idx="175">
                  <c:v>92.708081084403986</c:v>
                </c:pt>
                <c:pt idx="176">
                  <c:v>92.369434992538643</c:v>
                </c:pt>
                <c:pt idx="177">
                  <c:v>92.272724295932051</c:v>
                </c:pt>
                <c:pt idx="178">
                  <c:v>92.015299377663837</c:v>
                </c:pt>
                <c:pt idx="179">
                  <c:v>91.960502133512719</c:v>
                </c:pt>
                <c:pt idx="180">
                  <c:v>92.82209469642045</c:v>
                </c:pt>
                <c:pt idx="181">
                  <c:v>92.82209469642045</c:v>
                </c:pt>
                <c:pt idx="182">
                  <c:v>92.496148003634971</c:v>
                </c:pt>
                <c:pt idx="183">
                  <c:v>91.181390019328305</c:v>
                </c:pt>
                <c:pt idx="184">
                  <c:v>91.007432509002939</c:v>
                </c:pt>
                <c:pt idx="185">
                  <c:v>90.882646775415921</c:v>
                </c:pt>
                <c:pt idx="186">
                  <c:v>91.808941135296038</c:v>
                </c:pt>
                <c:pt idx="187">
                  <c:v>92.077099867773285</c:v>
                </c:pt>
                <c:pt idx="188">
                  <c:v>92.322599316099939</c:v>
                </c:pt>
                <c:pt idx="189">
                  <c:v>92.263963317120428</c:v>
                </c:pt>
                <c:pt idx="190">
                  <c:v>92.491228342168682</c:v>
                </c:pt>
                <c:pt idx="191">
                  <c:v>93.090444473676285</c:v>
                </c:pt>
                <c:pt idx="192">
                  <c:v>90.807182505726573</c:v>
                </c:pt>
                <c:pt idx="193">
                  <c:v>90.904632326596953</c:v>
                </c:pt>
                <c:pt idx="194">
                  <c:v>92.001424497321011</c:v>
                </c:pt>
                <c:pt idx="195">
                  <c:v>93.175061518180613</c:v>
                </c:pt>
                <c:pt idx="196">
                  <c:v>93.793273630393401</c:v>
                </c:pt>
                <c:pt idx="197">
                  <c:v>92.566447197078702</c:v>
                </c:pt>
                <c:pt idx="198">
                  <c:v>93.750543132629204</c:v>
                </c:pt>
                <c:pt idx="199">
                  <c:v>94.120033129113196</c:v>
                </c:pt>
                <c:pt idx="200">
                  <c:v>93.1098543209459</c:v>
                </c:pt>
                <c:pt idx="201">
                  <c:v>91.082009602965101</c:v>
                </c:pt>
                <c:pt idx="202">
                  <c:v>89.768413424269696</c:v>
                </c:pt>
                <c:pt idx="203">
                  <c:v>90.2293218302528</c:v>
                </c:pt>
                <c:pt idx="204">
                  <c:v>91.700804979837898</c:v>
                </c:pt>
                <c:pt idx="205">
                  <c:v>91.715807056327094</c:v>
                </c:pt>
                <c:pt idx="206">
                  <c:v>91.495251187564506</c:v>
                </c:pt>
                <c:pt idx="207">
                  <c:v>91.329362977450998</c:v>
                </c:pt>
                <c:pt idx="208">
                  <c:v>91.054007384346605</c:v>
                </c:pt>
                <c:pt idx="209">
                  <c:v>91.410734442009698</c:v>
                </c:pt>
                <c:pt idx="210">
                  <c:v>91.975721483910704</c:v>
                </c:pt>
                <c:pt idx="211">
                  <c:v>92.355064156218702</c:v>
                </c:pt>
                <c:pt idx="212">
                  <c:v>93.458569631857998</c:v>
                </c:pt>
                <c:pt idx="213">
                  <c:v>95.015618191101098</c:v>
                </c:pt>
                <c:pt idx="214">
                  <c:v>97.384275108232004</c:v>
                </c:pt>
                <c:pt idx="215">
                  <c:v>99.042906602458004</c:v>
                </c:pt>
                <c:pt idx="216">
                  <c:v>99.494081823690195</c:v>
                </c:pt>
                <c:pt idx="217">
                  <c:v>99.211957202066699</c:v>
                </c:pt>
                <c:pt idx="218">
                  <c:v>98.861545917840601</c:v>
                </c:pt>
                <c:pt idx="219">
                  <c:v>94.399364938032903</c:v>
                </c:pt>
                <c:pt idx="220">
                  <c:v>91.065741562152894</c:v>
                </c:pt>
                <c:pt idx="221">
                  <c:v>92.094807690881098</c:v>
                </c:pt>
                <c:pt idx="222">
                  <c:v>94.0729122122532</c:v>
                </c:pt>
                <c:pt idx="223">
                  <c:v>94.8296353492359</c:v>
                </c:pt>
                <c:pt idx="224">
                  <c:v>94.630571696917201</c:v>
                </c:pt>
                <c:pt idx="225">
                  <c:v>93.499750458538898</c:v>
                </c:pt>
                <c:pt idx="226">
                  <c:v>93.631058640012</c:v>
                </c:pt>
                <c:pt idx="227">
                  <c:v>94.235032184145695</c:v>
                </c:pt>
                <c:pt idx="228">
                  <c:v>93.476710704175801</c:v>
                </c:pt>
                <c:pt idx="229">
                  <c:v>92.423559398581503</c:v>
                </c:pt>
                <c:pt idx="230">
                  <c:v>91.818452009586906</c:v>
                </c:pt>
                <c:pt idx="231">
                  <c:v>93.416173028360205</c:v>
                </c:pt>
                <c:pt idx="232">
                  <c:v>95.377044136511103</c:v>
                </c:pt>
                <c:pt idx="233">
                  <c:v>97.206213402678003</c:v>
                </c:pt>
                <c:pt idx="234">
                  <c:v>98.076501453805506</c:v>
                </c:pt>
                <c:pt idx="235">
                  <c:v>97.576059962204297</c:v>
                </c:pt>
                <c:pt idx="236">
                  <c:v>96.659002544510301</c:v>
                </c:pt>
                <c:pt idx="237">
                  <c:v>96.113161711141004</c:v>
                </c:pt>
                <c:pt idx="238">
                  <c:v>96.975281159957305</c:v>
                </c:pt>
                <c:pt idx="239">
                  <c:v>97.017747919760296</c:v>
                </c:pt>
                <c:pt idx="240">
                  <c:v>96.394397570364106</c:v>
                </c:pt>
                <c:pt idx="241">
                  <c:v>94.922803602643299</c:v>
                </c:pt>
                <c:pt idx="242">
                  <c:v>94.384435568187797</c:v>
                </c:pt>
                <c:pt idx="243">
                  <c:v>95.020113137866005</c:v>
                </c:pt>
                <c:pt idx="244">
                  <c:v>96.315618137055694</c:v>
                </c:pt>
                <c:pt idx="245">
                  <c:v>97.258049580656404</c:v>
                </c:pt>
                <c:pt idx="246">
                  <c:v>97.832042227328202</c:v>
                </c:pt>
                <c:pt idx="247">
                  <c:v>97.898419865526606</c:v>
                </c:pt>
                <c:pt idx="248">
                  <c:v>98.234976448962001</c:v>
                </c:pt>
                <c:pt idx="249">
                  <c:v>98.250446014751802</c:v>
                </c:pt>
                <c:pt idx="250">
                  <c:v>96.877085535032194</c:v>
                </c:pt>
                <c:pt idx="251">
                  <c:v>95.364328834056806</c:v>
                </c:pt>
                <c:pt idx="252">
                  <c:v>94.317387533320499</c:v>
                </c:pt>
                <c:pt idx="253">
                  <c:v>95.145112336871705</c:v>
                </c:pt>
                <c:pt idx="254">
                  <c:v>96.981183610423997</c:v>
                </c:pt>
                <c:pt idx="255">
                  <c:v>96.760019144796402</c:v>
                </c:pt>
                <c:pt idx="256">
                  <c:v>96.924166522213397</c:v>
                </c:pt>
                <c:pt idx="257">
                  <c:v>92.035587652251195</c:v>
                </c:pt>
                <c:pt idx="258">
                  <c:v>89.830729237174594</c:v>
                </c:pt>
                <c:pt idx="259">
                  <c:v>89.830729237174594</c:v>
                </c:pt>
                <c:pt idx="260">
                  <c:v>91.972532974476195</c:v>
                </c:pt>
                <c:pt idx="261">
                  <c:v>91.972532974476195</c:v>
                </c:pt>
                <c:pt idx="262">
                  <c:v>91.972532974476195</c:v>
                </c:pt>
                <c:pt idx="263">
                  <c:v>91.517469022951005</c:v>
                </c:pt>
                <c:pt idx="264">
                  <c:v>91.0624050714258</c:v>
                </c:pt>
                <c:pt idx="265">
                  <c:v>90.607341119900596</c:v>
                </c:pt>
                <c:pt idx="266">
                  <c:v>90.607341119900596</c:v>
                </c:pt>
                <c:pt idx="267">
                  <c:v>90.244455677829706</c:v>
                </c:pt>
                <c:pt idx="268">
                  <c:v>89.881570235758801</c:v>
                </c:pt>
                <c:pt idx="269">
                  <c:v>91.005583452012701</c:v>
                </c:pt>
                <c:pt idx="270">
                  <c:v>91.339803604534794</c:v>
                </c:pt>
                <c:pt idx="271">
                  <c:v>91.505824583556503</c:v>
                </c:pt>
                <c:pt idx="272">
                  <c:v>90.933770447962701</c:v>
                </c:pt>
                <c:pt idx="273">
                  <c:v>90.667362827212102</c:v>
                </c:pt>
                <c:pt idx="274">
                  <c:v>90.080000950559693</c:v>
                </c:pt>
                <c:pt idx="275">
                  <c:v>90.371735268587699</c:v>
                </c:pt>
                <c:pt idx="276">
                  <c:v>90.682209063605896</c:v>
                </c:pt>
                <c:pt idx="277">
                  <c:v>91.288637215569295</c:v>
                </c:pt>
                <c:pt idx="278">
                  <c:v>88.940882412275599</c:v>
                </c:pt>
                <c:pt idx="279">
                  <c:v>89.794067552010503</c:v>
                </c:pt>
                <c:pt idx="280">
                  <c:v>89.794067552010503</c:v>
                </c:pt>
                <c:pt idx="281">
                  <c:v>90.647252691745507</c:v>
                </c:pt>
                <c:pt idx="282">
                  <c:v>88.997056995398097</c:v>
                </c:pt>
                <c:pt idx="283">
                  <c:v>89.289277592101101</c:v>
                </c:pt>
                <c:pt idx="284">
                  <c:v>89.899021328055696</c:v>
                </c:pt>
                <c:pt idx="285">
                  <c:v>90.327491650394506</c:v>
                </c:pt>
                <c:pt idx="286">
                  <c:v>90.195765692442606</c:v>
                </c:pt>
                <c:pt idx="287">
                  <c:v>89.555255527380396</c:v>
                </c:pt>
                <c:pt idx="288">
                  <c:v>89.161740558062306</c:v>
                </c:pt>
                <c:pt idx="289">
                  <c:v>89.216171175610995</c:v>
                </c:pt>
                <c:pt idx="290">
                  <c:v>89.231262260970198</c:v>
                </c:pt>
                <c:pt idx="291">
                  <c:v>89.295931864225295</c:v>
                </c:pt>
                <c:pt idx="292">
                  <c:v>88.950729600581099</c:v>
                </c:pt>
                <c:pt idx="293">
                  <c:v>88.822729750777</c:v>
                </c:pt>
                <c:pt idx="294">
                  <c:v>88.822729750777</c:v>
                </c:pt>
                <c:pt idx="295">
                  <c:v>89.194430847857305</c:v>
                </c:pt>
                <c:pt idx="296">
                  <c:v>89.701099698088598</c:v>
                </c:pt>
                <c:pt idx="297">
                  <c:v>90.218519675452796</c:v>
                </c:pt>
                <c:pt idx="298">
                  <c:v>90.674413834479793</c:v>
                </c:pt>
                <c:pt idx="299">
                  <c:v>90.781662750219098</c:v>
                </c:pt>
                <c:pt idx="300">
                  <c:v>90.687071282894493</c:v>
                </c:pt>
                <c:pt idx="301">
                  <c:v>91.061416307607303</c:v>
                </c:pt>
                <c:pt idx="302">
                  <c:v>91.4314563069466</c:v>
                </c:pt>
                <c:pt idx="303">
                  <c:v>91.485121932787493</c:v>
                </c:pt>
                <c:pt idx="304">
                  <c:v>91.013532174922503</c:v>
                </c:pt>
                <c:pt idx="305">
                  <c:v>90.634028250552007</c:v>
                </c:pt>
                <c:pt idx="306">
                  <c:v>90.109500636474394</c:v>
                </c:pt>
                <c:pt idx="307">
                  <c:v>89.490174400322402</c:v>
                </c:pt>
                <c:pt idx="308">
                  <c:v>89.199831296045602</c:v>
                </c:pt>
                <c:pt idx="309">
                  <c:v>89.184466033502403</c:v>
                </c:pt>
                <c:pt idx="310">
                  <c:v>89.126221299111293</c:v>
                </c:pt>
                <c:pt idx="311">
                  <c:v>89.733677954188806</c:v>
                </c:pt>
                <c:pt idx="312">
                  <c:v>89.666710369644306</c:v>
                </c:pt>
                <c:pt idx="313">
                  <c:v>90.041201073340602</c:v>
                </c:pt>
                <c:pt idx="314">
                  <c:v>90.013821772626898</c:v>
                </c:pt>
                <c:pt idx="315">
                  <c:v>91.399110910666394</c:v>
                </c:pt>
                <c:pt idx="316">
                  <c:v>91.4512834564635</c:v>
                </c:pt>
                <c:pt idx="317">
                  <c:v>91.358136824205204</c:v>
                </c:pt>
                <c:pt idx="318">
                  <c:v>90.331103981051697</c:v>
                </c:pt>
                <c:pt idx="319">
                  <c:v>90.464783255296695</c:v>
                </c:pt>
                <c:pt idx="320">
                  <c:v>89.718238002935905</c:v>
                </c:pt>
                <c:pt idx="321">
                  <c:v>89.718238002935905</c:v>
                </c:pt>
                <c:pt idx="322">
                  <c:v>89.260825678489994</c:v>
                </c:pt>
                <c:pt idx="323">
                  <c:v>88.622634855825495</c:v>
                </c:pt>
                <c:pt idx="324">
                  <c:v>89.057086140197001</c:v>
                </c:pt>
                <c:pt idx="325">
                  <c:v>89.655756300373596</c:v>
                </c:pt>
                <c:pt idx="326">
                  <c:v>90.262706271756997</c:v>
                </c:pt>
                <c:pt idx="327">
                  <c:v>90.202130066856697</c:v>
                </c:pt>
                <c:pt idx="328">
                  <c:v>90.309842698260397</c:v>
                </c:pt>
                <c:pt idx="329">
                  <c:v>90.029525801452493</c:v>
                </c:pt>
                <c:pt idx="330">
                  <c:v>90.141870552609106</c:v>
                </c:pt>
                <c:pt idx="331">
                  <c:v>88.519923504600797</c:v>
                </c:pt>
                <c:pt idx="332">
                  <c:v>88.144967063000706</c:v>
                </c:pt>
                <c:pt idx="333">
                  <c:v>88.426851344901607</c:v>
                </c:pt>
                <c:pt idx="334">
                  <c:v>88.920557219015706</c:v>
                </c:pt>
                <c:pt idx="335">
                  <c:v>89.378375632163298</c:v>
                </c:pt>
                <c:pt idx="336">
                  <c:v>89.667962604475093</c:v>
                </c:pt>
                <c:pt idx="337">
                  <c:v>90.133110220009598</c:v>
                </c:pt>
                <c:pt idx="338">
                  <c:v>90.642677136991793</c:v>
                </c:pt>
                <c:pt idx="339">
                  <c:v>91.556626837590898</c:v>
                </c:pt>
                <c:pt idx="340">
                  <c:v>91.416543114166799</c:v>
                </c:pt>
                <c:pt idx="341">
                  <c:v>90.846934065669203</c:v>
                </c:pt>
                <c:pt idx="342">
                  <c:v>90.285428146278406</c:v>
                </c:pt>
                <c:pt idx="343">
                  <c:v>90.414510069398503</c:v>
                </c:pt>
                <c:pt idx="344">
                  <c:v>90.916712169263704</c:v>
                </c:pt>
                <c:pt idx="345">
                  <c:v>90.866223413350099</c:v>
                </c:pt>
                <c:pt idx="346">
                  <c:v>90.815734657436593</c:v>
                </c:pt>
                <c:pt idx="347">
                  <c:v>90.765245901523002</c:v>
                </c:pt>
                <c:pt idx="348">
                  <c:v>90.714757145609397</c:v>
                </c:pt>
                <c:pt idx="349">
                  <c:v>90.664268389695806</c:v>
                </c:pt>
                <c:pt idx="350">
                  <c:v>90.613779633782201</c:v>
                </c:pt>
                <c:pt idx="351">
                  <c:v>90.563290877868695</c:v>
                </c:pt>
                <c:pt idx="352">
                  <c:v>90.512802121955104</c:v>
                </c:pt>
                <c:pt idx="353">
                  <c:v>90.217731880022896</c:v>
                </c:pt>
                <c:pt idx="354">
                  <c:v>89.957556816445106</c:v>
                </c:pt>
                <c:pt idx="355">
                  <c:v>90.114822369951995</c:v>
                </c:pt>
                <c:pt idx="356">
                  <c:v>90.8048923081558</c:v>
                </c:pt>
                <c:pt idx="357">
                  <c:v>91.920141380066099</c:v>
                </c:pt>
                <c:pt idx="358">
                  <c:v>92.037632708964594</c:v>
                </c:pt>
                <c:pt idx="359">
                  <c:v>91.5598323761442</c:v>
                </c:pt>
                <c:pt idx="360">
                  <c:v>90.5207652985697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41B-4835-B713-78E4F5BF7E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0887920"/>
        <c:axId val="1786283104"/>
      </c:scatterChart>
      <c:valAx>
        <c:axId val="850887920"/>
        <c:scaling>
          <c:orientation val="minMax"/>
          <c:max val="50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6283104"/>
        <c:crosses val="autoZero"/>
        <c:crossBetween val="midCat"/>
      </c:valAx>
      <c:valAx>
        <c:axId val="1786283104"/>
        <c:scaling>
          <c:orientation val="minMax"/>
          <c:min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MIRA_EGR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08879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8110936132983366"/>
                  <c:y val="0.1604199475065616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selhausen_SM_EGR_daily!$D$8:$D$400</c:f>
              <c:numCache>
                <c:formatCode>General</c:formatCode>
                <c:ptCount val="393"/>
                <c:pt idx="0">
                  <c:v>35.267864366824199</c:v>
                </c:pt>
                <c:pt idx="1">
                  <c:v>35.1993709636075</c:v>
                </c:pt>
                <c:pt idx="2">
                  <c:v>34.623326589406403</c:v>
                </c:pt>
                <c:pt idx="3">
                  <c:v>34.047282215205399</c:v>
                </c:pt>
                <c:pt idx="4">
                  <c:v>33.471237841004303</c:v>
                </c:pt>
                <c:pt idx="5">
                  <c:v>32.895193466803299</c:v>
                </c:pt>
                <c:pt idx="6">
                  <c:v>32.731530427774302</c:v>
                </c:pt>
                <c:pt idx="7">
                  <c:v>32.596651251184497</c:v>
                </c:pt>
                <c:pt idx="8">
                  <c:v>32.4536587751696</c:v>
                </c:pt>
                <c:pt idx="9">
                  <c:v>32.176603565747101</c:v>
                </c:pt>
                <c:pt idx="10">
                  <c:v>31.936275817145599</c:v>
                </c:pt>
                <c:pt idx="11">
                  <c:v>31.824461490872402</c:v>
                </c:pt>
                <c:pt idx="12">
                  <c:v>31.659673067343999</c:v>
                </c:pt>
                <c:pt idx="13">
                  <c:v>31.473443625845999</c:v>
                </c:pt>
                <c:pt idx="14">
                  <c:v>31.851141941655001</c:v>
                </c:pt>
                <c:pt idx="15">
                  <c:v>31.8194347825062</c:v>
                </c:pt>
                <c:pt idx="16">
                  <c:v>31.599505151353402</c:v>
                </c:pt>
                <c:pt idx="17">
                  <c:v>31.463331280833</c:v>
                </c:pt>
                <c:pt idx="18">
                  <c:v>33.151635158716701</c:v>
                </c:pt>
                <c:pt idx="19">
                  <c:v>32.998640120501001</c:v>
                </c:pt>
                <c:pt idx="20">
                  <c:v>32.794448674991102</c:v>
                </c:pt>
                <c:pt idx="21">
                  <c:v>32.166767682053397</c:v>
                </c:pt>
                <c:pt idx="22">
                  <c:v>31.524188101936598</c:v>
                </c:pt>
                <c:pt idx="23">
                  <c:v>31.138822162791101</c:v>
                </c:pt>
                <c:pt idx="24">
                  <c:v>30.705000572561101</c:v>
                </c:pt>
                <c:pt idx="25">
                  <c:v>30.488454813834799</c:v>
                </c:pt>
                <c:pt idx="26">
                  <c:v>30.405468680709301</c:v>
                </c:pt>
                <c:pt idx="27">
                  <c:v>30.4157502506878</c:v>
                </c:pt>
                <c:pt idx="28">
                  <c:v>30.3620788052596</c:v>
                </c:pt>
                <c:pt idx="29">
                  <c:v>30.335750368182499</c:v>
                </c:pt>
                <c:pt idx="30">
                  <c:v>32.315058318218497</c:v>
                </c:pt>
                <c:pt idx="31">
                  <c:v>36.337446053406097</c:v>
                </c:pt>
                <c:pt idx="32">
                  <c:v>37.0493163861155</c:v>
                </c:pt>
                <c:pt idx="33">
                  <c:v>37.159532534574801</c:v>
                </c:pt>
                <c:pt idx="34">
                  <c:v>36.058666854678798</c:v>
                </c:pt>
                <c:pt idx="35">
                  <c:v>35.3272768251298</c:v>
                </c:pt>
                <c:pt idx="36">
                  <c:v>34.870909228816899</c:v>
                </c:pt>
                <c:pt idx="37">
                  <c:v>36.107426871348601</c:v>
                </c:pt>
                <c:pt idx="38">
                  <c:v>36.894246105104102</c:v>
                </c:pt>
                <c:pt idx="39">
                  <c:v>35.586914151347898</c:v>
                </c:pt>
                <c:pt idx="40">
                  <c:v>34.740036497319103</c:v>
                </c:pt>
                <c:pt idx="41">
                  <c:v>34.1406571505727</c:v>
                </c:pt>
                <c:pt idx="42">
                  <c:v>33.755179624401798</c:v>
                </c:pt>
                <c:pt idx="43">
                  <c:v>33.440578497936897</c:v>
                </c:pt>
                <c:pt idx="44">
                  <c:v>33.366809618916299</c:v>
                </c:pt>
                <c:pt idx="45">
                  <c:v>33.2781730489151</c:v>
                </c:pt>
                <c:pt idx="46">
                  <c:v>32.989720538044701</c:v>
                </c:pt>
                <c:pt idx="47">
                  <c:v>32.6202136074062</c:v>
                </c:pt>
                <c:pt idx="48">
                  <c:v>32.632159117632497</c:v>
                </c:pt>
                <c:pt idx="49">
                  <c:v>35.194891389522901</c:v>
                </c:pt>
                <c:pt idx="50">
                  <c:v>35.5541925632211</c:v>
                </c:pt>
                <c:pt idx="51">
                  <c:v>34.451621502619801</c:v>
                </c:pt>
                <c:pt idx="52">
                  <c:v>33.918666064892903</c:v>
                </c:pt>
                <c:pt idx="53">
                  <c:v>34.9264315009531</c:v>
                </c:pt>
                <c:pt idx="54">
                  <c:v>35.9720499422329</c:v>
                </c:pt>
                <c:pt idx="55">
                  <c:v>37.452550331109897</c:v>
                </c:pt>
                <c:pt idx="56">
                  <c:v>36.853394534188098</c:v>
                </c:pt>
                <c:pt idx="57">
                  <c:v>35.419109861034798</c:v>
                </c:pt>
                <c:pt idx="58">
                  <c:v>34.230262953228298</c:v>
                </c:pt>
                <c:pt idx="59">
                  <c:v>33.353690098410297</c:v>
                </c:pt>
                <c:pt idx="60">
                  <c:v>32.906982665148497</c:v>
                </c:pt>
                <c:pt idx="61">
                  <c:v>34.001598062262502</c:v>
                </c:pt>
                <c:pt idx="62">
                  <c:v>33.594117494012103</c:v>
                </c:pt>
                <c:pt idx="63">
                  <c:v>32.863698666536798</c:v>
                </c:pt>
                <c:pt idx="64">
                  <c:v>31.929528519340501</c:v>
                </c:pt>
                <c:pt idx="65">
                  <c:v>31.8187544647027</c:v>
                </c:pt>
                <c:pt idx="66">
                  <c:v>31.978542344228199</c:v>
                </c:pt>
                <c:pt idx="67">
                  <c:v>32.119359103697299</c:v>
                </c:pt>
                <c:pt idx="68">
                  <c:v>31.388270840056101</c:v>
                </c:pt>
                <c:pt idx="69">
                  <c:v>30.826170185197999</c:v>
                </c:pt>
                <c:pt idx="70">
                  <c:v>30.795057920367299</c:v>
                </c:pt>
                <c:pt idx="71">
                  <c:v>31.101263937880301</c:v>
                </c:pt>
                <c:pt idx="72">
                  <c:v>30.589301263243598</c:v>
                </c:pt>
                <c:pt idx="73">
                  <c:v>29.8002461812139</c:v>
                </c:pt>
                <c:pt idx="74">
                  <c:v>29.5227431967092</c:v>
                </c:pt>
                <c:pt idx="75">
                  <c:v>31.740145579730001</c:v>
                </c:pt>
                <c:pt idx="76">
                  <c:v>32.477372669146398</c:v>
                </c:pt>
                <c:pt idx="77">
                  <c:v>31.7710212648884</c:v>
                </c:pt>
                <c:pt idx="78">
                  <c:v>33.994098202371397</c:v>
                </c:pt>
                <c:pt idx="79">
                  <c:v>33.625050559207203</c:v>
                </c:pt>
                <c:pt idx="80">
                  <c:v>32.261598678655503</c:v>
                </c:pt>
                <c:pt idx="81">
                  <c:v>31.270556767525001</c:v>
                </c:pt>
                <c:pt idx="82">
                  <c:v>31.341742482722601</c:v>
                </c:pt>
                <c:pt idx="83">
                  <c:v>31.499305644137699</c:v>
                </c:pt>
                <c:pt idx="84">
                  <c:v>30.844746298729699</c:v>
                </c:pt>
                <c:pt idx="85">
                  <c:v>31.092952604678199</c:v>
                </c:pt>
                <c:pt idx="86">
                  <c:v>32.520759688818899</c:v>
                </c:pt>
                <c:pt idx="87">
                  <c:v>31.125154741045002</c:v>
                </c:pt>
                <c:pt idx="88">
                  <c:v>29.743116706564699</c:v>
                </c:pt>
                <c:pt idx="89">
                  <c:v>28.835197503355001</c:v>
                </c:pt>
                <c:pt idx="90">
                  <c:v>28.7999343310602</c:v>
                </c:pt>
                <c:pt idx="91">
                  <c:v>28.887370540225</c:v>
                </c:pt>
                <c:pt idx="92">
                  <c:v>29.193154150494699</c:v>
                </c:pt>
                <c:pt idx="93">
                  <c:v>30.558400191701999</c:v>
                </c:pt>
                <c:pt idx="94">
                  <c:v>35.7448051577801</c:v>
                </c:pt>
                <c:pt idx="95">
                  <c:v>35.842524481833401</c:v>
                </c:pt>
                <c:pt idx="96">
                  <c:v>36.535171254122901</c:v>
                </c:pt>
                <c:pt idx="97">
                  <c:v>34.810315729182598</c:v>
                </c:pt>
                <c:pt idx="98">
                  <c:v>33.261872706583802</c:v>
                </c:pt>
                <c:pt idx="99">
                  <c:v>31.866719774305999</c:v>
                </c:pt>
                <c:pt idx="100">
                  <c:v>32.245625550981799</c:v>
                </c:pt>
                <c:pt idx="101">
                  <c:v>31.377793676799399</c:v>
                </c:pt>
                <c:pt idx="102">
                  <c:v>30.153389849566299</c:v>
                </c:pt>
                <c:pt idx="103">
                  <c:v>29.028954763539399</c:v>
                </c:pt>
                <c:pt idx="104">
                  <c:v>28.037238426599401</c:v>
                </c:pt>
                <c:pt idx="105">
                  <c:v>27.245549377518198</c:v>
                </c:pt>
                <c:pt idx="106">
                  <c:v>26.513923209679302</c:v>
                </c:pt>
                <c:pt idx="107">
                  <c:v>25.963983990271</c:v>
                </c:pt>
                <c:pt idx="108">
                  <c:v>25.4109470343293</c:v>
                </c:pt>
                <c:pt idx="109">
                  <c:v>24.801535714449901</c:v>
                </c:pt>
                <c:pt idx="110">
                  <c:v>24.038942728144001</c:v>
                </c:pt>
                <c:pt idx="111">
                  <c:v>23.1799587860299</c:v>
                </c:pt>
                <c:pt idx="112">
                  <c:v>22.301716058769902</c:v>
                </c:pt>
                <c:pt idx="113">
                  <c:v>21.4644273422746</c:v>
                </c:pt>
                <c:pt idx="114">
                  <c:v>20.719358996576801</c:v>
                </c:pt>
                <c:pt idx="115">
                  <c:v>19.883847871136499</c:v>
                </c:pt>
                <c:pt idx="116">
                  <c:v>19.0724667794684</c:v>
                </c:pt>
                <c:pt idx="117">
                  <c:v>18.4252096373617</c:v>
                </c:pt>
                <c:pt idx="118">
                  <c:v>17.816724878372401</c:v>
                </c:pt>
                <c:pt idx="119">
                  <c:v>17.1409611910113</c:v>
                </c:pt>
                <c:pt idx="120">
                  <c:v>16.502159339338501</c:v>
                </c:pt>
                <c:pt idx="121">
                  <c:v>15.9564505597438</c:v>
                </c:pt>
                <c:pt idx="122">
                  <c:v>15.5549989264365</c:v>
                </c:pt>
                <c:pt idx="123">
                  <c:v>15.3481669916854</c:v>
                </c:pt>
                <c:pt idx="124">
                  <c:v>15.1018072418783</c:v>
                </c:pt>
                <c:pt idx="125">
                  <c:v>14.684364347253</c:v>
                </c:pt>
                <c:pt idx="126">
                  <c:v>14.2719829044572</c:v>
                </c:pt>
                <c:pt idx="127">
                  <c:v>13.870311719019099</c:v>
                </c:pt>
                <c:pt idx="128">
                  <c:v>13.639805136925499</c:v>
                </c:pt>
                <c:pt idx="129">
                  <c:v>13.40179509969</c:v>
                </c:pt>
                <c:pt idx="130">
                  <c:v>13.2012271610472</c:v>
                </c:pt>
                <c:pt idx="131">
                  <c:v>13.0367602107941</c:v>
                </c:pt>
                <c:pt idx="132">
                  <c:v>12.8647316479148</c:v>
                </c:pt>
                <c:pt idx="133">
                  <c:v>12.7303546672451</c:v>
                </c:pt>
                <c:pt idx="134">
                  <c:v>12.688782936202999</c:v>
                </c:pt>
                <c:pt idx="135">
                  <c:v>12.6080413025986</c:v>
                </c:pt>
                <c:pt idx="136">
                  <c:v>12.534826272679499</c:v>
                </c:pt>
                <c:pt idx="137">
                  <c:v>14.065510931278901</c:v>
                </c:pt>
                <c:pt idx="138">
                  <c:v>19.3980679660086</c:v>
                </c:pt>
                <c:pt idx="139">
                  <c:v>18.4400443392759</c:v>
                </c:pt>
                <c:pt idx="140">
                  <c:v>17.384240805547901</c:v>
                </c:pt>
                <c:pt idx="141">
                  <c:v>16.398364993737701</c:v>
                </c:pt>
                <c:pt idx="142">
                  <c:v>15.6553489222811</c:v>
                </c:pt>
                <c:pt idx="143">
                  <c:v>15.380249305344799</c:v>
                </c:pt>
                <c:pt idx="144">
                  <c:v>15.2716752420641</c:v>
                </c:pt>
                <c:pt idx="145">
                  <c:v>16.6785179219513</c:v>
                </c:pt>
                <c:pt idx="146">
                  <c:v>16.540718787753001</c:v>
                </c:pt>
                <c:pt idx="147">
                  <c:v>16.248685515698298</c:v>
                </c:pt>
                <c:pt idx="148">
                  <c:v>15.589959430437</c:v>
                </c:pt>
                <c:pt idx="149">
                  <c:v>14.9898123244141</c:v>
                </c:pt>
                <c:pt idx="150">
                  <c:v>14.793556725618901</c:v>
                </c:pt>
                <c:pt idx="151">
                  <c:v>14.742843160888899</c:v>
                </c:pt>
                <c:pt idx="152">
                  <c:v>14.499666533743699</c:v>
                </c:pt>
                <c:pt idx="153">
                  <c:v>14.1678150842577</c:v>
                </c:pt>
                <c:pt idx="154">
                  <c:v>13.951461268176899</c:v>
                </c:pt>
                <c:pt idx="155">
                  <c:v>14.0090446378438</c:v>
                </c:pt>
                <c:pt idx="156">
                  <c:v>13.8792491166662</c:v>
                </c:pt>
                <c:pt idx="157">
                  <c:v>13.6475018409566</c:v>
                </c:pt>
                <c:pt idx="158">
                  <c:v>13.414761370551</c:v>
                </c:pt>
                <c:pt idx="159">
                  <c:v>13.269424938927299</c:v>
                </c:pt>
                <c:pt idx="160">
                  <c:v>13.2052249199362</c:v>
                </c:pt>
                <c:pt idx="161">
                  <c:v>13.3557071277103</c:v>
                </c:pt>
                <c:pt idx="162">
                  <c:v>13.3386361813712</c:v>
                </c:pt>
                <c:pt idx="163">
                  <c:v>13.1857484192771</c:v>
                </c:pt>
                <c:pt idx="164">
                  <c:v>13.0783631808319</c:v>
                </c:pt>
                <c:pt idx="165">
                  <c:v>12.978034852513099</c:v>
                </c:pt>
                <c:pt idx="166">
                  <c:v>12.9029415853653</c:v>
                </c:pt>
                <c:pt idx="167">
                  <c:v>12.799866503661001</c:v>
                </c:pt>
                <c:pt idx="168">
                  <c:v>12.630043115208199</c:v>
                </c:pt>
                <c:pt idx="169">
                  <c:v>13.155723285701299</c:v>
                </c:pt>
                <c:pt idx="170">
                  <c:v>13.956676291902699</c:v>
                </c:pt>
                <c:pt idx="171">
                  <c:v>14.1640073779721</c:v>
                </c:pt>
                <c:pt idx="172">
                  <c:v>14.734635518111</c:v>
                </c:pt>
                <c:pt idx="173">
                  <c:v>17.246028724485999</c:v>
                </c:pt>
                <c:pt idx="174">
                  <c:v>18.7407199599999</c:v>
                </c:pt>
                <c:pt idx="175">
                  <c:v>20.227284219208201</c:v>
                </c:pt>
                <c:pt idx="176">
                  <c:v>21.197110881493</c:v>
                </c:pt>
                <c:pt idx="177">
                  <c:v>25.432610506773901</c:v>
                </c:pt>
                <c:pt idx="178">
                  <c:v>26.221159404808901</c:v>
                </c:pt>
                <c:pt idx="179">
                  <c:v>26.9255638983179</c:v>
                </c:pt>
                <c:pt idx="180">
                  <c:v>27.149733979157901</c:v>
                </c:pt>
                <c:pt idx="181">
                  <c:v>26.333475464708201</c:v>
                </c:pt>
                <c:pt idx="182">
                  <c:v>30.1608705360416</c:v>
                </c:pt>
                <c:pt idx="183">
                  <c:v>30.605315963638802</c:v>
                </c:pt>
                <c:pt idx="184">
                  <c:v>29.030152283597101</c:v>
                </c:pt>
                <c:pt idx="185">
                  <c:v>29.878552974986</c:v>
                </c:pt>
                <c:pt idx="186">
                  <c:v>28.6887912056944</c:v>
                </c:pt>
                <c:pt idx="187">
                  <c:v>27.443521617152701</c:v>
                </c:pt>
                <c:pt idx="188">
                  <c:v>30.813751942416602</c:v>
                </c:pt>
                <c:pt idx="189">
                  <c:v>29.740374642152702</c:v>
                </c:pt>
                <c:pt idx="190">
                  <c:v>28.506178668680398</c:v>
                </c:pt>
                <c:pt idx="191">
                  <c:v>28.709956359611098</c:v>
                </c:pt>
                <c:pt idx="192">
                  <c:v>28.919571531805499</c:v>
                </c:pt>
                <c:pt idx="193">
                  <c:v>31.453605799236001</c:v>
                </c:pt>
                <c:pt idx="194">
                  <c:v>30.016890578944299</c:v>
                </c:pt>
                <c:pt idx="195">
                  <c:v>28.919413075180501</c:v>
                </c:pt>
                <c:pt idx="196">
                  <c:v>27.982316732972102</c:v>
                </c:pt>
                <c:pt idx="197">
                  <c:v>26.7234445732221</c:v>
                </c:pt>
                <c:pt idx="198">
                  <c:v>25.654445621735999</c:v>
                </c:pt>
                <c:pt idx="199">
                  <c:v>24.529209716069399</c:v>
                </c:pt>
                <c:pt idx="200">
                  <c:v>23.790099215638801</c:v>
                </c:pt>
                <c:pt idx="201">
                  <c:v>26.870676620888801</c:v>
                </c:pt>
                <c:pt idx="202">
                  <c:v>28.727012494819299</c:v>
                </c:pt>
                <c:pt idx="203">
                  <c:v>27.4028524032916</c:v>
                </c:pt>
                <c:pt idx="204">
                  <c:v>26.6187733402259</c:v>
                </c:pt>
                <c:pt idx="205">
                  <c:v>25.998387141483601</c:v>
                </c:pt>
                <c:pt idx="206">
                  <c:v>26.047473524138798</c:v>
                </c:pt>
                <c:pt idx="207">
                  <c:v>27.095320503236</c:v>
                </c:pt>
                <c:pt idx="208">
                  <c:v>30.6466978299582</c:v>
                </c:pt>
                <c:pt idx="209">
                  <c:v>31.595901990735999</c:v>
                </c:pt>
                <c:pt idx="210">
                  <c:v>30.4030089779721</c:v>
                </c:pt>
                <c:pt idx="211">
                  <c:v>29.239402826499902</c:v>
                </c:pt>
                <c:pt idx="212">
                  <c:v>27.907813418013799</c:v>
                </c:pt>
                <c:pt idx="213">
                  <c:v>26.7159381721839</c:v>
                </c:pt>
                <c:pt idx="214">
                  <c:v>23.995684525626</c:v>
                </c:pt>
                <c:pt idx="215">
                  <c:v>23.7601182871337</c:v>
                </c:pt>
                <c:pt idx="216">
                  <c:v>23.499634694358502</c:v>
                </c:pt>
                <c:pt idx="217">
                  <c:v>23.244947879529199</c:v>
                </c:pt>
                <c:pt idx="218">
                  <c:v>22.945815931696501</c:v>
                </c:pt>
                <c:pt idx="219">
                  <c:v>24.033854082923799</c:v>
                </c:pt>
                <c:pt idx="220">
                  <c:v>29.503924314726401</c:v>
                </c:pt>
                <c:pt idx="221">
                  <c:v>28.741324029191901</c:v>
                </c:pt>
                <c:pt idx="222">
                  <c:v>27.9195067778133</c:v>
                </c:pt>
                <c:pt idx="223">
                  <c:v>27.538497196261599</c:v>
                </c:pt>
                <c:pt idx="224">
                  <c:v>27.4906890629847</c:v>
                </c:pt>
                <c:pt idx="225">
                  <c:v>27.149424685076301</c:v>
                </c:pt>
                <c:pt idx="226">
                  <c:v>26.665504798477802</c:v>
                </c:pt>
                <c:pt idx="227">
                  <c:v>26.0421322048668</c:v>
                </c:pt>
                <c:pt idx="228">
                  <c:v>26.1494750034615</c:v>
                </c:pt>
                <c:pt idx="229">
                  <c:v>28.088133900033</c:v>
                </c:pt>
                <c:pt idx="230">
                  <c:v>28.5459110472178</c:v>
                </c:pt>
                <c:pt idx="231">
                  <c:v>27.6599074387107</c:v>
                </c:pt>
                <c:pt idx="232">
                  <c:v>26.895821858144199</c:v>
                </c:pt>
                <c:pt idx="233">
                  <c:v>26.3374477187295</c:v>
                </c:pt>
                <c:pt idx="234">
                  <c:v>25.8871552580908</c:v>
                </c:pt>
                <c:pt idx="235">
                  <c:v>25.506677034009101</c:v>
                </c:pt>
                <c:pt idx="236">
                  <c:v>25.191092204862301</c:v>
                </c:pt>
                <c:pt idx="237">
                  <c:v>24.911594257879599</c:v>
                </c:pt>
                <c:pt idx="238">
                  <c:v>24.608016751176201</c:v>
                </c:pt>
                <c:pt idx="239">
                  <c:v>24.290534069230699</c:v>
                </c:pt>
                <c:pt idx="240">
                  <c:v>24.058565918509199</c:v>
                </c:pt>
                <c:pt idx="241">
                  <c:v>24.037524589978499</c:v>
                </c:pt>
                <c:pt idx="242">
                  <c:v>23.8442329907048</c:v>
                </c:pt>
                <c:pt idx="243">
                  <c:v>23.499316363920698</c:v>
                </c:pt>
                <c:pt idx="244">
                  <c:v>23.0075209086279</c:v>
                </c:pt>
                <c:pt idx="245">
                  <c:v>22.5017628295058</c:v>
                </c:pt>
                <c:pt idx="246">
                  <c:v>22.083467953183</c:v>
                </c:pt>
                <c:pt idx="247">
                  <c:v>21.609753503034899</c:v>
                </c:pt>
                <c:pt idx="248">
                  <c:v>21.0457879157969</c:v>
                </c:pt>
                <c:pt idx="249">
                  <c:v>20.4324574252689</c:v>
                </c:pt>
                <c:pt idx="250">
                  <c:v>20.281381125061799</c:v>
                </c:pt>
                <c:pt idx="251">
                  <c:v>20.465845404642501</c:v>
                </c:pt>
                <c:pt idx="252">
                  <c:v>20.799153317267098</c:v>
                </c:pt>
                <c:pt idx="253">
                  <c:v>20.9356204951224</c:v>
                </c:pt>
                <c:pt idx="254">
                  <c:v>20.872744858217601</c:v>
                </c:pt>
                <c:pt idx="255">
                  <c:v>21.0929165949312</c:v>
                </c:pt>
                <c:pt idx="256">
                  <c:v>24.210431733414801</c:v>
                </c:pt>
                <c:pt idx="257">
                  <c:v>29.412694938656099</c:v>
                </c:pt>
                <c:pt idx="258">
                  <c:v>32.923101578848701</c:v>
                </c:pt>
                <c:pt idx="259">
                  <c:v>32.142210303991497</c:v>
                </c:pt>
                <c:pt idx="260">
                  <c:v>32.631385721304099</c:v>
                </c:pt>
                <c:pt idx="261">
                  <c:v>33.575521381364801</c:v>
                </c:pt>
                <c:pt idx="262">
                  <c:v>34.460600721793199</c:v>
                </c:pt>
                <c:pt idx="263">
                  <c:v>34.0193149623856</c:v>
                </c:pt>
                <c:pt idx="264">
                  <c:v>35.350378631574301</c:v>
                </c:pt>
                <c:pt idx="265">
                  <c:v>34.567769313829501</c:v>
                </c:pt>
                <c:pt idx="266">
                  <c:v>33.672264810191301</c:v>
                </c:pt>
                <c:pt idx="267">
                  <c:v>34.058262461225901</c:v>
                </c:pt>
                <c:pt idx="268">
                  <c:v>34.927886847788798</c:v>
                </c:pt>
                <c:pt idx="269">
                  <c:v>35.117848816544999</c:v>
                </c:pt>
                <c:pt idx="270">
                  <c:v>34.620813410053501</c:v>
                </c:pt>
                <c:pt idx="271">
                  <c:v>31.7434225339444</c:v>
                </c:pt>
                <c:pt idx="272">
                  <c:v>31.2355184243332</c:v>
                </c:pt>
                <c:pt idx="273">
                  <c:v>31.592126725388798</c:v>
                </c:pt>
                <c:pt idx="274">
                  <c:v>31.905589145333199</c:v>
                </c:pt>
                <c:pt idx="275">
                  <c:v>31.654561910888798</c:v>
                </c:pt>
                <c:pt idx="276">
                  <c:v>31.478487529444301</c:v>
                </c:pt>
                <c:pt idx="277">
                  <c:v>32.727696565735997</c:v>
                </c:pt>
                <c:pt idx="278">
                  <c:v>34.985504359694303</c:v>
                </c:pt>
                <c:pt idx="279">
                  <c:v>36.117573445284599</c:v>
                </c:pt>
                <c:pt idx="280">
                  <c:v>34.855615928611002</c:v>
                </c:pt>
                <c:pt idx="281">
                  <c:v>35.393371734930398</c:v>
                </c:pt>
                <c:pt idx="282">
                  <c:v>36.915412255999399</c:v>
                </c:pt>
                <c:pt idx="283">
                  <c:v>36.5589696569632</c:v>
                </c:pt>
                <c:pt idx="284">
                  <c:v>35.518264992157199</c:v>
                </c:pt>
                <c:pt idx="285">
                  <c:v>36.796886413280298</c:v>
                </c:pt>
                <c:pt idx="286">
                  <c:v>37.2384811923638</c:v>
                </c:pt>
                <c:pt idx="287">
                  <c:v>37.1254049966279</c:v>
                </c:pt>
                <c:pt idx="288">
                  <c:v>36.931095282001898</c:v>
                </c:pt>
                <c:pt idx="289">
                  <c:v>37.351921598185697</c:v>
                </c:pt>
                <c:pt idx="290">
                  <c:v>36.421603679425097</c:v>
                </c:pt>
                <c:pt idx="291">
                  <c:v>35.855795303946202</c:v>
                </c:pt>
                <c:pt idx="292">
                  <c:v>37.374237942877102</c:v>
                </c:pt>
                <c:pt idx="293">
                  <c:v>37.683946984656302</c:v>
                </c:pt>
                <c:pt idx="294">
                  <c:v>37.645893852925099</c:v>
                </c:pt>
                <c:pt idx="295">
                  <c:v>39.207286499989003</c:v>
                </c:pt>
                <c:pt idx="296">
                  <c:v>38.704357218372998</c:v>
                </c:pt>
                <c:pt idx="297">
                  <c:v>37.534592205244998</c:v>
                </c:pt>
                <c:pt idx="298">
                  <c:v>37.210148148726198</c:v>
                </c:pt>
                <c:pt idx="299">
                  <c:v>36.950075435126202</c:v>
                </c:pt>
                <c:pt idx="300">
                  <c:v>36.4682711885836</c:v>
                </c:pt>
                <c:pt idx="301">
                  <c:v>35.812876792585598</c:v>
                </c:pt>
                <c:pt idx="302">
                  <c:v>36.286495541424202</c:v>
                </c:pt>
                <c:pt idx="303">
                  <c:v>38.6733617616187</c:v>
                </c:pt>
                <c:pt idx="304">
                  <c:v>38.173596798364102</c:v>
                </c:pt>
                <c:pt idx="305">
                  <c:v>37.410789125817097</c:v>
                </c:pt>
                <c:pt idx="306">
                  <c:v>37.5581926883549</c:v>
                </c:pt>
                <c:pt idx="307">
                  <c:v>37.623209145579402</c:v>
                </c:pt>
                <c:pt idx="308">
                  <c:v>37.728612629846602</c:v>
                </c:pt>
                <c:pt idx="309">
                  <c:v>37.71304724422</c:v>
                </c:pt>
                <c:pt idx="310">
                  <c:v>38.3655328539027</c:v>
                </c:pt>
                <c:pt idx="311">
                  <c:v>38.781087788155801</c:v>
                </c:pt>
                <c:pt idx="312">
                  <c:v>38.149409618447699</c:v>
                </c:pt>
                <c:pt idx="313">
                  <c:v>37.960801656700298</c:v>
                </c:pt>
                <c:pt idx="314">
                  <c:v>37.600125968260897</c:v>
                </c:pt>
                <c:pt idx="315">
                  <c:v>37.237026495168998</c:v>
                </c:pt>
                <c:pt idx="316">
                  <c:v>36.872246819696002</c:v>
                </c:pt>
                <c:pt idx="317">
                  <c:v>37.155280278940801</c:v>
                </c:pt>
                <c:pt idx="318">
                  <c:v>38.764227015145799</c:v>
                </c:pt>
                <c:pt idx="319">
                  <c:v>38.927309649202897</c:v>
                </c:pt>
                <c:pt idx="320">
                  <c:v>40.093474363694497</c:v>
                </c:pt>
                <c:pt idx="321">
                  <c:v>39.604227745787703</c:v>
                </c:pt>
                <c:pt idx="322">
                  <c:v>39.312630048909398</c:v>
                </c:pt>
                <c:pt idx="323">
                  <c:v>39.546169090370498</c:v>
                </c:pt>
                <c:pt idx="324">
                  <c:v>39.294561422320299</c:v>
                </c:pt>
                <c:pt idx="325">
                  <c:v>38.674690974476398</c:v>
                </c:pt>
                <c:pt idx="326">
                  <c:v>38.110974339970902</c:v>
                </c:pt>
                <c:pt idx="327">
                  <c:v>38.132267232782198</c:v>
                </c:pt>
                <c:pt idx="328">
                  <c:v>38.722027056319199</c:v>
                </c:pt>
                <c:pt idx="329">
                  <c:v>38.19657828335</c:v>
                </c:pt>
                <c:pt idx="330">
                  <c:v>37.759045780243902</c:v>
                </c:pt>
                <c:pt idx="331">
                  <c:v>39.355045714738502</c:v>
                </c:pt>
                <c:pt idx="332">
                  <c:v>39.567961146104601</c:v>
                </c:pt>
                <c:pt idx="333">
                  <c:v>40.107341797738101</c:v>
                </c:pt>
                <c:pt idx="334">
                  <c:v>39.226900913212702</c:v>
                </c:pt>
                <c:pt idx="335">
                  <c:v>39.728472595818097</c:v>
                </c:pt>
                <c:pt idx="336">
                  <c:v>39.605874709040499</c:v>
                </c:pt>
                <c:pt idx="337">
                  <c:v>38.854525458881803</c:v>
                </c:pt>
                <c:pt idx="338">
                  <c:v>38.740415868543103</c:v>
                </c:pt>
                <c:pt idx="339">
                  <c:v>38.754279923779698</c:v>
                </c:pt>
                <c:pt idx="340">
                  <c:v>38.767229336483197</c:v>
                </c:pt>
                <c:pt idx="341">
                  <c:v>38.743127476798399</c:v>
                </c:pt>
                <c:pt idx="342">
                  <c:v>38.719025617113701</c:v>
                </c:pt>
                <c:pt idx="343">
                  <c:v>38.694923757429002</c:v>
                </c:pt>
                <c:pt idx="344">
                  <c:v>38.670821897744297</c:v>
                </c:pt>
                <c:pt idx="345">
                  <c:v>38.646720038059598</c:v>
                </c:pt>
                <c:pt idx="346">
                  <c:v>38.6226181783748</c:v>
                </c:pt>
                <c:pt idx="347">
                  <c:v>38.598516318690102</c:v>
                </c:pt>
                <c:pt idx="348">
                  <c:v>38.574414459005403</c:v>
                </c:pt>
                <c:pt idx="349">
                  <c:v>38.550312599320698</c:v>
                </c:pt>
                <c:pt idx="350">
                  <c:v>38.526210739635999</c:v>
                </c:pt>
                <c:pt idx="351">
                  <c:v>38.502108879951301</c:v>
                </c:pt>
                <c:pt idx="352">
                  <c:v>38.197763899757099</c:v>
                </c:pt>
                <c:pt idx="353">
                  <c:v>37.998883200438101</c:v>
                </c:pt>
                <c:pt idx="354">
                  <c:v>37.558789281713203</c:v>
                </c:pt>
                <c:pt idx="355">
                  <c:v>38.231501503208897</c:v>
                </c:pt>
                <c:pt idx="356">
                  <c:v>37.930594108829197</c:v>
                </c:pt>
                <c:pt idx="357">
                  <c:v>37.203320865026697</c:v>
                </c:pt>
                <c:pt idx="358">
                  <c:v>36.8653056525118</c:v>
                </c:pt>
                <c:pt idx="359">
                  <c:v>36.632093418688399</c:v>
                </c:pt>
                <c:pt idx="360">
                  <c:v>36.316992311430297</c:v>
                </c:pt>
              </c:numCache>
            </c:numRef>
          </c:xVal>
          <c:yVal>
            <c:numRef>
              <c:f>selhausen_SM_EGR_daily!$E$8:$E$400</c:f>
              <c:numCache>
                <c:formatCode>General</c:formatCode>
                <c:ptCount val="393"/>
                <c:pt idx="0">
                  <c:v>36.102013799674921</c:v>
                </c:pt>
                <c:pt idx="1">
                  <c:v>34.956915625131607</c:v>
                </c:pt>
                <c:pt idx="2">
                  <c:v>34.491077426322974</c:v>
                </c:pt>
                <c:pt idx="3">
                  <c:v>33.584089952243808</c:v>
                </c:pt>
                <c:pt idx="4">
                  <c:v>33.668264135069073</c:v>
                </c:pt>
                <c:pt idx="5">
                  <c:v>33.587198727885834</c:v>
                </c:pt>
                <c:pt idx="6">
                  <c:v>33.63145985822559</c:v>
                </c:pt>
                <c:pt idx="7">
                  <c:v>33.251754090542661</c:v>
                </c:pt>
                <c:pt idx="8">
                  <c:v>32.272079332338308</c:v>
                </c:pt>
                <c:pt idx="9">
                  <c:v>30.492285068582774</c:v>
                </c:pt>
                <c:pt idx="10">
                  <c:v>29.915918896400044</c:v>
                </c:pt>
                <c:pt idx="11">
                  <c:v>31.274443153301078</c:v>
                </c:pt>
                <c:pt idx="12">
                  <c:v>33.72174508935732</c:v>
                </c:pt>
                <c:pt idx="13">
                  <c:v>34.889609889663525</c:v>
                </c:pt>
                <c:pt idx="14">
                  <c:v>35.451596469157153</c:v>
                </c:pt>
                <c:pt idx="15">
                  <c:v>34.825803620974561</c:v>
                </c:pt>
                <c:pt idx="16">
                  <c:v>33.213487857124136</c:v>
                </c:pt>
                <c:pt idx="17">
                  <c:v>32.975763777092546</c:v>
                </c:pt>
                <c:pt idx="18">
                  <c:v>33.822836283629961</c:v>
                </c:pt>
                <c:pt idx="19">
                  <c:v>35.599869597092017</c:v>
                </c:pt>
                <c:pt idx="20">
                  <c:v>35.591957105515142</c:v>
                </c:pt>
                <c:pt idx="21">
                  <c:v>34.964522855729456</c:v>
                </c:pt>
                <c:pt idx="22">
                  <c:v>34.409278429811238</c:v>
                </c:pt>
                <c:pt idx="23">
                  <c:v>34.041701622068153</c:v>
                </c:pt>
                <c:pt idx="24">
                  <c:v>33.523130425830914</c:v>
                </c:pt>
                <c:pt idx="25">
                  <c:v>33.315976746823047</c:v>
                </c:pt>
                <c:pt idx="26">
                  <c:v>33.424513681763408</c:v>
                </c:pt>
                <c:pt idx="27">
                  <c:v>33.39112231050099</c:v>
                </c:pt>
                <c:pt idx="28">
                  <c:v>33.703857818343948</c:v>
                </c:pt>
                <c:pt idx="29">
                  <c:v>33.524438163016505</c:v>
                </c:pt>
                <c:pt idx="30">
                  <c:v>33.970968478560494</c:v>
                </c:pt>
                <c:pt idx="31">
                  <c:v>35.257558893192154</c:v>
                </c:pt>
                <c:pt idx="32">
                  <c:v>36.544149307823837</c:v>
                </c:pt>
                <c:pt idx="33">
                  <c:v>37.830739722455625</c:v>
                </c:pt>
                <c:pt idx="34">
                  <c:v>36.961518273212874</c:v>
                </c:pt>
                <c:pt idx="35">
                  <c:v>37.041029459320086</c:v>
                </c:pt>
                <c:pt idx="36">
                  <c:v>36.410521883344273</c:v>
                </c:pt>
                <c:pt idx="37">
                  <c:v>37.349029680239283</c:v>
                </c:pt>
                <c:pt idx="38">
                  <c:v>36.924832402279719</c:v>
                </c:pt>
                <c:pt idx="39">
                  <c:v>36.909147018258082</c:v>
                </c:pt>
                <c:pt idx="40">
                  <c:v>36.037850464336699</c:v>
                </c:pt>
                <c:pt idx="41">
                  <c:v>35.934376529045409</c:v>
                </c:pt>
                <c:pt idx="42">
                  <c:v>35.830902593754097</c:v>
                </c:pt>
                <c:pt idx="43">
                  <c:v>35.687778303272225</c:v>
                </c:pt>
                <c:pt idx="44">
                  <c:v>35.568388043662289</c:v>
                </c:pt>
                <c:pt idx="45">
                  <c:v>35.631633431811579</c:v>
                </c:pt>
                <c:pt idx="46">
                  <c:v>35.632149379097569</c:v>
                </c:pt>
                <c:pt idx="47">
                  <c:v>35.541040978613658</c:v>
                </c:pt>
                <c:pt idx="48">
                  <c:v>35.601446724547017</c:v>
                </c:pt>
                <c:pt idx="49">
                  <c:v>36.782569789600103</c:v>
                </c:pt>
                <c:pt idx="50">
                  <c:v>36.700389894227911</c:v>
                </c:pt>
                <c:pt idx="51">
                  <c:v>36.419367413376619</c:v>
                </c:pt>
                <c:pt idx="52">
                  <c:v>36.066535590813039</c:v>
                </c:pt>
                <c:pt idx="53">
                  <c:v>36.283248393008698</c:v>
                </c:pt>
                <c:pt idx="54">
                  <c:v>36.453114589442428</c:v>
                </c:pt>
                <c:pt idx="55">
                  <c:v>36.849588356814394</c:v>
                </c:pt>
                <c:pt idx="56">
                  <c:v>36.599075628675152</c:v>
                </c:pt>
                <c:pt idx="57">
                  <c:v>36.231789601839147</c:v>
                </c:pt>
                <c:pt idx="58">
                  <c:v>35.358650585907824</c:v>
                </c:pt>
                <c:pt idx="59">
                  <c:v>33.722941488675517</c:v>
                </c:pt>
                <c:pt idx="60">
                  <c:v>34.048914913486911</c:v>
                </c:pt>
                <c:pt idx="61">
                  <c:v>35.01382006779339</c:v>
                </c:pt>
                <c:pt idx="62">
                  <c:v>35.873992009716297</c:v>
                </c:pt>
                <c:pt idx="63">
                  <c:v>34.313147558261825</c:v>
                </c:pt>
                <c:pt idx="64">
                  <c:v>33.099111629961506</c:v>
                </c:pt>
                <c:pt idx="65">
                  <c:v>32.795654767434002</c:v>
                </c:pt>
                <c:pt idx="66">
                  <c:v>34.659461593318703</c:v>
                </c:pt>
                <c:pt idx="67">
                  <c:v>33.852775598381427</c:v>
                </c:pt>
                <c:pt idx="68">
                  <c:v>32.982861536624441</c:v>
                </c:pt>
                <c:pt idx="69">
                  <c:v>32.597061369475064</c:v>
                </c:pt>
                <c:pt idx="70">
                  <c:v>32.804105644530921</c:v>
                </c:pt>
                <c:pt idx="71">
                  <c:v>32.648541285607308</c:v>
                </c:pt>
                <c:pt idx="72">
                  <c:v>33.020255048551249</c:v>
                </c:pt>
                <c:pt idx="73">
                  <c:v>32.294050118312406</c:v>
                </c:pt>
                <c:pt idx="74">
                  <c:v>32.920661074164357</c:v>
                </c:pt>
                <c:pt idx="75">
                  <c:v>32.524352448318723</c:v>
                </c:pt>
                <c:pt idx="76">
                  <c:v>32.878035849571965</c:v>
                </c:pt>
                <c:pt idx="77">
                  <c:v>33.775659758439389</c:v>
                </c:pt>
                <c:pt idx="78">
                  <c:v>34.696897283522688</c:v>
                </c:pt>
                <c:pt idx="79">
                  <c:v>35.025385389690207</c:v>
                </c:pt>
                <c:pt idx="80">
                  <c:v>34.634431675076279</c:v>
                </c:pt>
                <c:pt idx="81">
                  <c:v>33.98273810529156</c:v>
                </c:pt>
                <c:pt idx="82">
                  <c:v>33.979713646783779</c:v>
                </c:pt>
                <c:pt idx="83">
                  <c:v>33.534338972323226</c:v>
                </c:pt>
                <c:pt idx="84">
                  <c:v>31.997388114838714</c:v>
                </c:pt>
                <c:pt idx="85">
                  <c:v>32.580385434170445</c:v>
                </c:pt>
                <c:pt idx="86">
                  <c:v>32.395520161828173</c:v>
                </c:pt>
                <c:pt idx="87">
                  <c:v>32.41923568011849</c:v>
                </c:pt>
                <c:pt idx="88">
                  <c:v>31.173289702957806</c:v>
                </c:pt>
                <c:pt idx="89">
                  <c:v>30.749751661709244</c:v>
                </c:pt>
                <c:pt idx="90">
                  <c:v>31.181396489786696</c:v>
                </c:pt>
                <c:pt idx="91">
                  <c:v>30.902650418949431</c:v>
                </c:pt>
                <c:pt idx="92">
                  <c:v>31.330152000411836</c:v>
                </c:pt>
                <c:pt idx="93">
                  <c:v>31.644519815285133</c:v>
                </c:pt>
                <c:pt idx="94">
                  <c:v>33.124937508812003</c:v>
                </c:pt>
                <c:pt idx="95">
                  <c:v>33.618478275362087</c:v>
                </c:pt>
                <c:pt idx="96">
                  <c:v>33.526370609686339</c:v>
                </c:pt>
                <c:pt idx="97">
                  <c:v>32.369546130669065</c:v>
                </c:pt>
                <c:pt idx="98">
                  <c:v>32.189151052788581</c:v>
                </c:pt>
                <c:pt idx="99">
                  <c:v>31.871769681850662</c:v>
                </c:pt>
                <c:pt idx="100">
                  <c:v>32.506571774525071</c:v>
                </c:pt>
                <c:pt idx="101">
                  <c:v>32.072709536823218</c:v>
                </c:pt>
                <c:pt idx="102">
                  <c:v>31.373777338011482</c:v>
                </c:pt>
                <c:pt idx="103">
                  <c:v>30.722469750815158</c:v>
                </c:pt>
                <c:pt idx="104">
                  <c:v>29.735204415359306</c:v>
                </c:pt>
                <c:pt idx="105">
                  <c:v>29.568676760194307</c:v>
                </c:pt>
                <c:pt idx="106">
                  <c:v>29.630033804794024</c:v>
                </c:pt>
                <c:pt idx="107">
                  <c:v>30.241575894311769</c:v>
                </c:pt>
                <c:pt idx="108">
                  <c:v>29.806183626127062</c:v>
                </c:pt>
                <c:pt idx="109">
                  <c:v>29.768076243583337</c:v>
                </c:pt>
                <c:pt idx="110">
                  <c:v>29.362270379998986</c:v>
                </c:pt>
                <c:pt idx="111">
                  <c:v>28.44221052106862</c:v>
                </c:pt>
                <c:pt idx="112">
                  <c:v>27.721774120606877</c:v>
                </c:pt>
                <c:pt idx="113">
                  <c:v>27.002128294985582</c:v>
                </c:pt>
                <c:pt idx="114">
                  <c:v>27.383471592451009</c:v>
                </c:pt>
                <c:pt idx="115">
                  <c:v>26.888872056802114</c:v>
                </c:pt>
                <c:pt idx="116">
                  <c:v>26.499997033691319</c:v>
                </c:pt>
                <c:pt idx="117">
                  <c:v>26.006935454048079</c:v>
                </c:pt>
                <c:pt idx="118">
                  <c:v>24.459999736720544</c:v>
                </c:pt>
                <c:pt idx="119">
                  <c:v>22.852684833340309</c:v>
                </c:pt>
                <c:pt idx="120">
                  <c:v>22.124537587912588</c:v>
                </c:pt>
                <c:pt idx="121">
                  <c:v>21.76342758216812</c:v>
                </c:pt>
                <c:pt idx="122">
                  <c:v>21.211087285286663</c:v>
                </c:pt>
                <c:pt idx="123">
                  <c:v>21.321214392752712</c:v>
                </c:pt>
                <c:pt idx="124">
                  <c:v>21.318406738383985</c:v>
                </c:pt>
                <c:pt idx="125">
                  <c:v>20.833423836060785</c:v>
                </c:pt>
                <c:pt idx="126">
                  <c:v>20.12350688245014</c:v>
                </c:pt>
                <c:pt idx="127">
                  <c:v>19.653496604159265</c:v>
                </c:pt>
                <c:pt idx="128">
                  <c:v>19.418303610099681</c:v>
                </c:pt>
                <c:pt idx="129">
                  <c:v>19.100057923348494</c:v>
                </c:pt>
                <c:pt idx="130">
                  <c:v>18.779815710739346</c:v>
                </c:pt>
                <c:pt idx="131">
                  <c:v>18.588868384667183</c:v>
                </c:pt>
                <c:pt idx="132">
                  <c:v>17.69456813460075</c:v>
                </c:pt>
                <c:pt idx="133">
                  <c:v>17.384774180119898</c:v>
                </c:pt>
                <c:pt idx="134">
                  <c:v>17.428874117783991</c:v>
                </c:pt>
                <c:pt idx="135">
                  <c:v>18.368771559784967</c:v>
                </c:pt>
                <c:pt idx="136">
                  <c:v>19.317183717795661</c:v>
                </c:pt>
                <c:pt idx="137">
                  <c:v>23.746027766839692</c:v>
                </c:pt>
                <c:pt idx="138">
                  <c:v>26.678660880069025</c:v>
                </c:pt>
                <c:pt idx="139">
                  <c:v>28.50287955271558</c:v>
                </c:pt>
                <c:pt idx="140">
                  <c:v>26.928398217007821</c:v>
                </c:pt>
                <c:pt idx="141">
                  <c:v>26.326022355817436</c:v>
                </c:pt>
                <c:pt idx="142">
                  <c:v>26.409027731717526</c:v>
                </c:pt>
                <c:pt idx="143">
                  <c:v>25.56081860741175</c:v>
                </c:pt>
                <c:pt idx="144">
                  <c:v>26.676811770751499</c:v>
                </c:pt>
                <c:pt idx="145">
                  <c:v>26.329038258680043</c:v>
                </c:pt>
                <c:pt idx="146">
                  <c:v>27.500903755503316</c:v>
                </c:pt>
                <c:pt idx="147">
                  <c:v>26.481007685848216</c:v>
                </c:pt>
                <c:pt idx="148">
                  <c:v>26.579552905822872</c:v>
                </c:pt>
                <c:pt idx="149">
                  <c:v>26.311637029283332</c:v>
                </c:pt>
                <c:pt idx="150">
                  <c:v>26.43472767740867</c:v>
                </c:pt>
                <c:pt idx="151">
                  <c:v>25.472210370068638</c:v>
                </c:pt>
                <c:pt idx="152">
                  <c:v>23.386371753665497</c:v>
                </c:pt>
                <c:pt idx="153">
                  <c:v>21.332487539449726</c:v>
                </c:pt>
                <c:pt idx="154">
                  <c:v>21.534790107736438</c:v>
                </c:pt>
                <c:pt idx="155">
                  <c:v>21.598792702984049</c:v>
                </c:pt>
                <c:pt idx="156">
                  <c:v>23.382869704887447</c:v>
                </c:pt>
                <c:pt idx="157">
                  <c:v>23.131270519156534</c:v>
                </c:pt>
                <c:pt idx="158">
                  <c:v>23.515296389330771</c:v>
                </c:pt>
                <c:pt idx="159">
                  <c:v>22.615833857432019</c:v>
                </c:pt>
                <c:pt idx="160">
                  <c:v>22.968367239971155</c:v>
                </c:pt>
                <c:pt idx="161">
                  <c:v>23.213622881685048</c:v>
                </c:pt>
                <c:pt idx="162">
                  <c:v>23.129038089041696</c:v>
                </c:pt>
                <c:pt idx="163">
                  <c:v>21.549189018005066</c:v>
                </c:pt>
                <c:pt idx="164">
                  <c:v>20.831689996547681</c:v>
                </c:pt>
                <c:pt idx="165">
                  <c:v>21.484804424946166</c:v>
                </c:pt>
                <c:pt idx="166">
                  <c:v>22.075293753060464</c:v>
                </c:pt>
                <c:pt idx="167">
                  <c:v>22.166184971430109</c:v>
                </c:pt>
                <c:pt idx="168">
                  <c:v>23.127599058380412</c:v>
                </c:pt>
                <c:pt idx="169">
                  <c:v>24.686411548812064</c:v>
                </c:pt>
                <c:pt idx="170">
                  <c:v>26.121136598085506</c:v>
                </c:pt>
                <c:pt idx="171">
                  <c:v>26.193256105086309</c:v>
                </c:pt>
                <c:pt idx="172">
                  <c:v>25.588087328823679</c:v>
                </c:pt>
                <c:pt idx="173">
                  <c:v>28.911104854384533</c:v>
                </c:pt>
                <c:pt idx="174">
                  <c:v>32.234122379945497</c:v>
                </c:pt>
                <c:pt idx="175">
                  <c:v>32.129923863672843</c:v>
                </c:pt>
                <c:pt idx="176">
                  <c:v>32.573817023805681</c:v>
                </c:pt>
                <c:pt idx="177">
                  <c:v>32.700584223447301</c:v>
                </c:pt>
                <c:pt idx="178">
                  <c:v>33.038013661470913</c:v>
                </c:pt>
                <c:pt idx="179">
                  <c:v>33.10984121967136</c:v>
                </c:pt>
                <c:pt idx="180">
                  <c:v>31.980476213893759</c:v>
                </c:pt>
                <c:pt idx="181">
                  <c:v>31.980476213893759</c:v>
                </c:pt>
                <c:pt idx="182">
                  <c:v>32.407723156855454</c:v>
                </c:pt>
                <c:pt idx="183">
                  <c:v>34.131091860888311</c:v>
                </c:pt>
                <c:pt idx="184">
                  <c:v>34.359113240263547</c:v>
                </c:pt>
                <c:pt idx="185">
                  <c:v>34.522680855399237</c:v>
                </c:pt>
                <c:pt idx="186">
                  <c:v>33.308505524582465</c:v>
                </c:pt>
                <c:pt idx="187">
                  <c:v>32.957006334023745</c:v>
                </c:pt>
                <c:pt idx="188">
                  <c:v>32.635208656311519</c:v>
                </c:pt>
                <c:pt idx="189">
                  <c:v>32.712068007444714</c:v>
                </c:pt>
                <c:pt idx="190">
                  <c:v>32.414171789004214</c:v>
                </c:pt>
                <c:pt idx="191">
                  <c:v>31.628726604173171</c:v>
                </c:pt>
                <c:pt idx="192">
                  <c:v>34.621598498195603</c:v>
                </c:pt>
                <c:pt idx="193">
                  <c:v>34.493862463498552</c:v>
                </c:pt>
                <c:pt idx="194">
                  <c:v>33.056200685121233</c:v>
                </c:pt>
                <c:pt idx="195">
                  <c:v>31.51781161596459</c:v>
                </c:pt>
                <c:pt idx="196">
                  <c:v>30.707466731690388</c:v>
                </c:pt>
                <c:pt idx="197">
                  <c:v>32.315575832902475</c:v>
                </c:pt>
                <c:pt idx="198">
                  <c:v>30.763477346140771</c:v>
                </c:pt>
                <c:pt idx="199">
                  <c:v>30.279154372639667</c:v>
                </c:pt>
                <c:pt idx="200">
                  <c:v>31.60328441349338</c:v>
                </c:pt>
                <c:pt idx="201">
                  <c:v>34.261358496572157</c:v>
                </c:pt>
                <c:pt idx="202">
                  <c:v>35.983204320003018</c:v>
                </c:pt>
                <c:pt idx="203">
                  <c:v>35.379051212147331</c:v>
                </c:pt>
                <c:pt idx="204">
                  <c:v>33.450249076107092</c:v>
                </c:pt>
                <c:pt idx="205">
                  <c:v>33.430584537518556</c:v>
                </c:pt>
                <c:pt idx="206">
                  <c:v>33.719686475862488</c:v>
                </c:pt>
                <c:pt idx="207">
                  <c:v>33.937130715098967</c:v>
                </c:pt>
                <c:pt idx="208">
                  <c:v>34.298063462646994</c:v>
                </c:pt>
                <c:pt idx="209">
                  <c:v>33.830469993433347</c:v>
                </c:pt>
                <c:pt idx="210">
                  <c:v>33.089891881097515</c:v>
                </c:pt>
                <c:pt idx="211">
                  <c:v>32.592654140491931</c:v>
                </c:pt>
                <c:pt idx="212">
                  <c:v>31.14619264404509</c:v>
                </c:pt>
                <c:pt idx="213">
                  <c:v>29.105232414338577</c:v>
                </c:pt>
                <c:pt idx="214">
                  <c:v>26.000425864160434</c:v>
                </c:pt>
                <c:pt idx="215">
                  <c:v>23.826311964270538</c:v>
                </c:pt>
                <c:pt idx="216">
                  <c:v>23.234916996080486</c:v>
                </c:pt>
                <c:pt idx="217">
                  <c:v>23.604722503517234</c:v>
                </c:pt>
                <c:pt idx="218">
                  <c:v>24.064037334066583</c:v>
                </c:pt>
                <c:pt idx="219">
                  <c:v>29.91300964997653</c:v>
                </c:pt>
                <c:pt idx="220">
                  <c:v>34.282682445729591</c:v>
                </c:pt>
                <c:pt idx="221">
                  <c:v>32.933795135822386</c:v>
                </c:pt>
                <c:pt idx="222">
                  <c:v>30.340919894805083</c:v>
                </c:pt>
                <c:pt idx="223">
                  <c:v>29.349016451388252</c:v>
                </c:pt>
                <c:pt idx="224">
                  <c:v>29.609946654978106</c:v>
                </c:pt>
                <c:pt idx="225">
                  <c:v>31.092213319519072</c:v>
                </c:pt>
                <c:pt idx="226">
                  <c:v>30.920096159376062</c:v>
                </c:pt>
                <c:pt idx="227">
                  <c:v>30.12841501619387</c:v>
                </c:pt>
                <c:pt idx="228">
                  <c:v>31.122413548072089</c:v>
                </c:pt>
                <c:pt idx="229">
                  <c:v>32.502871413577786</c:v>
                </c:pt>
                <c:pt idx="230">
                  <c:v>33.296038786751986</c:v>
                </c:pt>
                <c:pt idx="231">
                  <c:v>31.201765593970105</c:v>
                </c:pt>
                <c:pt idx="232">
                  <c:v>28.631479700470436</c:v>
                </c:pt>
                <c:pt idx="233">
                  <c:v>26.233826972502289</c:v>
                </c:pt>
                <c:pt idx="234">
                  <c:v>25.093064026995009</c:v>
                </c:pt>
                <c:pt idx="235">
                  <c:v>25.749036620521302</c:v>
                </c:pt>
                <c:pt idx="236">
                  <c:v>26.951104280364003</c:v>
                </c:pt>
                <c:pt idx="237">
                  <c:v>27.666585776456934</c:v>
                </c:pt>
                <c:pt idx="238">
                  <c:v>26.536530135067103</c:v>
                </c:pt>
                <c:pt idx="239">
                  <c:v>26.480865225114304</c:v>
                </c:pt>
                <c:pt idx="240">
                  <c:v>27.297945247917017</c:v>
                </c:pt>
                <c:pt idx="241">
                  <c:v>29.226892643015727</c:v>
                </c:pt>
                <c:pt idx="242">
                  <c:v>29.932578885584221</c:v>
                </c:pt>
                <c:pt idx="243">
                  <c:v>29.099340493031843</c:v>
                </c:pt>
                <c:pt idx="244">
                  <c:v>27.401208366685417</c:v>
                </c:pt>
                <c:pt idx="245">
                  <c:v>26.165880743667053</c:v>
                </c:pt>
                <c:pt idx="246">
                  <c:v>25.413498194615016</c:v>
                </c:pt>
                <c:pt idx="247">
                  <c:v>25.326491197369762</c:v>
                </c:pt>
                <c:pt idx="248">
                  <c:v>24.885336939360332</c:v>
                </c:pt>
                <c:pt idx="249">
                  <c:v>24.865059621507665</c:v>
                </c:pt>
                <c:pt idx="250">
                  <c:v>26.66524376060795</c:v>
                </c:pt>
                <c:pt idx="251">
                  <c:v>28.6481467635905</c:v>
                </c:pt>
                <c:pt idx="252">
                  <c:v>30.020464630593132</c:v>
                </c:pt>
                <c:pt idx="253">
                  <c:v>28.935493070033154</c:v>
                </c:pt>
                <c:pt idx="254">
                  <c:v>26.528793275102899</c:v>
                </c:pt>
                <c:pt idx="255">
                  <c:v>26.818692954782534</c:v>
                </c:pt>
                <c:pt idx="256">
                  <c:v>26.60353057777769</c:v>
                </c:pt>
                <c:pt idx="257">
                  <c:v>33.011420038994366</c:v>
                </c:pt>
                <c:pt idx="258">
                  <c:v>35.901521513731034</c:v>
                </c:pt>
                <c:pt idx="259">
                  <c:v>35.901521513731034</c:v>
                </c:pt>
                <c:pt idx="260">
                  <c:v>33.094071340311707</c:v>
                </c:pt>
                <c:pt idx="261">
                  <c:v>33.094071340311707</c:v>
                </c:pt>
                <c:pt idx="262">
                  <c:v>33.094071340311707</c:v>
                </c:pt>
                <c:pt idx="263">
                  <c:v>33.690563608662991</c:v>
                </c:pt>
                <c:pt idx="264">
                  <c:v>34.287055877014282</c:v>
                </c:pt>
                <c:pt idx="265">
                  <c:v>34.88354814536558</c:v>
                </c:pt>
                <c:pt idx="266">
                  <c:v>34.88354814536558</c:v>
                </c:pt>
                <c:pt idx="267">
                  <c:v>35.359213949626806</c:v>
                </c:pt>
                <c:pt idx="268">
                  <c:v>35.834879753888053</c:v>
                </c:pt>
                <c:pt idx="269">
                  <c:v>34.361536961577265</c:v>
                </c:pt>
                <c:pt idx="270">
                  <c:v>33.923445268665887</c:v>
                </c:pt>
                <c:pt idx="271">
                  <c:v>33.705826997566518</c:v>
                </c:pt>
                <c:pt idx="272">
                  <c:v>34.455668569979416</c:v>
                </c:pt>
                <c:pt idx="273">
                  <c:v>34.804872424679374</c:v>
                </c:pt>
                <c:pt idx="274">
                  <c:v>35.574779197064238</c:v>
                </c:pt>
                <c:pt idx="275">
                  <c:v>35.192377416977713</c:v>
                </c:pt>
                <c:pt idx="276">
                  <c:v>34.785412159384066</c:v>
                </c:pt>
                <c:pt idx="277">
                  <c:v>33.990513546245516</c:v>
                </c:pt>
                <c:pt idx="278">
                  <c:v>37.067921860957398</c:v>
                </c:pt>
                <c:pt idx="279">
                  <c:v>35.949577202765099</c:v>
                </c:pt>
                <c:pt idx="280">
                  <c:v>35.949577202765099</c:v>
                </c:pt>
                <c:pt idx="281">
                  <c:v>34.831232544572671</c:v>
                </c:pt>
                <c:pt idx="282">
                  <c:v>36.994288903659587</c:v>
                </c:pt>
                <c:pt idx="283">
                  <c:v>36.611249715426524</c:v>
                </c:pt>
                <c:pt idx="284">
                  <c:v>35.812005075297293</c:v>
                </c:pt>
                <c:pt idx="285">
                  <c:v>35.250371411201328</c:v>
                </c:pt>
                <c:pt idx="286">
                  <c:v>35.423036187648961</c:v>
                </c:pt>
                <c:pt idx="287">
                  <c:v>36.262609087193084</c:v>
                </c:pt>
                <c:pt idx="288">
                  <c:v>36.77842370158303</c:v>
                </c:pt>
                <c:pt idx="289">
                  <c:v>36.707076713054143</c:v>
                </c:pt>
                <c:pt idx="290">
                  <c:v>36.68729550272618</c:v>
                </c:pt>
                <c:pt idx="291">
                  <c:v>36.60252737681833</c:v>
                </c:pt>
                <c:pt idx="292">
                  <c:v>37.055014286825141</c:v>
                </c:pt>
                <c:pt idx="293">
                  <c:v>37.222794926232794</c:v>
                </c:pt>
                <c:pt idx="294">
                  <c:v>37.222794926232794</c:v>
                </c:pt>
                <c:pt idx="295">
                  <c:v>36.735573669082044</c:v>
                </c:pt>
                <c:pt idx="296">
                  <c:v>36.071438329940229</c:v>
                </c:pt>
                <c:pt idx="297">
                  <c:v>35.393210544694192</c:v>
                </c:pt>
                <c:pt idx="298">
                  <c:v>34.795630050491816</c:v>
                </c:pt>
                <c:pt idx="299">
                  <c:v>34.655049481951629</c:v>
                </c:pt>
                <c:pt idx="300">
                  <c:v>34.77903882174008</c:v>
                </c:pt>
                <c:pt idx="301">
                  <c:v>34.288351936548295</c:v>
                </c:pt>
                <c:pt idx="302">
                  <c:v>33.803308026023593</c:v>
                </c:pt>
                <c:pt idx="303">
                  <c:v>33.732963779279729</c:v>
                </c:pt>
                <c:pt idx="304">
                  <c:v>34.35111787269301</c:v>
                </c:pt>
                <c:pt idx="305">
                  <c:v>34.848566980532169</c:v>
                </c:pt>
                <c:pt idx="306">
                  <c:v>35.536111369151399</c:v>
                </c:pt>
                <c:pt idx="307">
                  <c:v>36.34791663347437</c:v>
                </c:pt>
                <c:pt idx="308">
                  <c:v>36.72849482757163</c:v>
                </c:pt>
                <c:pt idx="309">
                  <c:v>36.748635426002878</c:v>
                </c:pt>
                <c:pt idx="310">
                  <c:v>36.824981912293495</c:v>
                </c:pt>
                <c:pt idx="311">
                  <c:v>36.028735149837715</c:v>
                </c:pt>
                <c:pt idx="312">
                  <c:v>36.116515441546326</c:v>
                </c:pt>
                <c:pt idx="313">
                  <c:v>35.625637602122687</c:v>
                </c:pt>
                <c:pt idx="314">
                  <c:v>35.661526055017831</c:v>
                </c:pt>
                <c:pt idx="315">
                  <c:v>33.84570597631879</c:v>
                </c:pt>
                <c:pt idx="316">
                  <c:v>33.777318840656044</c:v>
                </c:pt>
                <c:pt idx="317">
                  <c:v>33.89941430829046</c:v>
                </c:pt>
                <c:pt idx="318">
                  <c:v>35.245636412306069</c:v>
                </c:pt>
                <c:pt idx="319">
                  <c:v>35.070411252724213</c:v>
                </c:pt>
                <c:pt idx="320">
                  <c:v>36.048973649317205</c:v>
                </c:pt>
                <c:pt idx="321">
                  <c:v>36.048973649317205</c:v>
                </c:pt>
                <c:pt idx="322">
                  <c:v>36.648544136203967</c:v>
                </c:pt>
                <c:pt idx="323">
                  <c:v>37.485076870067509</c:v>
                </c:pt>
                <c:pt idx="324">
                  <c:v>36.915603434005767</c:v>
                </c:pt>
                <c:pt idx="325">
                  <c:v>36.130873901725522</c:v>
                </c:pt>
                <c:pt idx="326">
                  <c:v>35.335291294066067</c:v>
                </c:pt>
                <c:pt idx="327">
                  <c:v>35.414693843417616</c:v>
                </c:pt>
                <c:pt idx="328">
                  <c:v>35.273505442049547</c:v>
                </c:pt>
                <c:pt idx="329">
                  <c:v>35.640941405882167</c:v>
                </c:pt>
                <c:pt idx="330">
                  <c:v>35.493681278530467</c:v>
                </c:pt>
                <c:pt idx="331">
                  <c:v>37.619709654475294</c:v>
                </c:pt>
                <c:pt idx="332">
                  <c:v>38.111197977453521</c:v>
                </c:pt>
                <c:pt idx="333">
                  <c:v>37.741707504389034</c:v>
                </c:pt>
                <c:pt idx="334">
                  <c:v>37.094563875978885</c:v>
                </c:pt>
                <c:pt idx="335">
                  <c:v>36.494461092982959</c:v>
                </c:pt>
                <c:pt idx="336">
                  <c:v>36.114874027428108</c:v>
                </c:pt>
                <c:pt idx="337">
                  <c:v>35.505164215480924</c:v>
                </c:pt>
                <c:pt idx="338">
                  <c:v>34.837230125846382</c:v>
                </c:pt>
                <c:pt idx="339">
                  <c:v>33.639236023606109</c:v>
                </c:pt>
                <c:pt idx="340">
                  <c:v>33.822856056931705</c:v>
                </c:pt>
                <c:pt idx="341">
                  <c:v>34.569492639049408</c:v>
                </c:pt>
                <c:pt idx="342">
                  <c:v>35.305507738526138</c:v>
                </c:pt>
                <c:pt idx="343">
                  <c:v>35.136308730635072</c:v>
                </c:pt>
                <c:pt idx="344">
                  <c:v>34.478028353304879</c:v>
                </c:pt>
                <c:pt idx="345">
                  <c:v>34.544208397758418</c:v>
                </c:pt>
                <c:pt idx="346">
                  <c:v>34.610388442211828</c:v>
                </c:pt>
                <c:pt idx="347">
                  <c:v>34.676568486665353</c:v>
                </c:pt>
                <c:pt idx="348">
                  <c:v>34.742748531118892</c:v>
                </c:pt>
                <c:pt idx="349">
                  <c:v>34.808928575572409</c:v>
                </c:pt>
                <c:pt idx="350">
                  <c:v>34.875108620025948</c:v>
                </c:pt>
                <c:pt idx="351">
                  <c:v>34.941288664479359</c:v>
                </c:pt>
                <c:pt idx="352">
                  <c:v>35.007468708932876</c:v>
                </c:pt>
                <c:pt idx="353">
                  <c:v>35.394243177319574</c:v>
                </c:pt>
                <c:pt idx="354">
                  <c:v>35.73527747221771</c:v>
                </c:pt>
                <c:pt idx="355">
                  <c:v>35.529135705922144</c:v>
                </c:pt>
                <c:pt idx="356">
                  <c:v>34.624600461193076</c:v>
                </c:pt>
                <c:pt idx="357">
                  <c:v>33.16274560222034</c:v>
                </c:pt>
                <c:pt idx="358">
                  <c:v>33.008739403637968</c:v>
                </c:pt>
                <c:pt idx="359">
                  <c:v>33.63503424283104</c:v>
                </c:pt>
                <c:pt idx="360">
                  <c:v>34.997030674308952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5C-4371-AAB3-629E8476D5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0666592"/>
        <c:axId val="770694688"/>
      </c:scatterChart>
      <c:valAx>
        <c:axId val="850666592"/>
        <c:scaling>
          <c:orientation val="minMax"/>
          <c:max val="5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Ref.</a:t>
                </a:r>
                <a:r>
                  <a:rPr lang="en-US" baseline="0"/>
                  <a:t> vol. SM (%)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0694688"/>
        <c:crosses val="autoZero"/>
        <c:crossBetween val="midCat"/>
      </c:valAx>
      <c:valAx>
        <c:axId val="770694688"/>
        <c:scaling>
          <c:orientation val="minMax"/>
          <c:max val="5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Pred.</a:t>
                </a:r>
                <a:r>
                  <a:rPr lang="en-US" baseline="0"/>
                  <a:t> vol. SM (%)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0666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Data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selhausen_SM_EGR_daily!$D$8:$D$400</c:f>
              <c:numCache>
                <c:formatCode>General</c:formatCode>
                <c:ptCount val="393"/>
                <c:pt idx="0">
                  <c:v>35.267864366824199</c:v>
                </c:pt>
                <c:pt idx="1">
                  <c:v>35.1993709636075</c:v>
                </c:pt>
                <c:pt idx="2">
                  <c:v>34.623326589406403</c:v>
                </c:pt>
                <c:pt idx="3">
                  <c:v>34.047282215205399</c:v>
                </c:pt>
                <c:pt idx="4">
                  <c:v>33.471237841004303</c:v>
                </c:pt>
                <c:pt idx="5">
                  <c:v>32.895193466803299</c:v>
                </c:pt>
                <c:pt idx="6">
                  <c:v>32.731530427774302</c:v>
                </c:pt>
                <c:pt idx="7">
                  <c:v>32.596651251184497</c:v>
                </c:pt>
                <c:pt idx="8">
                  <c:v>32.4536587751696</c:v>
                </c:pt>
                <c:pt idx="9">
                  <c:v>32.176603565747101</c:v>
                </c:pt>
                <c:pt idx="10">
                  <c:v>31.936275817145599</c:v>
                </c:pt>
                <c:pt idx="11">
                  <c:v>31.824461490872402</c:v>
                </c:pt>
                <c:pt idx="12">
                  <c:v>31.659673067343999</c:v>
                </c:pt>
                <c:pt idx="13">
                  <c:v>31.473443625845999</c:v>
                </c:pt>
                <c:pt idx="14">
                  <c:v>31.851141941655001</c:v>
                </c:pt>
                <c:pt idx="15">
                  <c:v>31.8194347825062</c:v>
                </c:pt>
                <c:pt idx="16">
                  <c:v>31.599505151353402</c:v>
                </c:pt>
                <c:pt idx="17">
                  <c:v>31.463331280833</c:v>
                </c:pt>
                <c:pt idx="18">
                  <c:v>33.151635158716701</c:v>
                </c:pt>
                <c:pt idx="19">
                  <c:v>32.998640120501001</c:v>
                </c:pt>
                <c:pt idx="20">
                  <c:v>32.794448674991102</c:v>
                </c:pt>
                <c:pt idx="21">
                  <c:v>32.166767682053397</c:v>
                </c:pt>
                <c:pt idx="22">
                  <c:v>31.524188101936598</c:v>
                </c:pt>
                <c:pt idx="23">
                  <c:v>31.138822162791101</c:v>
                </c:pt>
                <c:pt idx="24">
                  <c:v>30.705000572561101</c:v>
                </c:pt>
                <c:pt idx="25">
                  <c:v>30.488454813834799</c:v>
                </c:pt>
                <c:pt idx="26">
                  <c:v>30.405468680709301</c:v>
                </c:pt>
                <c:pt idx="27">
                  <c:v>30.4157502506878</c:v>
                </c:pt>
                <c:pt idx="28">
                  <c:v>30.3620788052596</c:v>
                </c:pt>
                <c:pt idx="29">
                  <c:v>30.335750368182499</c:v>
                </c:pt>
                <c:pt idx="30">
                  <c:v>32.315058318218497</c:v>
                </c:pt>
                <c:pt idx="31">
                  <c:v>36.337446053406097</c:v>
                </c:pt>
                <c:pt idx="32">
                  <c:v>37.0493163861155</c:v>
                </c:pt>
                <c:pt idx="33">
                  <c:v>37.159532534574801</c:v>
                </c:pt>
                <c:pt idx="34">
                  <c:v>36.058666854678798</c:v>
                </c:pt>
                <c:pt idx="35">
                  <c:v>35.3272768251298</c:v>
                </c:pt>
                <c:pt idx="36">
                  <c:v>34.870909228816899</c:v>
                </c:pt>
                <c:pt idx="37">
                  <c:v>36.107426871348601</c:v>
                </c:pt>
                <c:pt idx="38">
                  <c:v>36.894246105104102</c:v>
                </c:pt>
                <c:pt idx="39">
                  <c:v>35.586914151347898</c:v>
                </c:pt>
                <c:pt idx="40">
                  <c:v>34.740036497319103</c:v>
                </c:pt>
                <c:pt idx="41">
                  <c:v>34.1406571505727</c:v>
                </c:pt>
                <c:pt idx="42">
                  <c:v>33.755179624401798</c:v>
                </c:pt>
                <c:pt idx="43">
                  <c:v>33.440578497936897</c:v>
                </c:pt>
                <c:pt idx="44">
                  <c:v>33.366809618916299</c:v>
                </c:pt>
                <c:pt idx="45">
                  <c:v>33.2781730489151</c:v>
                </c:pt>
                <c:pt idx="46">
                  <c:v>32.989720538044701</c:v>
                </c:pt>
                <c:pt idx="47">
                  <c:v>32.6202136074062</c:v>
                </c:pt>
                <c:pt idx="48">
                  <c:v>32.632159117632497</c:v>
                </c:pt>
                <c:pt idx="49">
                  <c:v>35.194891389522901</c:v>
                </c:pt>
                <c:pt idx="50">
                  <c:v>35.5541925632211</c:v>
                </c:pt>
                <c:pt idx="51">
                  <c:v>34.451621502619801</c:v>
                </c:pt>
                <c:pt idx="52">
                  <c:v>33.918666064892903</c:v>
                </c:pt>
                <c:pt idx="53">
                  <c:v>34.9264315009531</c:v>
                </c:pt>
                <c:pt idx="54">
                  <c:v>35.9720499422329</c:v>
                </c:pt>
                <c:pt idx="55">
                  <c:v>37.452550331109897</c:v>
                </c:pt>
                <c:pt idx="56">
                  <c:v>36.853394534188098</c:v>
                </c:pt>
                <c:pt idx="57">
                  <c:v>35.419109861034798</c:v>
                </c:pt>
                <c:pt idx="58">
                  <c:v>34.230262953228298</c:v>
                </c:pt>
                <c:pt idx="59">
                  <c:v>33.353690098410297</c:v>
                </c:pt>
                <c:pt idx="60">
                  <c:v>32.906982665148497</c:v>
                </c:pt>
                <c:pt idx="61">
                  <c:v>34.001598062262502</c:v>
                </c:pt>
                <c:pt idx="62">
                  <c:v>33.594117494012103</c:v>
                </c:pt>
                <c:pt idx="63">
                  <c:v>32.863698666536798</c:v>
                </c:pt>
                <c:pt idx="64">
                  <c:v>31.929528519340501</c:v>
                </c:pt>
                <c:pt idx="65">
                  <c:v>31.8187544647027</c:v>
                </c:pt>
                <c:pt idx="66">
                  <c:v>31.978542344228199</c:v>
                </c:pt>
                <c:pt idx="67">
                  <c:v>32.119359103697299</c:v>
                </c:pt>
                <c:pt idx="68">
                  <c:v>31.388270840056101</c:v>
                </c:pt>
                <c:pt idx="69">
                  <c:v>30.826170185197999</c:v>
                </c:pt>
                <c:pt idx="70">
                  <c:v>30.795057920367299</c:v>
                </c:pt>
                <c:pt idx="71">
                  <c:v>31.101263937880301</c:v>
                </c:pt>
                <c:pt idx="72">
                  <c:v>30.589301263243598</c:v>
                </c:pt>
                <c:pt idx="73">
                  <c:v>29.8002461812139</c:v>
                </c:pt>
                <c:pt idx="74">
                  <c:v>29.5227431967092</c:v>
                </c:pt>
                <c:pt idx="75">
                  <c:v>31.740145579730001</c:v>
                </c:pt>
                <c:pt idx="76">
                  <c:v>32.477372669146398</c:v>
                </c:pt>
                <c:pt idx="77">
                  <c:v>31.7710212648884</c:v>
                </c:pt>
                <c:pt idx="78">
                  <c:v>33.994098202371397</c:v>
                </c:pt>
                <c:pt idx="79">
                  <c:v>33.625050559207203</c:v>
                </c:pt>
                <c:pt idx="80">
                  <c:v>32.261598678655503</c:v>
                </c:pt>
                <c:pt idx="81">
                  <c:v>31.270556767525001</c:v>
                </c:pt>
                <c:pt idx="82">
                  <c:v>31.341742482722601</c:v>
                </c:pt>
                <c:pt idx="83">
                  <c:v>31.499305644137699</c:v>
                </c:pt>
                <c:pt idx="84">
                  <c:v>30.844746298729699</c:v>
                </c:pt>
                <c:pt idx="85">
                  <c:v>31.092952604678199</c:v>
                </c:pt>
                <c:pt idx="86">
                  <c:v>32.520759688818899</c:v>
                </c:pt>
                <c:pt idx="87">
                  <c:v>31.125154741045002</c:v>
                </c:pt>
                <c:pt idx="88">
                  <c:v>29.743116706564699</c:v>
                </c:pt>
                <c:pt idx="89">
                  <c:v>28.835197503355001</c:v>
                </c:pt>
                <c:pt idx="90">
                  <c:v>28.7999343310602</c:v>
                </c:pt>
                <c:pt idx="91">
                  <c:v>28.887370540225</c:v>
                </c:pt>
                <c:pt idx="92">
                  <c:v>29.193154150494699</c:v>
                </c:pt>
                <c:pt idx="93">
                  <c:v>30.558400191701999</c:v>
                </c:pt>
                <c:pt idx="94">
                  <c:v>35.7448051577801</c:v>
                </c:pt>
                <c:pt idx="95">
                  <c:v>35.842524481833401</c:v>
                </c:pt>
                <c:pt idx="96">
                  <c:v>36.535171254122901</c:v>
                </c:pt>
                <c:pt idx="97">
                  <c:v>34.810315729182598</c:v>
                </c:pt>
                <c:pt idx="98">
                  <c:v>33.261872706583802</c:v>
                </c:pt>
                <c:pt idx="99">
                  <c:v>31.866719774305999</c:v>
                </c:pt>
                <c:pt idx="100">
                  <c:v>32.245625550981799</c:v>
                </c:pt>
                <c:pt idx="101">
                  <c:v>31.377793676799399</c:v>
                </c:pt>
                <c:pt idx="102">
                  <c:v>30.153389849566299</c:v>
                </c:pt>
                <c:pt idx="103">
                  <c:v>29.028954763539399</c:v>
                </c:pt>
                <c:pt idx="104">
                  <c:v>28.037238426599401</c:v>
                </c:pt>
                <c:pt idx="105">
                  <c:v>27.245549377518198</c:v>
                </c:pt>
                <c:pt idx="106">
                  <c:v>26.513923209679302</c:v>
                </c:pt>
                <c:pt idx="107">
                  <c:v>25.963983990271</c:v>
                </c:pt>
                <c:pt idx="108">
                  <c:v>25.4109470343293</c:v>
                </c:pt>
                <c:pt idx="109">
                  <c:v>24.801535714449901</c:v>
                </c:pt>
                <c:pt idx="110">
                  <c:v>24.038942728144001</c:v>
                </c:pt>
                <c:pt idx="111">
                  <c:v>23.1799587860299</c:v>
                </c:pt>
                <c:pt idx="112">
                  <c:v>22.301716058769902</c:v>
                </c:pt>
                <c:pt idx="113">
                  <c:v>21.4644273422746</c:v>
                </c:pt>
                <c:pt idx="114">
                  <c:v>20.719358996576801</c:v>
                </c:pt>
                <c:pt idx="115">
                  <c:v>19.883847871136499</c:v>
                </c:pt>
                <c:pt idx="116">
                  <c:v>19.0724667794684</c:v>
                </c:pt>
                <c:pt idx="117">
                  <c:v>18.4252096373617</c:v>
                </c:pt>
                <c:pt idx="118">
                  <c:v>17.816724878372401</c:v>
                </c:pt>
                <c:pt idx="119">
                  <c:v>17.1409611910113</c:v>
                </c:pt>
                <c:pt idx="120">
                  <c:v>16.502159339338501</c:v>
                </c:pt>
                <c:pt idx="121">
                  <c:v>15.9564505597438</c:v>
                </c:pt>
                <c:pt idx="122">
                  <c:v>15.5549989264365</c:v>
                </c:pt>
                <c:pt idx="123">
                  <c:v>15.3481669916854</c:v>
                </c:pt>
                <c:pt idx="124">
                  <c:v>15.1018072418783</c:v>
                </c:pt>
                <c:pt idx="125">
                  <c:v>14.684364347253</c:v>
                </c:pt>
                <c:pt idx="126">
                  <c:v>14.2719829044572</c:v>
                </c:pt>
                <c:pt idx="127">
                  <c:v>13.870311719019099</c:v>
                </c:pt>
                <c:pt idx="128">
                  <c:v>13.639805136925499</c:v>
                </c:pt>
                <c:pt idx="129">
                  <c:v>13.40179509969</c:v>
                </c:pt>
                <c:pt idx="130">
                  <c:v>13.2012271610472</c:v>
                </c:pt>
                <c:pt idx="131">
                  <c:v>13.0367602107941</c:v>
                </c:pt>
                <c:pt idx="132">
                  <c:v>12.8647316479148</c:v>
                </c:pt>
                <c:pt idx="133">
                  <c:v>12.7303546672451</c:v>
                </c:pt>
                <c:pt idx="134">
                  <c:v>12.688782936202999</c:v>
                </c:pt>
                <c:pt idx="135">
                  <c:v>12.6080413025986</c:v>
                </c:pt>
                <c:pt idx="136">
                  <c:v>12.534826272679499</c:v>
                </c:pt>
                <c:pt idx="137">
                  <c:v>14.065510931278901</c:v>
                </c:pt>
                <c:pt idx="138">
                  <c:v>19.3980679660086</c:v>
                </c:pt>
                <c:pt idx="139">
                  <c:v>18.4400443392759</c:v>
                </c:pt>
                <c:pt idx="140">
                  <c:v>17.384240805547901</c:v>
                </c:pt>
                <c:pt idx="141">
                  <c:v>16.398364993737701</c:v>
                </c:pt>
                <c:pt idx="142">
                  <c:v>15.6553489222811</c:v>
                </c:pt>
                <c:pt idx="143">
                  <c:v>15.380249305344799</c:v>
                </c:pt>
                <c:pt idx="144">
                  <c:v>15.2716752420641</c:v>
                </c:pt>
                <c:pt idx="145">
                  <c:v>16.6785179219513</c:v>
                </c:pt>
                <c:pt idx="146">
                  <c:v>16.540718787753001</c:v>
                </c:pt>
                <c:pt idx="147">
                  <c:v>16.248685515698298</c:v>
                </c:pt>
                <c:pt idx="148">
                  <c:v>15.589959430437</c:v>
                </c:pt>
                <c:pt idx="149">
                  <c:v>14.9898123244141</c:v>
                </c:pt>
                <c:pt idx="150">
                  <c:v>14.793556725618901</c:v>
                </c:pt>
                <c:pt idx="151">
                  <c:v>14.742843160888899</c:v>
                </c:pt>
                <c:pt idx="152">
                  <c:v>14.499666533743699</c:v>
                </c:pt>
                <c:pt idx="153">
                  <c:v>14.1678150842577</c:v>
                </c:pt>
                <c:pt idx="154">
                  <c:v>13.951461268176899</c:v>
                </c:pt>
                <c:pt idx="155">
                  <c:v>14.0090446378438</c:v>
                </c:pt>
                <c:pt idx="156">
                  <c:v>13.8792491166662</c:v>
                </c:pt>
                <c:pt idx="157">
                  <c:v>13.6475018409566</c:v>
                </c:pt>
                <c:pt idx="158">
                  <c:v>13.414761370551</c:v>
                </c:pt>
                <c:pt idx="159">
                  <c:v>13.269424938927299</c:v>
                </c:pt>
                <c:pt idx="160">
                  <c:v>13.2052249199362</c:v>
                </c:pt>
                <c:pt idx="161">
                  <c:v>13.3557071277103</c:v>
                </c:pt>
                <c:pt idx="162">
                  <c:v>13.3386361813712</c:v>
                </c:pt>
                <c:pt idx="163">
                  <c:v>13.1857484192771</c:v>
                </c:pt>
                <c:pt idx="164">
                  <c:v>13.0783631808319</c:v>
                </c:pt>
                <c:pt idx="165">
                  <c:v>12.978034852513099</c:v>
                </c:pt>
                <c:pt idx="166">
                  <c:v>12.9029415853653</c:v>
                </c:pt>
                <c:pt idx="167">
                  <c:v>12.799866503661001</c:v>
                </c:pt>
                <c:pt idx="168">
                  <c:v>12.630043115208199</c:v>
                </c:pt>
                <c:pt idx="169">
                  <c:v>13.155723285701299</c:v>
                </c:pt>
                <c:pt idx="170">
                  <c:v>13.956676291902699</c:v>
                </c:pt>
                <c:pt idx="171">
                  <c:v>14.1640073779721</c:v>
                </c:pt>
                <c:pt idx="172">
                  <c:v>14.734635518111</c:v>
                </c:pt>
                <c:pt idx="173">
                  <c:v>17.246028724485999</c:v>
                </c:pt>
                <c:pt idx="174">
                  <c:v>18.7407199599999</c:v>
                </c:pt>
                <c:pt idx="175">
                  <c:v>20.227284219208201</c:v>
                </c:pt>
                <c:pt idx="176">
                  <c:v>21.197110881493</c:v>
                </c:pt>
                <c:pt idx="177">
                  <c:v>25.432610506773901</c:v>
                </c:pt>
                <c:pt idx="178">
                  <c:v>26.221159404808901</c:v>
                </c:pt>
                <c:pt idx="179">
                  <c:v>26.9255638983179</c:v>
                </c:pt>
                <c:pt idx="180">
                  <c:v>27.149733979157901</c:v>
                </c:pt>
                <c:pt idx="181">
                  <c:v>26.333475464708201</c:v>
                </c:pt>
                <c:pt idx="182">
                  <c:v>30.1608705360416</c:v>
                </c:pt>
                <c:pt idx="183">
                  <c:v>30.605315963638802</c:v>
                </c:pt>
                <c:pt idx="184">
                  <c:v>29.030152283597101</c:v>
                </c:pt>
                <c:pt idx="185">
                  <c:v>29.878552974986</c:v>
                </c:pt>
                <c:pt idx="186">
                  <c:v>28.6887912056944</c:v>
                </c:pt>
                <c:pt idx="187">
                  <c:v>27.443521617152701</c:v>
                </c:pt>
                <c:pt idx="188">
                  <c:v>30.813751942416602</c:v>
                </c:pt>
                <c:pt idx="189">
                  <c:v>29.740374642152702</c:v>
                </c:pt>
                <c:pt idx="190">
                  <c:v>28.506178668680398</c:v>
                </c:pt>
                <c:pt idx="191">
                  <c:v>28.709956359611098</c:v>
                </c:pt>
                <c:pt idx="192">
                  <c:v>28.919571531805499</c:v>
                </c:pt>
                <c:pt idx="193">
                  <c:v>31.453605799236001</c:v>
                </c:pt>
                <c:pt idx="194">
                  <c:v>30.016890578944299</c:v>
                </c:pt>
                <c:pt idx="195">
                  <c:v>28.919413075180501</c:v>
                </c:pt>
                <c:pt idx="196">
                  <c:v>27.982316732972102</c:v>
                </c:pt>
                <c:pt idx="197">
                  <c:v>26.7234445732221</c:v>
                </c:pt>
                <c:pt idx="198">
                  <c:v>25.654445621735999</c:v>
                </c:pt>
                <c:pt idx="199">
                  <c:v>24.529209716069399</c:v>
                </c:pt>
                <c:pt idx="200">
                  <c:v>23.790099215638801</c:v>
                </c:pt>
                <c:pt idx="201">
                  <c:v>26.870676620888801</c:v>
                </c:pt>
                <c:pt idx="202">
                  <c:v>28.727012494819299</c:v>
                </c:pt>
                <c:pt idx="203">
                  <c:v>27.4028524032916</c:v>
                </c:pt>
                <c:pt idx="204">
                  <c:v>26.6187733402259</c:v>
                </c:pt>
                <c:pt idx="205">
                  <c:v>25.998387141483601</c:v>
                </c:pt>
                <c:pt idx="206">
                  <c:v>26.047473524138798</c:v>
                </c:pt>
                <c:pt idx="207">
                  <c:v>27.095320503236</c:v>
                </c:pt>
                <c:pt idx="208">
                  <c:v>30.6466978299582</c:v>
                </c:pt>
                <c:pt idx="209">
                  <c:v>31.595901990735999</c:v>
                </c:pt>
                <c:pt idx="210">
                  <c:v>30.4030089779721</c:v>
                </c:pt>
                <c:pt idx="211">
                  <c:v>29.239402826499902</c:v>
                </c:pt>
                <c:pt idx="212">
                  <c:v>27.907813418013799</c:v>
                </c:pt>
                <c:pt idx="213">
                  <c:v>26.7159381721839</c:v>
                </c:pt>
                <c:pt idx="214">
                  <c:v>23.995684525626</c:v>
                </c:pt>
                <c:pt idx="215">
                  <c:v>23.7601182871337</c:v>
                </c:pt>
                <c:pt idx="216">
                  <c:v>23.499634694358502</c:v>
                </c:pt>
                <c:pt idx="217">
                  <c:v>23.244947879529199</c:v>
                </c:pt>
                <c:pt idx="218">
                  <c:v>22.945815931696501</c:v>
                </c:pt>
                <c:pt idx="219">
                  <c:v>24.033854082923799</c:v>
                </c:pt>
                <c:pt idx="220">
                  <c:v>29.503924314726401</c:v>
                </c:pt>
                <c:pt idx="221">
                  <c:v>28.741324029191901</c:v>
                </c:pt>
                <c:pt idx="222">
                  <c:v>27.9195067778133</c:v>
                </c:pt>
                <c:pt idx="223">
                  <c:v>27.538497196261599</c:v>
                </c:pt>
                <c:pt idx="224">
                  <c:v>27.4906890629847</c:v>
                </c:pt>
                <c:pt idx="225">
                  <c:v>27.149424685076301</c:v>
                </c:pt>
                <c:pt idx="226">
                  <c:v>26.665504798477802</c:v>
                </c:pt>
                <c:pt idx="227">
                  <c:v>26.0421322048668</c:v>
                </c:pt>
                <c:pt idx="228">
                  <c:v>26.1494750034615</c:v>
                </c:pt>
                <c:pt idx="229">
                  <c:v>28.088133900033</c:v>
                </c:pt>
                <c:pt idx="230">
                  <c:v>28.5459110472178</c:v>
                </c:pt>
                <c:pt idx="231">
                  <c:v>27.6599074387107</c:v>
                </c:pt>
                <c:pt idx="232">
                  <c:v>26.895821858144199</c:v>
                </c:pt>
                <c:pt idx="233">
                  <c:v>26.3374477187295</c:v>
                </c:pt>
                <c:pt idx="234">
                  <c:v>25.8871552580908</c:v>
                </c:pt>
                <c:pt idx="235">
                  <c:v>25.506677034009101</c:v>
                </c:pt>
                <c:pt idx="236">
                  <c:v>25.191092204862301</c:v>
                </c:pt>
                <c:pt idx="237">
                  <c:v>24.911594257879599</c:v>
                </c:pt>
                <c:pt idx="238">
                  <c:v>24.608016751176201</c:v>
                </c:pt>
                <c:pt idx="239">
                  <c:v>24.290534069230699</c:v>
                </c:pt>
                <c:pt idx="240">
                  <c:v>24.058565918509199</c:v>
                </c:pt>
                <c:pt idx="241">
                  <c:v>24.037524589978499</c:v>
                </c:pt>
                <c:pt idx="242">
                  <c:v>23.8442329907048</c:v>
                </c:pt>
                <c:pt idx="243">
                  <c:v>23.499316363920698</c:v>
                </c:pt>
                <c:pt idx="244">
                  <c:v>23.0075209086279</c:v>
                </c:pt>
                <c:pt idx="245">
                  <c:v>22.5017628295058</c:v>
                </c:pt>
                <c:pt idx="246">
                  <c:v>22.083467953183</c:v>
                </c:pt>
                <c:pt idx="247">
                  <c:v>21.609753503034899</c:v>
                </c:pt>
                <c:pt idx="248">
                  <c:v>21.0457879157969</c:v>
                </c:pt>
                <c:pt idx="249">
                  <c:v>20.4324574252689</c:v>
                </c:pt>
                <c:pt idx="250">
                  <c:v>20.281381125061799</c:v>
                </c:pt>
                <c:pt idx="251">
                  <c:v>20.465845404642501</c:v>
                </c:pt>
                <c:pt idx="252">
                  <c:v>20.799153317267098</c:v>
                </c:pt>
                <c:pt idx="253">
                  <c:v>20.9356204951224</c:v>
                </c:pt>
                <c:pt idx="254">
                  <c:v>20.872744858217601</c:v>
                </c:pt>
                <c:pt idx="255">
                  <c:v>21.0929165949312</c:v>
                </c:pt>
                <c:pt idx="256">
                  <c:v>24.210431733414801</c:v>
                </c:pt>
                <c:pt idx="257">
                  <c:v>29.412694938656099</c:v>
                </c:pt>
                <c:pt idx="258">
                  <c:v>32.923101578848701</c:v>
                </c:pt>
                <c:pt idx="259">
                  <c:v>32.142210303991497</c:v>
                </c:pt>
                <c:pt idx="260">
                  <c:v>32.631385721304099</c:v>
                </c:pt>
                <c:pt idx="261">
                  <c:v>33.575521381364801</c:v>
                </c:pt>
                <c:pt idx="262">
                  <c:v>34.460600721793199</c:v>
                </c:pt>
                <c:pt idx="263">
                  <c:v>34.0193149623856</c:v>
                </c:pt>
                <c:pt idx="264">
                  <c:v>35.350378631574301</c:v>
                </c:pt>
                <c:pt idx="265">
                  <c:v>34.567769313829501</c:v>
                </c:pt>
                <c:pt idx="266">
                  <c:v>33.672264810191301</c:v>
                </c:pt>
                <c:pt idx="267">
                  <c:v>34.058262461225901</c:v>
                </c:pt>
                <c:pt idx="268">
                  <c:v>34.927886847788798</c:v>
                </c:pt>
                <c:pt idx="269">
                  <c:v>35.117848816544999</c:v>
                </c:pt>
                <c:pt idx="270">
                  <c:v>34.620813410053501</c:v>
                </c:pt>
                <c:pt idx="271">
                  <c:v>31.7434225339444</c:v>
                </c:pt>
                <c:pt idx="272">
                  <c:v>31.2355184243332</c:v>
                </c:pt>
                <c:pt idx="273">
                  <c:v>31.592126725388798</c:v>
                </c:pt>
                <c:pt idx="274">
                  <c:v>31.905589145333199</c:v>
                </c:pt>
                <c:pt idx="275">
                  <c:v>31.654561910888798</c:v>
                </c:pt>
                <c:pt idx="276">
                  <c:v>31.478487529444301</c:v>
                </c:pt>
                <c:pt idx="277">
                  <c:v>32.727696565735997</c:v>
                </c:pt>
                <c:pt idx="278">
                  <c:v>34.985504359694303</c:v>
                </c:pt>
                <c:pt idx="279">
                  <c:v>36.117573445284599</c:v>
                </c:pt>
                <c:pt idx="280">
                  <c:v>34.855615928611002</c:v>
                </c:pt>
                <c:pt idx="281">
                  <c:v>35.393371734930398</c:v>
                </c:pt>
                <c:pt idx="282">
                  <c:v>36.915412255999399</c:v>
                </c:pt>
                <c:pt idx="283">
                  <c:v>36.5589696569632</c:v>
                </c:pt>
                <c:pt idx="284">
                  <c:v>35.518264992157199</c:v>
                </c:pt>
                <c:pt idx="285">
                  <c:v>36.796886413280298</c:v>
                </c:pt>
                <c:pt idx="286">
                  <c:v>37.2384811923638</c:v>
                </c:pt>
                <c:pt idx="287">
                  <c:v>37.1254049966279</c:v>
                </c:pt>
                <c:pt idx="288">
                  <c:v>36.931095282001898</c:v>
                </c:pt>
                <c:pt idx="289">
                  <c:v>37.351921598185697</c:v>
                </c:pt>
                <c:pt idx="290">
                  <c:v>36.421603679425097</c:v>
                </c:pt>
                <c:pt idx="291">
                  <c:v>35.855795303946202</c:v>
                </c:pt>
                <c:pt idx="292">
                  <c:v>37.374237942877102</c:v>
                </c:pt>
                <c:pt idx="293">
                  <c:v>37.683946984656302</c:v>
                </c:pt>
                <c:pt idx="294">
                  <c:v>37.645893852925099</c:v>
                </c:pt>
                <c:pt idx="295">
                  <c:v>39.207286499989003</c:v>
                </c:pt>
                <c:pt idx="296">
                  <c:v>38.704357218372998</c:v>
                </c:pt>
                <c:pt idx="297">
                  <c:v>37.534592205244998</c:v>
                </c:pt>
                <c:pt idx="298">
                  <c:v>37.210148148726198</c:v>
                </c:pt>
                <c:pt idx="299">
                  <c:v>36.950075435126202</c:v>
                </c:pt>
                <c:pt idx="300">
                  <c:v>36.4682711885836</c:v>
                </c:pt>
                <c:pt idx="301">
                  <c:v>35.812876792585598</c:v>
                </c:pt>
                <c:pt idx="302">
                  <c:v>36.286495541424202</c:v>
                </c:pt>
                <c:pt idx="303">
                  <c:v>38.6733617616187</c:v>
                </c:pt>
                <c:pt idx="304">
                  <c:v>38.173596798364102</c:v>
                </c:pt>
                <c:pt idx="305">
                  <c:v>37.410789125817097</c:v>
                </c:pt>
                <c:pt idx="306">
                  <c:v>37.5581926883549</c:v>
                </c:pt>
                <c:pt idx="307">
                  <c:v>37.623209145579402</c:v>
                </c:pt>
                <c:pt idx="308">
                  <c:v>37.728612629846602</c:v>
                </c:pt>
                <c:pt idx="309">
                  <c:v>37.71304724422</c:v>
                </c:pt>
                <c:pt idx="310">
                  <c:v>38.3655328539027</c:v>
                </c:pt>
                <c:pt idx="311">
                  <c:v>38.781087788155801</c:v>
                </c:pt>
                <c:pt idx="312">
                  <c:v>38.149409618447699</c:v>
                </c:pt>
                <c:pt idx="313">
                  <c:v>37.960801656700298</c:v>
                </c:pt>
                <c:pt idx="314">
                  <c:v>37.600125968260897</c:v>
                </c:pt>
                <c:pt idx="315">
                  <c:v>37.237026495168998</c:v>
                </c:pt>
                <c:pt idx="316">
                  <c:v>36.872246819696002</c:v>
                </c:pt>
                <c:pt idx="317">
                  <c:v>37.155280278940801</c:v>
                </c:pt>
                <c:pt idx="318">
                  <c:v>38.764227015145799</c:v>
                </c:pt>
                <c:pt idx="319">
                  <c:v>38.927309649202897</c:v>
                </c:pt>
                <c:pt idx="320">
                  <c:v>40.093474363694497</c:v>
                </c:pt>
                <c:pt idx="321">
                  <c:v>39.604227745787703</c:v>
                </c:pt>
                <c:pt idx="322">
                  <c:v>39.312630048909398</c:v>
                </c:pt>
                <c:pt idx="323">
                  <c:v>39.546169090370498</c:v>
                </c:pt>
                <c:pt idx="324">
                  <c:v>39.294561422320299</c:v>
                </c:pt>
                <c:pt idx="325">
                  <c:v>38.674690974476398</c:v>
                </c:pt>
                <c:pt idx="326">
                  <c:v>38.110974339970902</c:v>
                </c:pt>
                <c:pt idx="327">
                  <c:v>38.132267232782198</c:v>
                </c:pt>
                <c:pt idx="328">
                  <c:v>38.722027056319199</c:v>
                </c:pt>
                <c:pt idx="329">
                  <c:v>38.19657828335</c:v>
                </c:pt>
                <c:pt idx="330">
                  <c:v>37.759045780243902</c:v>
                </c:pt>
                <c:pt idx="331">
                  <c:v>39.355045714738502</c:v>
                </c:pt>
                <c:pt idx="332">
                  <c:v>39.567961146104601</c:v>
                </c:pt>
                <c:pt idx="333">
                  <c:v>40.107341797738101</c:v>
                </c:pt>
                <c:pt idx="334">
                  <c:v>39.226900913212702</c:v>
                </c:pt>
                <c:pt idx="335">
                  <c:v>39.728472595818097</c:v>
                </c:pt>
                <c:pt idx="336">
                  <c:v>39.605874709040499</c:v>
                </c:pt>
                <c:pt idx="337">
                  <c:v>38.854525458881803</c:v>
                </c:pt>
                <c:pt idx="338">
                  <c:v>38.740415868543103</c:v>
                </c:pt>
                <c:pt idx="339">
                  <c:v>38.754279923779698</c:v>
                </c:pt>
                <c:pt idx="340">
                  <c:v>38.767229336483197</c:v>
                </c:pt>
                <c:pt idx="341">
                  <c:v>38.743127476798399</c:v>
                </c:pt>
                <c:pt idx="342">
                  <c:v>38.719025617113701</c:v>
                </c:pt>
                <c:pt idx="343">
                  <c:v>38.694923757429002</c:v>
                </c:pt>
                <c:pt idx="344">
                  <c:v>38.670821897744297</c:v>
                </c:pt>
                <c:pt idx="345">
                  <c:v>38.646720038059598</c:v>
                </c:pt>
                <c:pt idx="346">
                  <c:v>38.6226181783748</c:v>
                </c:pt>
                <c:pt idx="347">
                  <c:v>38.598516318690102</c:v>
                </c:pt>
                <c:pt idx="348">
                  <c:v>38.574414459005403</c:v>
                </c:pt>
                <c:pt idx="349">
                  <c:v>38.550312599320698</c:v>
                </c:pt>
                <c:pt idx="350">
                  <c:v>38.526210739635999</c:v>
                </c:pt>
                <c:pt idx="351">
                  <c:v>38.502108879951301</c:v>
                </c:pt>
                <c:pt idx="352">
                  <c:v>38.197763899757099</c:v>
                </c:pt>
                <c:pt idx="353">
                  <c:v>37.998883200438101</c:v>
                </c:pt>
                <c:pt idx="354">
                  <c:v>37.558789281713203</c:v>
                </c:pt>
                <c:pt idx="355">
                  <c:v>38.231501503208897</c:v>
                </c:pt>
                <c:pt idx="356">
                  <c:v>37.930594108829197</c:v>
                </c:pt>
                <c:pt idx="357">
                  <c:v>37.203320865026697</c:v>
                </c:pt>
                <c:pt idx="358">
                  <c:v>36.8653056525118</c:v>
                </c:pt>
                <c:pt idx="359">
                  <c:v>36.632093418688399</c:v>
                </c:pt>
                <c:pt idx="360">
                  <c:v>36.316992311430297</c:v>
                </c:pt>
              </c:numCache>
            </c:numRef>
          </c:xVal>
          <c:yVal>
            <c:numRef>
              <c:f>selhausen_SM_EGR_daily!$B$8:$B$400</c:f>
              <c:numCache>
                <c:formatCode>General</c:formatCode>
                <c:ptCount val="393"/>
                <c:pt idx="0">
                  <c:v>89.677773672228</c:v>
                </c:pt>
                <c:pt idx="1">
                  <c:v>90.551369069587096</c:v>
                </c:pt>
                <c:pt idx="2">
                  <c:v>90.906757031458199</c:v>
                </c:pt>
                <c:pt idx="3">
                  <c:v>91.598697775433195</c:v>
                </c:pt>
                <c:pt idx="4">
                  <c:v>91.534481291355803</c:v>
                </c:pt>
                <c:pt idx="5">
                  <c:v>91.596326090495893</c:v>
                </c:pt>
                <c:pt idx="6">
                  <c:v>91.562559274159696</c:v>
                </c:pt>
                <c:pt idx="7">
                  <c:v>91.852236804325003</c:v>
                </c:pt>
                <c:pt idx="8">
                  <c:v>92.599630677359102</c:v>
                </c:pt>
                <c:pt idx="9">
                  <c:v>93.9574357211782</c:v>
                </c:pt>
                <c:pt idx="10">
                  <c:v>94.397145473936405</c:v>
                </c:pt>
                <c:pt idx="11">
                  <c:v>93.360727318346605</c:v>
                </c:pt>
                <c:pt idx="12">
                  <c:v>91.493680671329301</c:v>
                </c:pt>
                <c:pt idx="13">
                  <c:v>90.602716615175694</c:v>
                </c:pt>
                <c:pt idx="14">
                  <c:v>90.173977053680005</c:v>
                </c:pt>
                <c:pt idx="15">
                  <c:v>90.651394417558507</c:v>
                </c:pt>
                <c:pt idx="16">
                  <c:v>91.881430113799993</c:v>
                </c:pt>
                <c:pt idx="17">
                  <c:v>92.062789814456096</c:v>
                </c:pt>
                <c:pt idx="18">
                  <c:v>91.416558199218699</c:v>
                </c:pt>
                <c:pt idx="19">
                  <c:v>90.060859484378497</c:v>
                </c:pt>
                <c:pt idx="20">
                  <c:v>90.066895924202498</c:v>
                </c:pt>
                <c:pt idx="21">
                  <c:v>90.545565513363997</c:v>
                </c:pt>
                <c:pt idx="22">
                  <c:v>90.969161485897004</c:v>
                </c:pt>
                <c:pt idx="23">
                  <c:v>91.249585832524204</c:v>
                </c:pt>
                <c:pt idx="24">
                  <c:v>91.645203798133593</c:v>
                </c:pt>
                <c:pt idx="25">
                  <c:v>91.803241339848697</c:v>
                </c:pt>
                <c:pt idx="26">
                  <c:v>91.720438512182696</c:v>
                </c:pt>
                <c:pt idx="27">
                  <c:v>91.745912789318794</c:v>
                </c:pt>
                <c:pt idx="28">
                  <c:v>91.507326870385398</c:v>
                </c:pt>
                <c:pt idx="29">
                  <c:v>91.644206125434707</c:v>
                </c:pt>
                <c:pt idx="30">
                  <c:v>91.303548147706195</c:v>
                </c:pt>
                <c:pt idx="31">
                  <c:v>90.322008320383702</c:v>
                </c:pt>
                <c:pt idx="32">
                  <c:v>89.340468493061195</c:v>
                </c:pt>
                <c:pt idx="33">
                  <c:v>88.358928665738603</c:v>
                </c:pt>
                <c:pt idx="34">
                  <c:v>89.022057709365896</c:v>
                </c:pt>
                <c:pt idx="35">
                  <c:v>88.961398625484705</c:v>
                </c:pt>
                <c:pt idx="36">
                  <c:v>89.44241285519665</c:v>
                </c:pt>
                <c:pt idx="37">
                  <c:v>88.726425256945447</c:v>
                </c:pt>
                <c:pt idx="38">
                  <c:v>89.0500453603008</c:v>
                </c:pt>
                <c:pt idx="39">
                  <c:v>89.062011739770909</c:v>
                </c:pt>
                <c:pt idx="40">
                  <c:v>89.726723880757532</c:v>
                </c:pt>
                <c:pt idx="41">
                  <c:v>89.805664145991258</c:v>
                </c:pt>
                <c:pt idx="42">
                  <c:v>89.884604411224998</c:v>
                </c:pt>
                <c:pt idx="43">
                  <c:v>89.993793932433618</c:v>
                </c:pt>
                <c:pt idx="44">
                  <c:v>90.084876761490037</c:v>
                </c:pt>
                <c:pt idx="45">
                  <c:v>90.036626854870946</c:v>
                </c:pt>
                <c:pt idx="46">
                  <c:v>90.036233238686464</c:v>
                </c:pt>
                <c:pt idx="47">
                  <c:v>90.105739837415641</c:v>
                </c:pt>
                <c:pt idx="48">
                  <c:v>90.059656293843076</c:v>
                </c:pt>
                <c:pt idx="49">
                  <c:v>89.158577507514082</c:v>
                </c:pt>
                <c:pt idx="50">
                  <c:v>89.221272549693524</c:v>
                </c:pt>
                <c:pt idx="51">
                  <c:v>89.435664600334974</c:v>
                </c:pt>
                <c:pt idx="52">
                  <c:v>89.70483999776873</c:v>
                </c:pt>
                <c:pt idx="53">
                  <c:v>89.539509800973661</c:v>
                </c:pt>
                <c:pt idx="54">
                  <c:v>89.409918879714368</c:v>
                </c:pt>
                <c:pt idx="55">
                  <c:v>89.107449042586296</c:v>
                </c:pt>
                <c:pt idx="56">
                  <c:v>89.298565202883722</c:v>
                </c:pt>
                <c:pt idx="57">
                  <c:v>89.578767712756914</c:v>
                </c:pt>
                <c:pt idx="58">
                  <c:v>90.244885468010921</c:v>
                </c:pt>
                <c:pt idx="59">
                  <c:v>91.492767938289447</c:v>
                </c:pt>
                <c:pt idx="60">
                  <c:v>91.244082812500835</c:v>
                </c:pt>
                <c:pt idx="61">
                  <c:v>90.507956670280421</c:v>
                </c:pt>
                <c:pt idx="62">
                  <c:v>89.851731495787433</c:v>
                </c:pt>
                <c:pt idx="63">
                  <c:v>91.042499727802053</c:v>
                </c:pt>
                <c:pt idx="64">
                  <c:v>91.968687737502364</c:v>
                </c:pt>
                <c:pt idx="65">
                  <c:v>92.200194977924596</c:v>
                </c:pt>
                <c:pt idx="66">
                  <c:v>90.778296750457159</c:v>
                </c:pt>
                <c:pt idx="67">
                  <c:v>91.393717495994807</c:v>
                </c:pt>
                <c:pt idx="68">
                  <c:v>92.057374933709212</c:v>
                </c:pt>
                <c:pt idx="69">
                  <c:v>92.35170188122747</c:v>
                </c:pt>
                <c:pt idx="70">
                  <c:v>92.19374780378736</c:v>
                </c:pt>
                <c:pt idx="71">
                  <c:v>92.312427853210181</c:v>
                </c:pt>
                <c:pt idx="72">
                  <c:v>92.028847423460249</c:v>
                </c:pt>
                <c:pt idx="73">
                  <c:v>92.582869164739463</c:v>
                </c:pt>
                <c:pt idx="74">
                  <c:v>92.104827666520009</c:v>
                </c:pt>
                <c:pt idx="75">
                  <c:v>92.407171517177645</c:v>
                </c:pt>
                <c:pt idx="76">
                  <c:v>92.137346450361548</c:v>
                </c:pt>
                <c:pt idx="77">
                  <c:v>91.452549170286588</c:v>
                </c:pt>
                <c:pt idx="78">
                  <c:v>90.749737062400541</c:v>
                </c:pt>
                <c:pt idx="79">
                  <c:v>90.499133486205338</c:v>
                </c:pt>
                <c:pt idx="80">
                  <c:v>90.797392075084304</c:v>
                </c:pt>
                <c:pt idx="81">
                  <c:v>91.294569099473065</c:v>
                </c:pt>
                <c:pt idx="82">
                  <c:v>91.296876458868653</c:v>
                </c:pt>
                <c:pt idx="83">
                  <c:v>91.636652798014609</c:v>
                </c:pt>
                <c:pt idx="84">
                  <c:v>92.809192607189544</c:v>
                </c:pt>
                <c:pt idx="85">
                  <c:v>92.364423952271366</c:v>
                </c:pt>
                <c:pt idx="86">
                  <c:v>92.505457668541283</c:v>
                </c:pt>
                <c:pt idx="87">
                  <c:v>92.4873650996376</c:v>
                </c:pt>
                <c:pt idx="88">
                  <c:v>93.437897285613488</c:v>
                </c:pt>
                <c:pt idx="89">
                  <c:v>93.761014457282016</c:v>
                </c:pt>
                <c:pt idx="90">
                  <c:v>93.431712617941727</c:v>
                </c:pt>
                <c:pt idx="91">
                  <c:v>93.644367995383476</c:v>
                </c:pt>
                <c:pt idx="92">
                  <c:v>93.318227038885809</c:v>
                </c:pt>
                <c:pt idx="93">
                  <c:v>93.078395832918972</c:v>
                </c:pt>
                <c:pt idx="94">
                  <c:v>91.948985174527323</c:v>
                </c:pt>
                <c:pt idx="95">
                  <c:v>91.572462923726263</c:v>
                </c:pt>
                <c:pt idx="96">
                  <c:v>91.642731861870288</c:v>
                </c:pt>
                <c:pt idx="97">
                  <c:v>92.52527325691257</c:v>
                </c:pt>
                <c:pt idx="98">
                  <c:v>92.662896661827588</c:v>
                </c:pt>
                <c:pt idx="99">
                  <c:v>92.905026909716128</c:v>
                </c:pt>
                <c:pt idx="100">
                  <c:v>92.420736393214824</c:v>
                </c:pt>
                <c:pt idx="101">
                  <c:v>92.751729894357567</c:v>
                </c:pt>
                <c:pt idx="102">
                  <c:v>93.284945268831038</c:v>
                </c:pt>
                <c:pt idx="103">
                  <c:v>93.781827827103115</c:v>
                </c:pt>
                <c:pt idx="104">
                  <c:v>94.535012551522385</c:v>
                </c:pt>
                <c:pt idx="105">
                  <c:v>94.662056499647761</c:v>
                </c:pt>
                <c:pt idx="106">
                  <c:v>94.615247210322636</c:v>
                </c:pt>
                <c:pt idx="107">
                  <c:v>94.148701750229549</c:v>
                </c:pt>
                <c:pt idx="108">
                  <c:v>94.480862511627663</c:v>
                </c:pt>
                <c:pt idx="109">
                  <c:v>94.509934633770271</c:v>
                </c:pt>
                <c:pt idx="110">
                  <c:v>94.819523927098771</c:v>
                </c:pt>
                <c:pt idx="111">
                  <c:v>95.521437593476747</c:v>
                </c:pt>
                <c:pt idx="112">
                  <c:v>96.071058523389013</c:v>
                </c:pt>
                <c:pt idx="113">
                  <c:v>96.620076323755498</c:v>
                </c:pt>
                <c:pt idx="114">
                  <c:v>96.329149522119124</c:v>
                </c:pt>
                <c:pt idx="115">
                  <c:v>96.706479507865666</c:v>
                </c:pt>
                <c:pt idx="116">
                  <c:v>97.003152262996892</c:v>
                </c:pt>
                <c:pt idx="117">
                  <c:v>97.379308942106718</c:v>
                </c:pt>
                <c:pt idx="118">
                  <c:v>98.559466200855894</c:v>
                </c:pt>
                <c:pt idx="119">
                  <c:v>99.785686740644678</c:v>
                </c:pt>
                <c:pt idx="120">
                  <c:v>100.34119027418149</c:v>
                </c:pt>
                <c:pt idx="121">
                  <c:v>100.61668109756394</c:v>
                </c:pt>
                <c:pt idx="122">
                  <c:v>101.0380615100548</c:v>
                </c:pt>
                <c:pt idx="123">
                  <c:v>100.95404553976896</c:v>
                </c:pt>
                <c:pt idx="124">
                  <c:v>100.95618749928686</c:v>
                </c:pt>
                <c:pt idx="125">
                  <c:v>101.32618095546923</c:v>
                </c:pt>
                <c:pt idx="126">
                  <c:v>101.86777659937879</c:v>
                </c:pt>
                <c:pt idx="127">
                  <c:v>102.22634744068689</c:v>
                </c:pt>
                <c:pt idx="128">
                  <c:v>102.40577617585495</c:v>
                </c:pt>
                <c:pt idx="129">
                  <c:v>102.64856581027743</c:v>
                </c:pt>
                <c:pt idx="130">
                  <c:v>102.89287859427695</c:v>
                </c:pt>
                <c:pt idx="131">
                  <c:v>103.0385523093374</c:v>
                </c:pt>
                <c:pt idx="132">
                  <c:v>103.72081397011308</c:v>
                </c:pt>
                <c:pt idx="133">
                  <c:v>103.95715577798653</c:v>
                </c:pt>
                <c:pt idx="134">
                  <c:v>103.92351193554259</c:v>
                </c:pt>
                <c:pt idx="135">
                  <c:v>103.20646417704005</c:v>
                </c:pt>
                <c:pt idx="136">
                  <c:v>102.48292054169369</c:v>
                </c:pt>
                <c:pt idx="137">
                  <c:v>99.104155416677997</c:v>
                </c:pt>
                <c:pt idx="138">
                  <c:v>96.866849614595338</c:v>
                </c:pt>
                <c:pt idx="139">
                  <c:v>95.475153189233282</c:v>
                </c:pt>
                <c:pt idx="140">
                  <c:v>96.676325000244731</c:v>
                </c:pt>
                <c:pt idx="141">
                  <c:v>97.135877544746876</c:v>
                </c:pt>
                <c:pt idx="142">
                  <c:v>97.072552743472698</c:v>
                </c:pt>
                <c:pt idx="143">
                  <c:v>97.719651484405574</c:v>
                </c:pt>
                <c:pt idx="144">
                  <c:v>96.868260300093681</c:v>
                </c:pt>
                <c:pt idx="145">
                  <c:v>97.133576712452992</c:v>
                </c:pt>
                <c:pt idx="146">
                  <c:v>96.239560524926517</c:v>
                </c:pt>
                <c:pt idx="147">
                  <c:v>97.017639236466394</c:v>
                </c:pt>
                <c:pt idx="148">
                  <c:v>96.942459088147729</c:v>
                </c:pt>
                <c:pt idx="149">
                  <c:v>97.146852110359745</c:v>
                </c:pt>
                <c:pt idx="150">
                  <c:v>97.052946254904924</c:v>
                </c:pt>
                <c:pt idx="151">
                  <c:v>97.787250708674634</c:v>
                </c:pt>
                <c:pt idx="152">
                  <c:v>99.378536989128591</c:v>
                </c:pt>
                <c:pt idx="153">
                  <c:v>100.9454452561538</c:v>
                </c:pt>
                <c:pt idx="154">
                  <c:v>100.79110862680787</c:v>
                </c:pt>
                <c:pt idx="155">
                  <c:v>100.74228104689347</c:v>
                </c:pt>
                <c:pt idx="156">
                  <c:v>99.381208702141365</c:v>
                </c:pt>
                <c:pt idx="157">
                  <c:v>99.57315372093548</c:v>
                </c:pt>
                <c:pt idx="158">
                  <c:v>99.280180384579552</c:v>
                </c:pt>
                <c:pt idx="159">
                  <c:v>99.96638035016511</c:v>
                </c:pt>
                <c:pt idx="160">
                  <c:v>99.697432632626004</c:v>
                </c:pt>
                <c:pt idx="161">
                  <c:v>99.510327103562474</c:v>
                </c:pt>
                <c:pt idx="162">
                  <c:v>99.574856841870087</c:v>
                </c:pt>
                <c:pt idx="163">
                  <c:v>100.78012369816393</c:v>
                </c:pt>
                <c:pt idx="164">
                  <c:v>101.32750370163377</c:v>
                </c:pt>
                <c:pt idx="165">
                  <c:v>100.82924270420857</c:v>
                </c:pt>
                <c:pt idx="166">
                  <c:v>100.37875839579017</c:v>
                </c:pt>
                <c:pt idx="167">
                  <c:v>100.30941748529597</c:v>
                </c:pt>
                <c:pt idx="168">
                  <c:v>99.575954678361583</c:v>
                </c:pt>
                <c:pt idx="169">
                  <c:v>98.386736629411274</c:v>
                </c:pt>
                <c:pt idx="170">
                  <c:v>97.292184889320566</c:v>
                </c:pt>
                <c:pt idx="171">
                  <c:v>97.237164917429652</c:v>
                </c:pt>
                <c:pt idx="172">
                  <c:v>97.698848176840414</c:v>
                </c:pt>
                <c:pt idx="173">
                  <c:v>95.163718106590039</c:v>
                </c:pt>
                <c:pt idx="174">
                  <c:v>92.628588036339579</c:v>
                </c:pt>
                <c:pt idx="175">
                  <c:v>92.708081084403986</c:v>
                </c:pt>
                <c:pt idx="176">
                  <c:v>92.369434992538643</c:v>
                </c:pt>
                <c:pt idx="177">
                  <c:v>92.272724295932051</c:v>
                </c:pt>
                <c:pt idx="178">
                  <c:v>92.015299377663837</c:v>
                </c:pt>
                <c:pt idx="179">
                  <c:v>91.960502133512719</c:v>
                </c:pt>
                <c:pt idx="180">
                  <c:v>92.82209469642045</c:v>
                </c:pt>
                <c:pt idx="181">
                  <c:v>92.82209469642045</c:v>
                </c:pt>
                <c:pt idx="182">
                  <c:v>92.496148003634971</c:v>
                </c:pt>
                <c:pt idx="183">
                  <c:v>91.181390019328305</c:v>
                </c:pt>
                <c:pt idx="184">
                  <c:v>91.007432509002939</c:v>
                </c:pt>
                <c:pt idx="185">
                  <c:v>90.882646775415921</c:v>
                </c:pt>
                <c:pt idx="186">
                  <c:v>91.808941135296038</c:v>
                </c:pt>
                <c:pt idx="187">
                  <c:v>92.077099867773285</c:v>
                </c:pt>
                <c:pt idx="188">
                  <c:v>92.322599316099939</c:v>
                </c:pt>
                <c:pt idx="189">
                  <c:v>92.263963317120428</c:v>
                </c:pt>
                <c:pt idx="190">
                  <c:v>92.491228342168682</c:v>
                </c:pt>
                <c:pt idx="191">
                  <c:v>93.090444473676285</c:v>
                </c:pt>
                <c:pt idx="192">
                  <c:v>90.807182505726573</c:v>
                </c:pt>
                <c:pt idx="193">
                  <c:v>90.904632326596953</c:v>
                </c:pt>
                <c:pt idx="194">
                  <c:v>92.001424497321011</c:v>
                </c:pt>
                <c:pt idx="195">
                  <c:v>93.175061518180613</c:v>
                </c:pt>
                <c:pt idx="196">
                  <c:v>93.793273630393401</c:v>
                </c:pt>
                <c:pt idx="197">
                  <c:v>92.566447197078702</c:v>
                </c:pt>
                <c:pt idx="198">
                  <c:v>93.750543132629204</c:v>
                </c:pt>
                <c:pt idx="199">
                  <c:v>94.120033129113196</c:v>
                </c:pt>
                <c:pt idx="200">
                  <c:v>93.1098543209459</c:v>
                </c:pt>
                <c:pt idx="201">
                  <c:v>91.082009602965101</c:v>
                </c:pt>
                <c:pt idx="202">
                  <c:v>89.768413424269696</c:v>
                </c:pt>
                <c:pt idx="203">
                  <c:v>90.2293218302528</c:v>
                </c:pt>
                <c:pt idx="204">
                  <c:v>91.700804979837898</c:v>
                </c:pt>
                <c:pt idx="205">
                  <c:v>91.715807056327094</c:v>
                </c:pt>
                <c:pt idx="206">
                  <c:v>91.495251187564506</c:v>
                </c:pt>
                <c:pt idx="207">
                  <c:v>91.329362977450998</c:v>
                </c:pt>
                <c:pt idx="208">
                  <c:v>91.054007384346605</c:v>
                </c:pt>
                <c:pt idx="209">
                  <c:v>91.410734442009698</c:v>
                </c:pt>
                <c:pt idx="210">
                  <c:v>91.975721483910704</c:v>
                </c:pt>
                <c:pt idx="211">
                  <c:v>92.355064156218702</c:v>
                </c:pt>
                <c:pt idx="212">
                  <c:v>93.458569631857998</c:v>
                </c:pt>
                <c:pt idx="213">
                  <c:v>95.015618191101098</c:v>
                </c:pt>
                <c:pt idx="214">
                  <c:v>97.384275108232004</c:v>
                </c:pt>
                <c:pt idx="215">
                  <c:v>99.042906602458004</c:v>
                </c:pt>
                <c:pt idx="216">
                  <c:v>99.494081823690195</c:v>
                </c:pt>
                <c:pt idx="217">
                  <c:v>99.211957202066699</c:v>
                </c:pt>
                <c:pt idx="218">
                  <c:v>98.861545917840601</c:v>
                </c:pt>
                <c:pt idx="219">
                  <c:v>94.399364938032903</c:v>
                </c:pt>
                <c:pt idx="220">
                  <c:v>91.065741562152894</c:v>
                </c:pt>
                <c:pt idx="221">
                  <c:v>92.094807690881098</c:v>
                </c:pt>
                <c:pt idx="222">
                  <c:v>94.0729122122532</c:v>
                </c:pt>
                <c:pt idx="223">
                  <c:v>94.8296353492359</c:v>
                </c:pt>
                <c:pt idx="224">
                  <c:v>94.630571696917201</c:v>
                </c:pt>
                <c:pt idx="225">
                  <c:v>93.499750458538898</c:v>
                </c:pt>
                <c:pt idx="226">
                  <c:v>93.631058640012</c:v>
                </c:pt>
                <c:pt idx="227">
                  <c:v>94.235032184145695</c:v>
                </c:pt>
                <c:pt idx="228">
                  <c:v>93.476710704175801</c:v>
                </c:pt>
                <c:pt idx="229">
                  <c:v>92.423559398581503</c:v>
                </c:pt>
                <c:pt idx="230">
                  <c:v>91.818452009586906</c:v>
                </c:pt>
                <c:pt idx="231">
                  <c:v>93.416173028360205</c:v>
                </c:pt>
                <c:pt idx="232">
                  <c:v>95.377044136511103</c:v>
                </c:pt>
                <c:pt idx="233">
                  <c:v>97.206213402678003</c:v>
                </c:pt>
                <c:pt idx="234">
                  <c:v>98.076501453805506</c:v>
                </c:pt>
                <c:pt idx="235">
                  <c:v>97.576059962204297</c:v>
                </c:pt>
                <c:pt idx="236">
                  <c:v>96.659002544510301</c:v>
                </c:pt>
                <c:pt idx="237">
                  <c:v>96.113161711141004</c:v>
                </c:pt>
                <c:pt idx="238">
                  <c:v>96.975281159957305</c:v>
                </c:pt>
                <c:pt idx="239">
                  <c:v>97.017747919760296</c:v>
                </c:pt>
                <c:pt idx="240">
                  <c:v>96.394397570364106</c:v>
                </c:pt>
                <c:pt idx="241">
                  <c:v>94.922803602643299</c:v>
                </c:pt>
                <c:pt idx="242">
                  <c:v>94.384435568187797</c:v>
                </c:pt>
                <c:pt idx="243">
                  <c:v>95.020113137866005</c:v>
                </c:pt>
                <c:pt idx="244">
                  <c:v>96.315618137055694</c:v>
                </c:pt>
                <c:pt idx="245">
                  <c:v>97.258049580656404</c:v>
                </c:pt>
                <c:pt idx="246">
                  <c:v>97.832042227328202</c:v>
                </c:pt>
                <c:pt idx="247">
                  <c:v>97.898419865526606</c:v>
                </c:pt>
                <c:pt idx="248">
                  <c:v>98.234976448962001</c:v>
                </c:pt>
                <c:pt idx="249">
                  <c:v>98.250446014751802</c:v>
                </c:pt>
                <c:pt idx="250">
                  <c:v>96.877085535032194</c:v>
                </c:pt>
                <c:pt idx="251">
                  <c:v>95.364328834056806</c:v>
                </c:pt>
                <c:pt idx="252">
                  <c:v>94.317387533320499</c:v>
                </c:pt>
                <c:pt idx="253">
                  <c:v>95.145112336871705</c:v>
                </c:pt>
                <c:pt idx="254">
                  <c:v>96.981183610423997</c:v>
                </c:pt>
                <c:pt idx="255">
                  <c:v>96.760019144796402</c:v>
                </c:pt>
                <c:pt idx="256">
                  <c:v>96.924166522213397</c:v>
                </c:pt>
                <c:pt idx="257">
                  <c:v>92.035587652251195</c:v>
                </c:pt>
                <c:pt idx="258">
                  <c:v>89.830729237174594</c:v>
                </c:pt>
                <c:pt idx="259">
                  <c:v>89.830729237174594</c:v>
                </c:pt>
                <c:pt idx="260">
                  <c:v>91.972532974476195</c:v>
                </c:pt>
                <c:pt idx="261">
                  <c:v>91.972532974476195</c:v>
                </c:pt>
                <c:pt idx="262">
                  <c:v>91.972532974476195</c:v>
                </c:pt>
                <c:pt idx="263">
                  <c:v>91.517469022951005</c:v>
                </c:pt>
                <c:pt idx="264">
                  <c:v>91.0624050714258</c:v>
                </c:pt>
                <c:pt idx="265">
                  <c:v>90.607341119900596</c:v>
                </c:pt>
                <c:pt idx="266">
                  <c:v>90.607341119900596</c:v>
                </c:pt>
                <c:pt idx="267">
                  <c:v>90.244455677829706</c:v>
                </c:pt>
                <c:pt idx="268">
                  <c:v>89.881570235758801</c:v>
                </c:pt>
                <c:pt idx="269">
                  <c:v>91.005583452012701</c:v>
                </c:pt>
                <c:pt idx="270">
                  <c:v>91.339803604534794</c:v>
                </c:pt>
                <c:pt idx="271">
                  <c:v>91.505824583556503</c:v>
                </c:pt>
                <c:pt idx="272">
                  <c:v>90.933770447962701</c:v>
                </c:pt>
                <c:pt idx="273">
                  <c:v>90.667362827212102</c:v>
                </c:pt>
                <c:pt idx="274">
                  <c:v>90.080000950559693</c:v>
                </c:pt>
                <c:pt idx="275">
                  <c:v>90.371735268587699</c:v>
                </c:pt>
                <c:pt idx="276">
                  <c:v>90.682209063605896</c:v>
                </c:pt>
                <c:pt idx="277">
                  <c:v>91.288637215569295</c:v>
                </c:pt>
                <c:pt idx="278">
                  <c:v>88.940882412275599</c:v>
                </c:pt>
                <c:pt idx="279">
                  <c:v>89.794067552010503</c:v>
                </c:pt>
                <c:pt idx="280">
                  <c:v>89.794067552010503</c:v>
                </c:pt>
                <c:pt idx="281">
                  <c:v>90.647252691745507</c:v>
                </c:pt>
                <c:pt idx="282">
                  <c:v>88.997056995398097</c:v>
                </c:pt>
                <c:pt idx="283">
                  <c:v>89.289277592101101</c:v>
                </c:pt>
                <c:pt idx="284">
                  <c:v>89.899021328055696</c:v>
                </c:pt>
                <c:pt idx="285">
                  <c:v>90.327491650394506</c:v>
                </c:pt>
                <c:pt idx="286">
                  <c:v>90.195765692442606</c:v>
                </c:pt>
                <c:pt idx="287">
                  <c:v>89.555255527380396</c:v>
                </c:pt>
                <c:pt idx="288">
                  <c:v>89.161740558062306</c:v>
                </c:pt>
                <c:pt idx="289">
                  <c:v>89.216171175610995</c:v>
                </c:pt>
                <c:pt idx="290">
                  <c:v>89.231262260970198</c:v>
                </c:pt>
                <c:pt idx="291">
                  <c:v>89.295931864225295</c:v>
                </c:pt>
                <c:pt idx="292">
                  <c:v>88.950729600581099</c:v>
                </c:pt>
                <c:pt idx="293">
                  <c:v>88.822729750777</c:v>
                </c:pt>
                <c:pt idx="294">
                  <c:v>88.822729750777</c:v>
                </c:pt>
                <c:pt idx="295">
                  <c:v>89.194430847857305</c:v>
                </c:pt>
                <c:pt idx="296">
                  <c:v>89.701099698088598</c:v>
                </c:pt>
                <c:pt idx="297">
                  <c:v>90.218519675452796</c:v>
                </c:pt>
                <c:pt idx="298">
                  <c:v>90.674413834479793</c:v>
                </c:pt>
                <c:pt idx="299">
                  <c:v>90.781662750219098</c:v>
                </c:pt>
                <c:pt idx="300">
                  <c:v>90.687071282894493</c:v>
                </c:pt>
                <c:pt idx="301">
                  <c:v>91.061416307607303</c:v>
                </c:pt>
                <c:pt idx="302">
                  <c:v>91.4314563069466</c:v>
                </c:pt>
                <c:pt idx="303">
                  <c:v>91.485121932787493</c:v>
                </c:pt>
                <c:pt idx="304">
                  <c:v>91.013532174922503</c:v>
                </c:pt>
                <c:pt idx="305">
                  <c:v>90.634028250552007</c:v>
                </c:pt>
                <c:pt idx="306">
                  <c:v>90.109500636474394</c:v>
                </c:pt>
                <c:pt idx="307">
                  <c:v>89.490174400322402</c:v>
                </c:pt>
                <c:pt idx="308">
                  <c:v>89.199831296045602</c:v>
                </c:pt>
                <c:pt idx="309">
                  <c:v>89.184466033502403</c:v>
                </c:pt>
                <c:pt idx="310">
                  <c:v>89.126221299111293</c:v>
                </c:pt>
                <c:pt idx="311">
                  <c:v>89.733677954188806</c:v>
                </c:pt>
                <c:pt idx="312">
                  <c:v>89.666710369644306</c:v>
                </c:pt>
                <c:pt idx="313">
                  <c:v>90.041201073340602</c:v>
                </c:pt>
                <c:pt idx="314">
                  <c:v>90.013821772626898</c:v>
                </c:pt>
                <c:pt idx="315">
                  <c:v>91.399110910666394</c:v>
                </c:pt>
                <c:pt idx="316">
                  <c:v>91.4512834564635</c:v>
                </c:pt>
                <c:pt idx="317">
                  <c:v>91.358136824205204</c:v>
                </c:pt>
                <c:pt idx="318">
                  <c:v>90.331103981051697</c:v>
                </c:pt>
                <c:pt idx="319">
                  <c:v>90.464783255296695</c:v>
                </c:pt>
                <c:pt idx="320">
                  <c:v>89.718238002935905</c:v>
                </c:pt>
                <c:pt idx="321">
                  <c:v>89.718238002935905</c:v>
                </c:pt>
                <c:pt idx="322">
                  <c:v>89.260825678489994</c:v>
                </c:pt>
                <c:pt idx="323">
                  <c:v>88.622634855825495</c:v>
                </c:pt>
                <c:pt idx="324">
                  <c:v>89.057086140197001</c:v>
                </c:pt>
                <c:pt idx="325">
                  <c:v>89.655756300373596</c:v>
                </c:pt>
                <c:pt idx="326">
                  <c:v>90.262706271756997</c:v>
                </c:pt>
                <c:pt idx="327">
                  <c:v>90.202130066856697</c:v>
                </c:pt>
                <c:pt idx="328">
                  <c:v>90.309842698260397</c:v>
                </c:pt>
                <c:pt idx="329">
                  <c:v>90.029525801452493</c:v>
                </c:pt>
                <c:pt idx="330">
                  <c:v>90.141870552609106</c:v>
                </c:pt>
                <c:pt idx="331">
                  <c:v>88.519923504600797</c:v>
                </c:pt>
                <c:pt idx="332">
                  <c:v>88.144967063000706</c:v>
                </c:pt>
                <c:pt idx="333">
                  <c:v>88.426851344901607</c:v>
                </c:pt>
                <c:pt idx="334">
                  <c:v>88.920557219015706</c:v>
                </c:pt>
                <c:pt idx="335">
                  <c:v>89.378375632163298</c:v>
                </c:pt>
                <c:pt idx="336">
                  <c:v>89.667962604475093</c:v>
                </c:pt>
                <c:pt idx="337">
                  <c:v>90.133110220009598</c:v>
                </c:pt>
                <c:pt idx="338">
                  <c:v>90.642677136991793</c:v>
                </c:pt>
                <c:pt idx="339">
                  <c:v>91.556626837590898</c:v>
                </c:pt>
                <c:pt idx="340">
                  <c:v>91.416543114166799</c:v>
                </c:pt>
                <c:pt idx="341">
                  <c:v>90.846934065669203</c:v>
                </c:pt>
                <c:pt idx="342">
                  <c:v>90.285428146278406</c:v>
                </c:pt>
                <c:pt idx="343">
                  <c:v>90.414510069398503</c:v>
                </c:pt>
                <c:pt idx="344">
                  <c:v>90.916712169263704</c:v>
                </c:pt>
                <c:pt idx="345">
                  <c:v>90.866223413350099</c:v>
                </c:pt>
                <c:pt idx="346">
                  <c:v>90.815734657436593</c:v>
                </c:pt>
                <c:pt idx="347">
                  <c:v>90.765245901523002</c:v>
                </c:pt>
                <c:pt idx="348">
                  <c:v>90.714757145609397</c:v>
                </c:pt>
                <c:pt idx="349">
                  <c:v>90.664268389695806</c:v>
                </c:pt>
                <c:pt idx="350">
                  <c:v>90.613779633782201</c:v>
                </c:pt>
                <c:pt idx="351">
                  <c:v>90.563290877868695</c:v>
                </c:pt>
                <c:pt idx="352">
                  <c:v>90.512802121955104</c:v>
                </c:pt>
                <c:pt idx="353">
                  <c:v>90.217731880022896</c:v>
                </c:pt>
                <c:pt idx="354">
                  <c:v>89.957556816445106</c:v>
                </c:pt>
                <c:pt idx="355">
                  <c:v>90.114822369951995</c:v>
                </c:pt>
                <c:pt idx="356">
                  <c:v>90.8048923081558</c:v>
                </c:pt>
                <c:pt idx="357">
                  <c:v>91.920141380066099</c:v>
                </c:pt>
                <c:pt idx="358">
                  <c:v>92.037632708964594</c:v>
                </c:pt>
                <c:pt idx="359">
                  <c:v>91.5598323761442</c:v>
                </c:pt>
                <c:pt idx="360">
                  <c:v>90.5207652985697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8C3-4658-BD55-03C7F1D33A1A}"/>
            </c:ext>
          </c:extLst>
        </c:ser>
        <c:ser>
          <c:idx val="1"/>
          <c:order val="1"/>
          <c:tx>
            <c:v>parameter fitting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selhausen_SM_EGR_daily!$D$8:$D$400</c:f>
              <c:numCache>
                <c:formatCode>General</c:formatCode>
                <c:ptCount val="393"/>
                <c:pt idx="0">
                  <c:v>35.267864366824199</c:v>
                </c:pt>
                <c:pt idx="1">
                  <c:v>35.1993709636075</c:v>
                </c:pt>
                <c:pt idx="2">
                  <c:v>34.623326589406403</c:v>
                </c:pt>
                <c:pt idx="3">
                  <c:v>34.047282215205399</c:v>
                </c:pt>
                <c:pt idx="4">
                  <c:v>33.471237841004303</c:v>
                </c:pt>
                <c:pt idx="5">
                  <c:v>32.895193466803299</c:v>
                </c:pt>
                <c:pt idx="6">
                  <c:v>32.731530427774302</c:v>
                </c:pt>
                <c:pt idx="7">
                  <c:v>32.596651251184497</c:v>
                </c:pt>
                <c:pt idx="8">
                  <c:v>32.4536587751696</c:v>
                </c:pt>
                <c:pt idx="9">
                  <c:v>32.176603565747101</c:v>
                </c:pt>
                <c:pt idx="10">
                  <c:v>31.936275817145599</c:v>
                </c:pt>
                <c:pt idx="11">
                  <c:v>31.824461490872402</c:v>
                </c:pt>
                <c:pt idx="12">
                  <c:v>31.659673067343999</c:v>
                </c:pt>
                <c:pt idx="13">
                  <c:v>31.473443625845999</c:v>
                </c:pt>
                <c:pt idx="14">
                  <c:v>31.851141941655001</c:v>
                </c:pt>
                <c:pt idx="15">
                  <c:v>31.8194347825062</c:v>
                </c:pt>
                <c:pt idx="16">
                  <c:v>31.599505151353402</c:v>
                </c:pt>
                <c:pt idx="17">
                  <c:v>31.463331280833</c:v>
                </c:pt>
                <c:pt idx="18">
                  <c:v>33.151635158716701</c:v>
                </c:pt>
                <c:pt idx="19">
                  <c:v>32.998640120501001</c:v>
                </c:pt>
                <c:pt idx="20">
                  <c:v>32.794448674991102</c:v>
                </c:pt>
                <c:pt idx="21">
                  <c:v>32.166767682053397</c:v>
                </c:pt>
                <c:pt idx="22">
                  <c:v>31.524188101936598</c:v>
                </c:pt>
                <c:pt idx="23">
                  <c:v>31.138822162791101</c:v>
                </c:pt>
                <c:pt idx="24">
                  <c:v>30.705000572561101</c:v>
                </c:pt>
                <c:pt idx="25">
                  <c:v>30.488454813834799</c:v>
                </c:pt>
                <c:pt idx="26">
                  <c:v>30.405468680709301</c:v>
                </c:pt>
                <c:pt idx="27">
                  <c:v>30.4157502506878</c:v>
                </c:pt>
                <c:pt idx="28">
                  <c:v>30.3620788052596</c:v>
                </c:pt>
                <c:pt idx="29">
                  <c:v>30.335750368182499</c:v>
                </c:pt>
                <c:pt idx="30">
                  <c:v>32.315058318218497</c:v>
                </c:pt>
                <c:pt idx="31">
                  <c:v>36.337446053406097</c:v>
                </c:pt>
                <c:pt idx="32">
                  <c:v>37.0493163861155</c:v>
                </c:pt>
                <c:pt idx="33">
                  <c:v>37.159532534574801</c:v>
                </c:pt>
                <c:pt idx="34">
                  <c:v>36.058666854678798</c:v>
                </c:pt>
                <c:pt idx="35">
                  <c:v>35.3272768251298</c:v>
                </c:pt>
                <c:pt idx="36">
                  <c:v>34.870909228816899</c:v>
                </c:pt>
                <c:pt idx="37">
                  <c:v>36.107426871348601</c:v>
                </c:pt>
                <c:pt idx="38">
                  <c:v>36.894246105104102</c:v>
                </c:pt>
                <c:pt idx="39">
                  <c:v>35.586914151347898</c:v>
                </c:pt>
                <c:pt idx="40">
                  <c:v>34.740036497319103</c:v>
                </c:pt>
                <c:pt idx="41">
                  <c:v>34.1406571505727</c:v>
                </c:pt>
                <c:pt idx="42">
                  <c:v>33.755179624401798</c:v>
                </c:pt>
                <c:pt idx="43">
                  <c:v>33.440578497936897</c:v>
                </c:pt>
                <c:pt idx="44">
                  <c:v>33.366809618916299</c:v>
                </c:pt>
                <c:pt idx="45">
                  <c:v>33.2781730489151</c:v>
                </c:pt>
                <c:pt idx="46">
                  <c:v>32.989720538044701</c:v>
                </c:pt>
                <c:pt idx="47">
                  <c:v>32.6202136074062</c:v>
                </c:pt>
                <c:pt idx="48">
                  <c:v>32.632159117632497</c:v>
                </c:pt>
                <c:pt idx="49">
                  <c:v>35.194891389522901</c:v>
                </c:pt>
                <c:pt idx="50">
                  <c:v>35.5541925632211</c:v>
                </c:pt>
                <c:pt idx="51">
                  <c:v>34.451621502619801</c:v>
                </c:pt>
                <c:pt idx="52">
                  <c:v>33.918666064892903</c:v>
                </c:pt>
                <c:pt idx="53">
                  <c:v>34.9264315009531</c:v>
                </c:pt>
                <c:pt idx="54">
                  <c:v>35.9720499422329</c:v>
                </c:pt>
                <c:pt idx="55">
                  <c:v>37.452550331109897</c:v>
                </c:pt>
                <c:pt idx="56">
                  <c:v>36.853394534188098</c:v>
                </c:pt>
                <c:pt idx="57">
                  <c:v>35.419109861034798</c:v>
                </c:pt>
                <c:pt idx="58">
                  <c:v>34.230262953228298</c:v>
                </c:pt>
                <c:pt idx="59">
                  <c:v>33.353690098410297</c:v>
                </c:pt>
                <c:pt idx="60">
                  <c:v>32.906982665148497</c:v>
                </c:pt>
                <c:pt idx="61">
                  <c:v>34.001598062262502</c:v>
                </c:pt>
                <c:pt idx="62">
                  <c:v>33.594117494012103</c:v>
                </c:pt>
                <c:pt idx="63">
                  <c:v>32.863698666536798</c:v>
                </c:pt>
                <c:pt idx="64">
                  <c:v>31.929528519340501</c:v>
                </c:pt>
                <c:pt idx="65">
                  <c:v>31.8187544647027</c:v>
                </c:pt>
                <c:pt idx="66">
                  <c:v>31.978542344228199</c:v>
                </c:pt>
                <c:pt idx="67">
                  <c:v>32.119359103697299</c:v>
                </c:pt>
                <c:pt idx="68">
                  <c:v>31.388270840056101</c:v>
                </c:pt>
                <c:pt idx="69">
                  <c:v>30.826170185197999</c:v>
                </c:pt>
                <c:pt idx="70">
                  <c:v>30.795057920367299</c:v>
                </c:pt>
                <c:pt idx="71">
                  <c:v>31.101263937880301</c:v>
                </c:pt>
                <c:pt idx="72">
                  <c:v>30.589301263243598</c:v>
                </c:pt>
                <c:pt idx="73">
                  <c:v>29.8002461812139</c:v>
                </c:pt>
                <c:pt idx="74">
                  <c:v>29.5227431967092</c:v>
                </c:pt>
                <c:pt idx="75">
                  <c:v>31.740145579730001</c:v>
                </c:pt>
                <c:pt idx="76">
                  <c:v>32.477372669146398</c:v>
                </c:pt>
                <c:pt idx="77">
                  <c:v>31.7710212648884</c:v>
                </c:pt>
                <c:pt idx="78">
                  <c:v>33.994098202371397</c:v>
                </c:pt>
                <c:pt idx="79">
                  <c:v>33.625050559207203</c:v>
                </c:pt>
                <c:pt idx="80">
                  <c:v>32.261598678655503</c:v>
                </c:pt>
                <c:pt idx="81">
                  <c:v>31.270556767525001</c:v>
                </c:pt>
                <c:pt idx="82">
                  <c:v>31.341742482722601</c:v>
                </c:pt>
                <c:pt idx="83">
                  <c:v>31.499305644137699</c:v>
                </c:pt>
                <c:pt idx="84">
                  <c:v>30.844746298729699</c:v>
                </c:pt>
                <c:pt idx="85">
                  <c:v>31.092952604678199</c:v>
                </c:pt>
                <c:pt idx="86">
                  <c:v>32.520759688818899</c:v>
                </c:pt>
                <c:pt idx="87">
                  <c:v>31.125154741045002</c:v>
                </c:pt>
                <c:pt idx="88">
                  <c:v>29.743116706564699</c:v>
                </c:pt>
                <c:pt idx="89">
                  <c:v>28.835197503355001</c:v>
                </c:pt>
                <c:pt idx="90">
                  <c:v>28.7999343310602</c:v>
                </c:pt>
                <c:pt idx="91">
                  <c:v>28.887370540225</c:v>
                </c:pt>
                <c:pt idx="92">
                  <c:v>29.193154150494699</c:v>
                </c:pt>
                <c:pt idx="93">
                  <c:v>30.558400191701999</c:v>
                </c:pt>
                <c:pt idx="94">
                  <c:v>35.7448051577801</c:v>
                </c:pt>
                <c:pt idx="95">
                  <c:v>35.842524481833401</c:v>
                </c:pt>
                <c:pt idx="96">
                  <c:v>36.535171254122901</c:v>
                </c:pt>
                <c:pt idx="97">
                  <c:v>34.810315729182598</c:v>
                </c:pt>
                <c:pt idx="98">
                  <c:v>33.261872706583802</c:v>
                </c:pt>
                <c:pt idx="99">
                  <c:v>31.866719774305999</c:v>
                </c:pt>
                <c:pt idx="100">
                  <c:v>32.245625550981799</c:v>
                </c:pt>
                <c:pt idx="101">
                  <c:v>31.377793676799399</c:v>
                </c:pt>
                <c:pt idx="102">
                  <c:v>30.153389849566299</c:v>
                </c:pt>
                <c:pt idx="103">
                  <c:v>29.028954763539399</c:v>
                </c:pt>
                <c:pt idx="104">
                  <c:v>28.037238426599401</c:v>
                </c:pt>
                <c:pt idx="105">
                  <c:v>27.245549377518198</c:v>
                </c:pt>
                <c:pt idx="106">
                  <c:v>26.513923209679302</c:v>
                </c:pt>
                <c:pt idx="107">
                  <c:v>25.963983990271</c:v>
                </c:pt>
                <c:pt idx="108">
                  <c:v>25.4109470343293</c:v>
                </c:pt>
                <c:pt idx="109">
                  <c:v>24.801535714449901</c:v>
                </c:pt>
                <c:pt idx="110">
                  <c:v>24.038942728144001</c:v>
                </c:pt>
                <c:pt idx="111">
                  <c:v>23.1799587860299</c:v>
                </c:pt>
                <c:pt idx="112">
                  <c:v>22.301716058769902</c:v>
                </c:pt>
                <c:pt idx="113">
                  <c:v>21.4644273422746</c:v>
                </c:pt>
                <c:pt idx="114">
                  <c:v>20.719358996576801</c:v>
                </c:pt>
                <c:pt idx="115">
                  <c:v>19.883847871136499</c:v>
                </c:pt>
                <c:pt idx="116">
                  <c:v>19.0724667794684</c:v>
                </c:pt>
                <c:pt idx="117">
                  <c:v>18.4252096373617</c:v>
                </c:pt>
                <c:pt idx="118">
                  <c:v>17.816724878372401</c:v>
                </c:pt>
                <c:pt idx="119">
                  <c:v>17.1409611910113</c:v>
                </c:pt>
                <c:pt idx="120">
                  <c:v>16.502159339338501</c:v>
                </c:pt>
                <c:pt idx="121">
                  <c:v>15.9564505597438</c:v>
                </c:pt>
                <c:pt idx="122">
                  <c:v>15.5549989264365</c:v>
                </c:pt>
                <c:pt idx="123">
                  <c:v>15.3481669916854</c:v>
                </c:pt>
                <c:pt idx="124">
                  <c:v>15.1018072418783</c:v>
                </c:pt>
                <c:pt idx="125">
                  <c:v>14.684364347253</c:v>
                </c:pt>
                <c:pt idx="126">
                  <c:v>14.2719829044572</c:v>
                </c:pt>
                <c:pt idx="127">
                  <c:v>13.870311719019099</c:v>
                </c:pt>
                <c:pt idx="128">
                  <c:v>13.639805136925499</c:v>
                </c:pt>
                <c:pt idx="129">
                  <c:v>13.40179509969</c:v>
                </c:pt>
                <c:pt idx="130">
                  <c:v>13.2012271610472</c:v>
                </c:pt>
                <c:pt idx="131">
                  <c:v>13.0367602107941</c:v>
                </c:pt>
                <c:pt idx="132">
                  <c:v>12.8647316479148</c:v>
                </c:pt>
                <c:pt idx="133">
                  <c:v>12.7303546672451</c:v>
                </c:pt>
                <c:pt idx="134">
                  <c:v>12.688782936202999</c:v>
                </c:pt>
                <c:pt idx="135">
                  <c:v>12.6080413025986</c:v>
                </c:pt>
                <c:pt idx="136">
                  <c:v>12.534826272679499</c:v>
                </c:pt>
                <c:pt idx="137">
                  <c:v>14.065510931278901</c:v>
                </c:pt>
                <c:pt idx="138">
                  <c:v>19.3980679660086</c:v>
                </c:pt>
                <c:pt idx="139">
                  <c:v>18.4400443392759</c:v>
                </c:pt>
                <c:pt idx="140">
                  <c:v>17.384240805547901</c:v>
                </c:pt>
                <c:pt idx="141">
                  <c:v>16.398364993737701</c:v>
                </c:pt>
                <c:pt idx="142">
                  <c:v>15.6553489222811</c:v>
                </c:pt>
                <c:pt idx="143">
                  <c:v>15.380249305344799</c:v>
                </c:pt>
                <c:pt idx="144">
                  <c:v>15.2716752420641</c:v>
                </c:pt>
                <c:pt idx="145">
                  <c:v>16.6785179219513</c:v>
                </c:pt>
                <c:pt idx="146">
                  <c:v>16.540718787753001</c:v>
                </c:pt>
                <c:pt idx="147">
                  <c:v>16.248685515698298</c:v>
                </c:pt>
                <c:pt idx="148">
                  <c:v>15.589959430437</c:v>
                </c:pt>
                <c:pt idx="149">
                  <c:v>14.9898123244141</c:v>
                </c:pt>
                <c:pt idx="150">
                  <c:v>14.793556725618901</c:v>
                </c:pt>
                <c:pt idx="151">
                  <c:v>14.742843160888899</c:v>
                </c:pt>
                <c:pt idx="152">
                  <c:v>14.499666533743699</c:v>
                </c:pt>
                <c:pt idx="153">
                  <c:v>14.1678150842577</c:v>
                </c:pt>
                <c:pt idx="154">
                  <c:v>13.951461268176899</c:v>
                </c:pt>
                <c:pt idx="155">
                  <c:v>14.0090446378438</c:v>
                </c:pt>
                <c:pt idx="156">
                  <c:v>13.8792491166662</c:v>
                </c:pt>
                <c:pt idx="157">
                  <c:v>13.6475018409566</c:v>
                </c:pt>
                <c:pt idx="158">
                  <c:v>13.414761370551</c:v>
                </c:pt>
                <c:pt idx="159">
                  <c:v>13.269424938927299</c:v>
                </c:pt>
                <c:pt idx="160">
                  <c:v>13.2052249199362</c:v>
                </c:pt>
                <c:pt idx="161">
                  <c:v>13.3557071277103</c:v>
                </c:pt>
                <c:pt idx="162">
                  <c:v>13.3386361813712</c:v>
                </c:pt>
                <c:pt idx="163">
                  <c:v>13.1857484192771</c:v>
                </c:pt>
                <c:pt idx="164">
                  <c:v>13.0783631808319</c:v>
                </c:pt>
                <c:pt idx="165">
                  <c:v>12.978034852513099</c:v>
                </c:pt>
                <c:pt idx="166">
                  <c:v>12.9029415853653</c:v>
                </c:pt>
                <c:pt idx="167">
                  <c:v>12.799866503661001</c:v>
                </c:pt>
                <c:pt idx="168">
                  <c:v>12.630043115208199</c:v>
                </c:pt>
                <c:pt idx="169">
                  <c:v>13.155723285701299</c:v>
                </c:pt>
                <c:pt idx="170">
                  <c:v>13.956676291902699</c:v>
                </c:pt>
                <c:pt idx="171">
                  <c:v>14.1640073779721</c:v>
                </c:pt>
                <c:pt idx="172">
                  <c:v>14.734635518111</c:v>
                </c:pt>
                <c:pt idx="173">
                  <c:v>17.246028724485999</c:v>
                </c:pt>
                <c:pt idx="174">
                  <c:v>18.7407199599999</c:v>
                </c:pt>
                <c:pt idx="175">
                  <c:v>20.227284219208201</c:v>
                </c:pt>
                <c:pt idx="176">
                  <c:v>21.197110881493</c:v>
                </c:pt>
                <c:pt idx="177">
                  <c:v>25.432610506773901</c:v>
                </c:pt>
                <c:pt idx="178">
                  <c:v>26.221159404808901</c:v>
                </c:pt>
                <c:pt idx="179">
                  <c:v>26.9255638983179</c:v>
                </c:pt>
                <c:pt idx="180">
                  <c:v>27.149733979157901</c:v>
                </c:pt>
                <c:pt idx="181">
                  <c:v>26.333475464708201</c:v>
                </c:pt>
                <c:pt idx="182">
                  <c:v>30.1608705360416</c:v>
                </c:pt>
                <c:pt idx="183">
                  <c:v>30.605315963638802</c:v>
                </c:pt>
                <c:pt idx="184">
                  <c:v>29.030152283597101</c:v>
                </c:pt>
                <c:pt idx="185">
                  <c:v>29.878552974986</c:v>
                </c:pt>
                <c:pt idx="186">
                  <c:v>28.6887912056944</c:v>
                </c:pt>
                <c:pt idx="187">
                  <c:v>27.443521617152701</c:v>
                </c:pt>
                <c:pt idx="188">
                  <c:v>30.813751942416602</c:v>
                </c:pt>
                <c:pt idx="189">
                  <c:v>29.740374642152702</c:v>
                </c:pt>
                <c:pt idx="190">
                  <c:v>28.506178668680398</c:v>
                </c:pt>
                <c:pt idx="191">
                  <c:v>28.709956359611098</c:v>
                </c:pt>
                <c:pt idx="192">
                  <c:v>28.919571531805499</c:v>
                </c:pt>
                <c:pt idx="193">
                  <c:v>31.453605799236001</c:v>
                </c:pt>
                <c:pt idx="194">
                  <c:v>30.016890578944299</c:v>
                </c:pt>
                <c:pt idx="195">
                  <c:v>28.919413075180501</c:v>
                </c:pt>
                <c:pt idx="196">
                  <c:v>27.982316732972102</c:v>
                </c:pt>
                <c:pt idx="197">
                  <c:v>26.7234445732221</c:v>
                </c:pt>
                <c:pt idx="198">
                  <c:v>25.654445621735999</c:v>
                </c:pt>
                <c:pt idx="199">
                  <c:v>24.529209716069399</c:v>
                </c:pt>
                <c:pt idx="200">
                  <c:v>23.790099215638801</c:v>
                </c:pt>
                <c:pt idx="201">
                  <c:v>26.870676620888801</c:v>
                </c:pt>
                <c:pt idx="202">
                  <c:v>28.727012494819299</c:v>
                </c:pt>
                <c:pt idx="203">
                  <c:v>27.4028524032916</c:v>
                </c:pt>
                <c:pt idx="204">
                  <c:v>26.6187733402259</c:v>
                </c:pt>
                <c:pt idx="205">
                  <c:v>25.998387141483601</c:v>
                </c:pt>
                <c:pt idx="206">
                  <c:v>26.047473524138798</c:v>
                </c:pt>
                <c:pt idx="207">
                  <c:v>27.095320503236</c:v>
                </c:pt>
                <c:pt idx="208">
                  <c:v>30.6466978299582</c:v>
                </c:pt>
                <c:pt idx="209">
                  <c:v>31.595901990735999</c:v>
                </c:pt>
                <c:pt idx="210">
                  <c:v>30.4030089779721</c:v>
                </c:pt>
                <c:pt idx="211">
                  <c:v>29.239402826499902</c:v>
                </c:pt>
                <c:pt idx="212">
                  <c:v>27.907813418013799</c:v>
                </c:pt>
                <c:pt idx="213">
                  <c:v>26.7159381721839</c:v>
                </c:pt>
                <c:pt idx="214">
                  <c:v>23.995684525626</c:v>
                </c:pt>
                <c:pt idx="215">
                  <c:v>23.7601182871337</c:v>
                </c:pt>
                <c:pt idx="216">
                  <c:v>23.499634694358502</c:v>
                </c:pt>
                <c:pt idx="217">
                  <c:v>23.244947879529199</c:v>
                </c:pt>
                <c:pt idx="218">
                  <c:v>22.945815931696501</c:v>
                </c:pt>
                <c:pt idx="219">
                  <c:v>24.033854082923799</c:v>
                </c:pt>
                <c:pt idx="220">
                  <c:v>29.503924314726401</c:v>
                </c:pt>
                <c:pt idx="221">
                  <c:v>28.741324029191901</c:v>
                </c:pt>
                <c:pt idx="222">
                  <c:v>27.9195067778133</c:v>
                </c:pt>
                <c:pt idx="223">
                  <c:v>27.538497196261599</c:v>
                </c:pt>
                <c:pt idx="224">
                  <c:v>27.4906890629847</c:v>
                </c:pt>
                <c:pt idx="225">
                  <c:v>27.149424685076301</c:v>
                </c:pt>
                <c:pt idx="226">
                  <c:v>26.665504798477802</c:v>
                </c:pt>
                <c:pt idx="227">
                  <c:v>26.0421322048668</c:v>
                </c:pt>
                <c:pt idx="228">
                  <c:v>26.1494750034615</c:v>
                </c:pt>
                <c:pt idx="229">
                  <c:v>28.088133900033</c:v>
                </c:pt>
                <c:pt idx="230">
                  <c:v>28.5459110472178</c:v>
                </c:pt>
                <c:pt idx="231">
                  <c:v>27.6599074387107</c:v>
                </c:pt>
                <c:pt idx="232">
                  <c:v>26.895821858144199</c:v>
                </c:pt>
                <c:pt idx="233">
                  <c:v>26.3374477187295</c:v>
                </c:pt>
                <c:pt idx="234">
                  <c:v>25.8871552580908</c:v>
                </c:pt>
                <c:pt idx="235">
                  <c:v>25.506677034009101</c:v>
                </c:pt>
                <c:pt idx="236">
                  <c:v>25.191092204862301</c:v>
                </c:pt>
                <c:pt idx="237">
                  <c:v>24.911594257879599</c:v>
                </c:pt>
                <c:pt idx="238">
                  <c:v>24.608016751176201</c:v>
                </c:pt>
                <c:pt idx="239">
                  <c:v>24.290534069230699</c:v>
                </c:pt>
                <c:pt idx="240">
                  <c:v>24.058565918509199</c:v>
                </c:pt>
                <c:pt idx="241">
                  <c:v>24.037524589978499</c:v>
                </c:pt>
                <c:pt idx="242">
                  <c:v>23.8442329907048</c:v>
                </c:pt>
                <c:pt idx="243">
                  <c:v>23.499316363920698</c:v>
                </c:pt>
                <c:pt idx="244">
                  <c:v>23.0075209086279</c:v>
                </c:pt>
                <c:pt idx="245">
                  <c:v>22.5017628295058</c:v>
                </c:pt>
                <c:pt idx="246">
                  <c:v>22.083467953183</c:v>
                </c:pt>
                <c:pt idx="247">
                  <c:v>21.609753503034899</c:v>
                </c:pt>
                <c:pt idx="248">
                  <c:v>21.0457879157969</c:v>
                </c:pt>
                <c:pt idx="249">
                  <c:v>20.4324574252689</c:v>
                </c:pt>
                <c:pt idx="250">
                  <c:v>20.281381125061799</c:v>
                </c:pt>
                <c:pt idx="251">
                  <c:v>20.465845404642501</c:v>
                </c:pt>
                <c:pt idx="252">
                  <c:v>20.799153317267098</c:v>
                </c:pt>
                <c:pt idx="253">
                  <c:v>20.9356204951224</c:v>
                </c:pt>
                <c:pt idx="254">
                  <c:v>20.872744858217601</c:v>
                </c:pt>
                <c:pt idx="255">
                  <c:v>21.0929165949312</c:v>
                </c:pt>
                <c:pt idx="256">
                  <c:v>24.210431733414801</c:v>
                </c:pt>
                <c:pt idx="257">
                  <c:v>29.412694938656099</c:v>
                </c:pt>
                <c:pt idx="258">
                  <c:v>32.923101578848701</c:v>
                </c:pt>
                <c:pt idx="259">
                  <c:v>32.142210303991497</c:v>
                </c:pt>
                <c:pt idx="260">
                  <c:v>32.631385721304099</c:v>
                </c:pt>
                <c:pt idx="261">
                  <c:v>33.575521381364801</c:v>
                </c:pt>
                <c:pt idx="262">
                  <c:v>34.460600721793199</c:v>
                </c:pt>
                <c:pt idx="263">
                  <c:v>34.0193149623856</c:v>
                </c:pt>
                <c:pt idx="264">
                  <c:v>35.350378631574301</c:v>
                </c:pt>
                <c:pt idx="265">
                  <c:v>34.567769313829501</c:v>
                </c:pt>
                <c:pt idx="266">
                  <c:v>33.672264810191301</c:v>
                </c:pt>
                <c:pt idx="267">
                  <c:v>34.058262461225901</c:v>
                </c:pt>
                <c:pt idx="268">
                  <c:v>34.927886847788798</c:v>
                </c:pt>
                <c:pt idx="269">
                  <c:v>35.117848816544999</c:v>
                </c:pt>
                <c:pt idx="270">
                  <c:v>34.620813410053501</c:v>
                </c:pt>
                <c:pt idx="271">
                  <c:v>31.7434225339444</c:v>
                </c:pt>
                <c:pt idx="272">
                  <c:v>31.2355184243332</c:v>
                </c:pt>
                <c:pt idx="273">
                  <c:v>31.592126725388798</c:v>
                </c:pt>
                <c:pt idx="274">
                  <c:v>31.905589145333199</c:v>
                </c:pt>
                <c:pt idx="275">
                  <c:v>31.654561910888798</c:v>
                </c:pt>
                <c:pt idx="276">
                  <c:v>31.478487529444301</c:v>
                </c:pt>
                <c:pt idx="277">
                  <c:v>32.727696565735997</c:v>
                </c:pt>
                <c:pt idx="278">
                  <c:v>34.985504359694303</c:v>
                </c:pt>
                <c:pt idx="279">
                  <c:v>36.117573445284599</c:v>
                </c:pt>
                <c:pt idx="280">
                  <c:v>34.855615928611002</c:v>
                </c:pt>
                <c:pt idx="281">
                  <c:v>35.393371734930398</c:v>
                </c:pt>
                <c:pt idx="282">
                  <c:v>36.915412255999399</c:v>
                </c:pt>
                <c:pt idx="283">
                  <c:v>36.5589696569632</c:v>
                </c:pt>
                <c:pt idx="284">
                  <c:v>35.518264992157199</c:v>
                </c:pt>
                <c:pt idx="285">
                  <c:v>36.796886413280298</c:v>
                </c:pt>
                <c:pt idx="286">
                  <c:v>37.2384811923638</c:v>
                </c:pt>
                <c:pt idx="287">
                  <c:v>37.1254049966279</c:v>
                </c:pt>
                <c:pt idx="288">
                  <c:v>36.931095282001898</c:v>
                </c:pt>
                <c:pt idx="289">
                  <c:v>37.351921598185697</c:v>
                </c:pt>
                <c:pt idx="290">
                  <c:v>36.421603679425097</c:v>
                </c:pt>
                <c:pt idx="291">
                  <c:v>35.855795303946202</c:v>
                </c:pt>
                <c:pt idx="292">
                  <c:v>37.374237942877102</c:v>
                </c:pt>
                <c:pt idx="293">
                  <c:v>37.683946984656302</c:v>
                </c:pt>
                <c:pt idx="294">
                  <c:v>37.645893852925099</c:v>
                </c:pt>
                <c:pt idx="295">
                  <c:v>39.207286499989003</c:v>
                </c:pt>
                <c:pt idx="296">
                  <c:v>38.704357218372998</c:v>
                </c:pt>
                <c:pt idx="297">
                  <c:v>37.534592205244998</c:v>
                </c:pt>
                <c:pt idx="298">
                  <c:v>37.210148148726198</c:v>
                </c:pt>
                <c:pt idx="299">
                  <c:v>36.950075435126202</c:v>
                </c:pt>
                <c:pt idx="300">
                  <c:v>36.4682711885836</c:v>
                </c:pt>
                <c:pt idx="301">
                  <c:v>35.812876792585598</c:v>
                </c:pt>
                <c:pt idx="302">
                  <c:v>36.286495541424202</c:v>
                </c:pt>
                <c:pt idx="303">
                  <c:v>38.6733617616187</c:v>
                </c:pt>
                <c:pt idx="304">
                  <c:v>38.173596798364102</c:v>
                </c:pt>
                <c:pt idx="305">
                  <c:v>37.410789125817097</c:v>
                </c:pt>
                <c:pt idx="306">
                  <c:v>37.5581926883549</c:v>
                </c:pt>
                <c:pt idx="307">
                  <c:v>37.623209145579402</c:v>
                </c:pt>
                <c:pt idx="308">
                  <c:v>37.728612629846602</c:v>
                </c:pt>
                <c:pt idx="309">
                  <c:v>37.71304724422</c:v>
                </c:pt>
                <c:pt idx="310">
                  <c:v>38.3655328539027</c:v>
                </c:pt>
                <c:pt idx="311">
                  <c:v>38.781087788155801</c:v>
                </c:pt>
                <c:pt idx="312">
                  <c:v>38.149409618447699</c:v>
                </c:pt>
                <c:pt idx="313">
                  <c:v>37.960801656700298</c:v>
                </c:pt>
                <c:pt idx="314">
                  <c:v>37.600125968260897</c:v>
                </c:pt>
                <c:pt idx="315">
                  <c:v>37.237026495168998</c:v>
                </c:pt>
                <c:pt idx="316">
                  <c:v>36.872246819696002</c:v>
                </c:pt>
                <c:pt idx="317">
                  <c:v>37.155280278940801</c:v>
                </c:pt>
                <c:pt idx="318">
                  <c:v>38.764227015145799</c:v>
                </c:pt>
                <c:pt idx="319">
                  <c:v>38.927309649202897</c:v>
                </c:pt>
                <c:pt idx="320">
                  <c:v>40.093474363694497</c:v>
                </c:pt>
                <c:pt idx="321">
                  <c:v>39.604227745787703</c:v>
                </c:pt>
                <c:pt idx="322">
                  <c:v>39.312630048909398</c:v>
                </c:pt>
                <c:pt idx="323">
                  <c:v>39.546169090370498</c:v>
                </c:pt>
                <c:pt idx="324">
                  <c:v>39.294561422320299</c:v>
                </c:pt>
                <c:pt idx="325">
                  <c:v>38.674690974476398</c:v>
                </c:pt>
                <c:pt idx="326">
                  <c:v>38.110974339970902</c:v>
                </c:pt>
                <c:pt idx="327">
                  <c:v>38.132267232782198</c:v>
                </c:pt>
                <c:pt idx="328">
                  <c:v>38.722027056319199</c:v>
                </c:pt>
                <c:pt idx="329">
                  <c:v>38.19657828335</c:v>
                </c:pt>
                <c:pt idx="330">
                  <c:v>37.759045780243902</c:v>
                </c:pt>
                <c:pt idx="331">
                  <c:v>39.355045714738502</c:v>
                </c:pt>
                <c:pt idx="332">
                  <c:v>39.567961146104601</c:v>
                </c:pt>
                <c:pt idx="333">
                  <c:v>40.107341797738101</c:v>
                </c:pt>
                <c:pt idx="334">
                  <c:v>39.226900913212702</c:v>
                </c:pt>
                <c:pt idx="335">
                  <c:v>39.728472595818097</c:v>
                </c:pt>
                <c:pt idx="336">
                  <c:v>39.605874709040499</c:v>
                </c:pt>
                <c:pt idx="337">
                  <c:v>38.854525458881803</c:v>
                </c:pt>
                <c:pt idx="338">
                  <c:v>38.740415868543103</c:v>
                </c:pt>
                <c:pt idx="339">
                  <c:v>38.754279923779698</c:v>
                </c:pt>
                <c:pt idx="340">
                  <c:v>38.767229336483197</c:v>
                </c:pt>
                <c:pt idx="341">
                  <c:v>38.743127476798399</c:v>
                </c:pt>
                <c:pt idx="342">
                  <c:v>38.719025617113701</c:v>
                </c:pt>
                <c:pt idx="343">
                  <c:v>38.694923757429002</c:v>
                </c:pt>
                <c:pt idx="344">
                  <c:v>38.670821897744297</c:v>
                </c:pt>
                <c:pt idx="345">
                  <c:v>38.646720038059598</c:v>
                </c:pt>
                <c:pt idx="346">
                  <c:v>38.6226181783748</c:v>
                </c:pt>
                <c:pt idx="347">
                  <c:v>38.598516318690102</c:v>
                </c:pt>
                <c:pt idx="348">
                  <c:v>38.574414459005403</c:v>
                </c:pt>
                <c:pt idx="349">
                  <c:v>38.550312599320698</c:v>
                </c:pt>
                <c:pt idx="350">
                  <c:v>38.526210739635999</c:v>
                </c:pt>
                <c:pt idx="351">
                  <c:v>38.502108879951301</c:v>
                </c:pt>
                <c:pt idx="352">
                  <c:v>38.197763899757099</c:v>
                </c:pt>
                <c:pt idx="353">
                  <c:v>37.998883200438101</c:v>
                </c:pt>
                <c:pt idx="354">
                  <c:v>37.558789281713203</c:v>
                </c:pt>
                <c:pt idx="355">
                  <c:v>38.231501503208897</c:v>
                </c:pt>
                <c:pt idx="356">
                  <c:v>37.930594108829197</c:v>
                </c:pt>
                <c:pt idx="357">
                  <c:v>37.203320865026697</c:v>
                </c:pt>
                <c:pt idx="358">
                  <c:v>36.8653056525118</c:v>
                </c:pt>
                <c:pt idx="359">
                  <c:v>36.632093418688399</c:v>
                </c:pt>
                <c:pt idx="360">
                  <c:v>36.316992311430297</c:v>
                </c:pt>
              </c:numCache>
            </c:numRef>
          </c:xVal>
          <c:yVal>
            <c:numRef>
              <c:f>selhausen_SM_EGR_daily!$C$8:$C$400</c:f>
              <c:numCache>
                <c:formatCode>General</c:formatCode>
                <c:ptCount val="393"/>
                <c:pt idx="0">
                  <c:v>90.510644691460726</c:v>
                </c:pt>
                <c:pt idx="1">
                  <c:v>90.537524851259832</c:v>
                </c:pt>
                <c:pt idx="2">
                  <c:v>90.764226193489009</c:v>
                </c:pt>
                <c:pt idx="3">
                  <c:v>90.992065682765698</c:v>
                </c:pt>
                <c:pt idx="4">
                  <c:v>91.221051911707278</c:v>
                </c:pt>
                <c:pt idx="5">
                  <c:v>91.45119355964431</c:v>
                </c:pt>
                <c:pt idx="6">
                  <c:v>91.516792315685421</c:v>
                </c:pt>
                <c:pt idx="7">
                  <c:v>91.570924820228825</c:v>
                </c:pt>
                <c:pt idx="8">
                  <c:v>91.628383499155007</c:v>
                </c:pt>
                <c:pt idx="9">
                  <c:v>91.739918074577531</c:v>
                </c:pt>
                <c:pt idx="10">
                  <c:v>91.836887371499031</c:v>
                </c:pt>
                <c:pt idx="11">
                  <c:v>91.882072988521358</c:v>
                </c:pt>
                <c:pt idx="12">
                  <c:v>91.948747236432922</c:v>
                </c:pt>
                <c:pt idx="13">
                  <c:v>92.024213195436658</c:v>
                </c:pt>
                <c:pt idx="14">
                  <c:v>91.87128703428111</c:v>
                </c:pt>
                <c:pt idx="15">
                  <c:v>91.884105390882638</c:v>
                </c:pt>
                <c:pt idx="16">
                  <c:v>91.973115608072035</c:v>
                </c:pt>
                <c:pt idx="17">
                  <c:v>92.028314578038348</c:v>
                </c:pt>
                <c:pt idx="18">
                  <c:v>91.348596546885275</c:v>
                </c:pt>
                <c:pt idx="19">
                  <c:v>91.409778975152463</c:v>
                </c:pt>
                <c:pt idx="20">
                  <c:v>91.491562546642655</c:v>
                </c:pt>
                <c:pt idx="21">
                  <c:v>91.743882713805561</c:v>
                </c:pt>
                <c:pt idx="22">
                  <c:v>92.003637680640523</c:v>
                </c:pt>
                <c:pt idx="23">
                  <c:v>92.160123936914772</c:v>
                </c:pt>
                <c:pt idx="24">
                  <c:v>92.336924825712515</c:v>
                </c:pt>
                <c:pt idx="25">
                  <c:v>92.425430557288848</c:v>
                </c:pt>
                <c:pt idx="26">
                  <c:v>92.459393309396106</c:v>
                </c:pt>
                <c:pt idx="27">
                  <c:v>92.45518413841026</c:v>
                </c:pt>
                <c:pt idx="28">
                  <c:v>92.477160908895243</c:v>
                </c:pt>
                <c:pt idx="29">
                  <c:v>92.487945396710955</c:v>
                </c:pt>
                <c:pt idx="30">
                  <c:v>91.684146194414012</c:v>
                </c:pt>
                <c:pt idx="31">
                  <c:v>90.092949718973458</c:v>
                </c:pt>
                <c:pt idx="32">
                  <c:v>89.817079097749442</c:v>
                </c:pt>
                <c:pt idx="33">
                  <c:v>89.774518074046412</c:v>
                </c:pt>
                <c:pt idx="34">
                  <c:v>90.201447161727074</c:v>
                </c:pt>
                <c:pt idx="35">
                  <c:v>90.487341262280921</c:v>
                </c:pt>
                <c:pt idx="36">
                  <c:v>90.666651476665379</c:v>
                </c:pt>
                <c:pt idx="37">
                  <c:v>90.182451509378552</c:v>
                </c:pt>
                <c:pt idx="38">
                  <c:v>89.877029352916239</c:v>
                </c:pt>
                <c:pt idx="39">
                  <c:v>90.385644005646839</c:v>
                </c:pt>
                <c:pt idx="40">
                  <c:v>90.718203534965014</c:v>
                </c:pt>
                <c:pt idx="41">
                  <c:v>90.95505598749827</c:v>
                </c:pt>
                <c:pt idx="42">
                  <c:v>91.108036962002458</c:v>
                </c:pt>
                <c:pt idx="43">
                  <c:v>91.233271765105599</c:v>
                </c:pt>
                <c:pt idx="44">
                  <c:v>91.262687148328553</c:v>
                </c:pt>
                <c:pt idx="45">
                  <c:v>91.298056129482489</c:v>
                </c:pt>
                <c:pt idx="46">
                  <c:v>91.413348427806596</c:v>
                </c:pt>
                <c:pt idx="47">
                  <c:v>91.5614636715041</c:v>
                </c:pt>
                <c:pt idx="48">
                  <c:v>91.556667858571871</c:v>
                </c:pt>
                <c:pt idx="49">
                  <c:v>90.539283411374441</c:v>
                </c:pt>
                <c:pt idx="50">
                  <c:v>90.398448122547393</c:v>
                </c:pt>
                <c:pt idx="51">
                  <c:v>90.832020257582826</c:v>
                </c:pt>
                <c:pt idx="52">
                  <c:v>91.043092779392907</c:v>
                </c:pt>
                <c:pt idx="53">
                  <c:v>90.644798403516958</c:v>
                </c:pt>
                <c:pt idx="54">
                  <c:v>90.235210631040758</c:v>
                </c:pt>
                <c:pt idx="55">
                  <c:v>89.661562359331342</c:v>
                </c:pt>
                <c:pt idx="56">
                  <c:v>89.892835913413762</c:v>
                </c:pt>
                <c:pt idx="57">
                  <c:v>90.451345064932411</c:v>
                </c:pt>
                <c:pt idx="58">
                  <c:v>90.919568506666081</c:v>
                </c:pt>
                <c:pt idx="59">
                  <c:v>91.267920551526373</c:v>
                </c:pt>
                <c:pt idx="60">
                  <c:v>91.446471891804407</c:v>
                </c:pt>
                <c:pt idx="61">
                  <c:v>91.010183835561875</c:v>
                </c:pt>
                <c:pt idx="62">
                  <c:v>91.172108766214933</c:v>
                </c:pt>
                <c:pt idx="63">
                  <c:v>91.463809869572856</c:v>
                </c:pt>
                <c:pt idx="64">
                  <c:v>91.839612781867359</c:v>
                </c:pt>
                <c:pt idx="65">
                  <c:v>91.884380464376747</c:v>
                </c:pt>
                <c:pt idx="66">
                  <c:v>91.819818493458328</c:v>
                </c:pt>
                <c:pt idx="67">
                  <c:v>91.762996928613262</c:v>
                </c:pt>
                <c:pt idx="68">
                  <c:v>92.058769154761549</c:v>
                </c:pt>
                <c:pt idx="69">
                  <c:v>92.287474778101185</c:v>
                </c:pt>
                <c:pt idx="70">
                  <c:v>92.300166825949091</c:v>
                </c:pt>
                <c:pt idx="71">
                  <c:v>92.175403747903914</c:v>
                </c:pt>
                <c:pt idx="72">
                  <c:v>92.384191893588763</c:v>
                </c:pt>
                <c:pt idx="73">
                  <c:v>92.70784239519287</c:v>
                </c:pt>
                <c:pt idx="74">
                  <c:v>92.822206792704861</c:v>
                </c:pt>
                <c:pt idx="75">
                  <c:v>91.916175557294437</c:v>
                </c:pt>
                <c:pt idx="76">
                  <c:v>91.618849556007461</c:v>
                </c:pt>
                <c:pt idx="77">
                  <c:v>91.903684583473918</c:v>
                </c:pt>
                <c:pt idx="78">
                  <c:v>91.013158939584983</c:v>
                </c:pt>
                <c:pt idx="79">
                  <c:v>91.159796354535075</c:v>
                </c:pt>
                <c:pt idx="80">
                  <c:v>91.705672589000173</c:v>
                </c:pt>
                <c:pt idx="81">
                  <c:v>92.106570375279361</c:v>
                </c:pt>
                <c:pt idx="82">
                  <c:v>92.077657415574421</c:v>
                </c:pt>
                <c:pt idx="83">
                  <c:v>92.013725695566947</c:v>
                </c:pt>
                <c:pt idx="84">
                  <c:v>92.279898436421888</c:v>
                </c:pt>
                <c:pt idx="85">
                  <c:v>92.178785731915127</c:v>
                </c:pt>
                <c:pt idx="86">
                  <c:v>91.601411356460233</c:v>
                </c:pt>
                <c:pt idx="87">
                  <c:v>92.165683667156316</c:v>
                </c:pt>
                <c:pt idx="88">
                  <c:v>92.73136352479753</c:v>
                </c:pt>
                <c:pt idx="89">
                  <c:v>93.106777094310246</c:v>
                </c:pt>
                <c:pt idx="90">
                  <c:v>93.121419319594096</c:v>
                </c:pt>
                <c:pt idx="91">
                  <c:v>93.085121878945145</c:v>
                </c:pt>
                <c:pt idx="92">
                  <c:v>92.958403981211546</c:v>
                </c:pt>
                <c:pt idx="93">
                  <c:v>92.396824212264818</c:v>
                </c:pt>
                <c:pt idx="94">
                  <c:v>90.323911428040191</c:v>
                </c:pt>
                <c:pt idx="95">
                  <c:v>90.285747135889977</c:v>
                </c:pt>
                <c:pt idx="96">
                  <c:v>90.016155572551639</c:v>
                </c:pt>
                <c:pt idx="97">
                  <c:v>90.690512567519718</c:v>
                </c:pt>
                <c:pt idx="98">
                  <c:v>91.304563500456467</c:v>
                </c:pt>
                <c:pt idx="99">
                  <c:v>91.86499064320553</c:v>
                </c:pt>
                <c:pt idx="100">
                  <c:v>91.712106390485872</c:v>
                </c:pt>
                <c:pt idx="101">
                  <c:v>92.06302169983509</c:v>
                </c:pt>
                <c:pt idx="102">
                  <c:v>92.562711861349626</c:v>
                </c:pt>
                <c:pt idx="103">
                  <c:v>93.026405914099954</c:v>
                </c:pt>
                <c:pt idx="104">
                  <c:v>93.439242181173668</c:v>
                </c:pt>
                <c:pt idx="105">
                  <c:v>93.771449656159845</c:v>
                </c:pt>
                <c:pt idx="106">
                  <c:v>94.080560743389256</c:v>
                </c:pt>
                <c:pt idx="107">
                  <c:v>94.31425430663208</c:v>
                </c:pt>
                <c:pt idx="108">
                  <c:v>94.550437972284541</c:v>
                </c:pt>
                <c:pt idx="109">
                  <c:v>94.812070971600647</c:v>
                </c:pt>
                <c:pt idx="110">
                  <c:v>95.141514762159844</c:v>
                </c:pt>
                <c:pt idx="111">
                  <c:v>95.515352478049849</c:v>
                </c:pt>
                <c:pt idx="112">
                  <c:v>95.900621411914386</c:v>
                </c:pt>
                <c:pt idx="113">
                  <c:v>96.270829753346931</c:v>
                </c:pt>
                <c:pt idx="114">
                  <c:v>96.602674389765184</c:v>
                </c:pt>
                <c:pt idx="115">
                  <c:v>96.977532872853715</c:v>
                </c:pt>
                <c:pt idx="116">
                  <c:v>97.344360160012897</c:v>
                </c:pt>
                <c:pt idx="117">
                  <c:v>97.63898252837663</c:v>
                </c:pt>
                <c:pt idx="118">
                  <c:v>97.917587253989112</c:v>
                </c:pt>
                <c:pt idx="119">
                  <c:v>98.228866030052657</c:v>
                </c:pt>
                <c:pt idx="120">
                  <c:v>98.52494415332616</c:v>
                </c:pt>
                <c:pt idx="121">
                  <c:v>98.779291886785913</c:v>
                </c:pt>
                <c:pt idx="122">
                  <c:v>98.967243230855075</c:v>
                </c:pt>
                <c:pt idx="123">
                  <c:v>99.064357113565393</c:v>
                </c:pt>
                <c:pt idx="124">
                  <c:v>99.180279505236811</c:v>
                </c:pt>
                <c:pt idx="125">
                  <c:v>99.377324099374349</c:v>
                </c:pt>
                <c:pt idx="126">
                  <c:v>99.57274982723338</c:v>
                </c:pt>
                <c:pt idx="127">
                  <c:v>99.763840356217941</c:v>
                </c:pt>
                <c:pt idx="128">
                  <c:v>99.873832845787888</c:v>
                </c:pt>
                <c:pt idx="129">
                  <c:v>99.987660614253699</c:v>
                </c:pt>
                <c:pt idx="130">
                  <c:v>100.08378342418659</c:v>
                </c:pt>
                <c:pt idx="131">
                  <c:v>100.16274274191419</c:v>
                </c:pt>
                <c:pt idx="132">
                  <c:v>100.24546575268646</c:v>
                </c:pt>
                <c:pt idx="133">
                  <c:v>100.31017844142683</c:v>
                </c:pt>
                <c:pt idx="134">
                  <c:v>100.33021530222823</c:v>
                </c:pt>
                <c:pt idx="135">
                  <c:v>100.36915426384006</c:v>
                </c:pt>
                <c:pt idx="136">
                  <c:v>100.4044895380942</c:v>
                </c:pt>
                <c:pt idx="137">
                  <c:v>99.670885012942605</c:v>
                </c:pt>
                <c:pt idx="138">
                  <c:v>97.196822237088426</c:v>
                </c:pt>
                <c:pt idx="139">
                  <c:v>97.632210012771438</c:v>
                </c:pt>
                <c:pt idx="140">
                  <c:v>98.116575777733914</c:v>
                </c:pt>
                <c:pt idx="141">
                  <c:v>98.573220418358119</c:v>
                </c:pt>
                <c:pt idx="142">
                  <c:v>98.920194423582558</c:v>
                </c:pt>
                <c:pt idx="143">
                  <c:v>99.049281004924921</c:v>
                </c:pt>
                <c:pt idx="144">
                  <c:v>99.100320609740564</c:v>
                </c:pt>
                <c:pt idx="145">
                  <c:v>98.44302554324338</c:v>
                </c:pt>
                <c:pt idx="146">
                  <c:v>98.507021635395688</c:v>
                </c:pt>
                <c:pt idx="147">
                  <c:v>98.642921891717307</c:v>
                </c:pt>
                <c:pt idx="148">
                  <c:v>98.950847019834342</c:v>
                </c:pt>
                <c:pt idx="149">
                  <c:v>99.233067465767363</c:v>
                </c:pt>
                <c:pt idx="150">
                  <c:v>99.325706700822664</c:v>
                </c:pt>
                <c:pt idx="151">
                  <c:v>99.349673336332344</c:v>
                </c:pt>
                <c:pt idx="152">
                  <c:v>99.464756640753848</c:v>
                </c:pt>
                <c:pt idx="153">
                  <c:v>99.622236150523378</c:v>
                </c:pt>
                <c:pt idx="154">
                  <c:v>99.72517527707754</c:v>
                </c:pt>
                <c:pt idx="155">
                  <c:v>99.697756877842409</c:v>
                </c:pt>
                <c:pt idx="156">
                  <c:v>99.75958051237302</c:v>
                </c:pt>
                <c:pt idx="157">
                  <c:v>99.870156240072902</c:v>
                </c:pt>
                <c:pt idx="158">
                  <c:v>99.981452842144591</c:v>
                </c:pt>
                <c:pt idx="159">
                  <c:v>100.05107869638547</c:v>
                </c:pt>
                <c:pt idx="160">
                  <c:v>100.08186568064089</c:v>
                </c:pt>
                <c:pt idx="161">
                  <c:v>100.00973207589534</c:v>
                </c:pt>
                <c:pt idx="162">
                  <c:v>100.01790980011039</c:v>
                </c:pt>
                <c:pt idx="163">
                  <c:v>100.09120934187631</c:v>
                </c:pt>
                <c:pt idx="164">
                  <c:v>100.14275770678179</c:v>
                </c:pt>
                <c:pt idx="165">
                  <c:v>100.19096652817693</c:v>
                </c:pt>
                <c:pt idx="166">
                  <c:v>100.22708001889143</c:v>
                </c:pt>
                <c:pt idx="167">
                  <c:v>100.27669280231331</c:v>
                </c:pt>
                <c:pt idx="168">
                  <c:v>100.35854053744156</c:v>
                </c:pt>
                <c:pt idx="169">
                  <c:v>100.10561702528001</c:v>
                </c:pt>
                <c:pt idx="170">
                  <c:v>99.72269151544829</c:v>
                </c:pt>
                <c:pt idx="171">
                  <c:v>99.624045984459187</c:v>
                </c:pt>
                <c:pt idx="172">
                  <c:v>99.353553259437987</c:v>
                </c:pt>
                <c:pt idx="173">
                  <c:v>98.180338630615466</c:v>
                </c:pt>
                <c:pt idx="174">
                  <c:v>97.49514419947117</c:v>
                </c:pt>
                <c:pt idx="175">
                  <c:v>96.82309593602983</c:v>
                </c:pt>
                <c:pt idx="176">
                  <c:v>96.389626771874958</c:v>
                </c:pt>
                <c:pt idx="177">
                  <c:v>94.541163965998365</c:v>
                </c:pt>
                <c:pt idx="178">
                  <c:v>94.204824720980554</c:v>
                </c:pt>
                <c:pt idx="179">
                  <c:v>93.906392818750064</c:v>
                </c:pt>
                <c:pt idx="180">
                  <c:v>93.811815897016359</c:v>
                </c:pt>
                <c:pt idx="181">
                  <c:v>94.15711323250062</c:v>
                </c:pt>
                <c:pt idx="182">
                  <c:v>92.559642457619248</c:v>
                </c:pt>
                <c:pt idx="183">
                  <c:v>92.377646463312971</c:v>
                </c:pt>
                <c:pt idx="184">
                  <c:v>93.025909610084582</c:v>
                </c:pt>
                <c:pt idx="185">
                  <c:v>92.675621600409428</c:v>
                </c:pt>
                <c:pt idx="186">
                  <c:v>93.167599106104774</c:v>
                </c:pt>
                <c:pt idx="187">
                  <c:v>93.6881555177617</c:v>
                </c:pt>
                <c:pt idx="188">
                  <c:v>92.292540301594144</c:v>
                </c:pt>
                <c:pt idx="189">
                  <c:v>92.732492777289025</c:v>
                </c:pt>
                <c:pt idx="190">
                  <c:v>93.243573847419995</c:v>
                </c:pt>
                <c:pt idx="191">
                  <c:v>93.158801489074307</c:v>
                </c:pt>
                <c:pt idx="192">
                  <c:v>93.071761392364479</c:v>
                </c:pt>
                <c:pt idx="193">
                  <c:v>92.032259400786558</c:v>
                </c:pt>
                <c:pt idx="194">
                  <c:v>92.618754704945388</c:v>
                </c:pt>
                <c:pt idx="195">
                  <c:v>93.071827128080756</c:v>
                </c:pt>
                <c:pt idx="196">
                  <c:v>93.462212345957084</c:v>
                </c:pt>
                <c:pt idx="197">
                  <c:v>93.991830200179436</c:v>
                </c:pt>
                <c:pt idx="198">
                  <c:v>94.446302240042598</c:v>
                </c:pt>
                <c:pt idx="199">
                  <c:v>94.929454875626348</c:v>
                </c:pt>
                <c:pt idx="200">
                  <c:v>95.249512328831557</c:v>
                </c:pt>
                <c:pt idx="201">
                  <c:v>93.929578723484582</c:v>
                </c:pt>
                <c:pt idx="202">
                  <c:v>93.151713056809243</c:v>
                </c:pt>
                <c:pt idx="203">
                  <c:v>93.705254459629145</c:v>
                </c:pt>
                <c:pt idx="204">
                  <c:v>94.036136659939871</c:v>
                </c:pt>
                <c:pt idx="205">
                  <c:v>94.29960084474277</c:v>
                </c:pt>
                <c:pt idx="206">
                  <c:v>94.278701180988023</c:v>
                </c:pt>
                <c:pt idx="207">
                  <c:v>93.834755323881737</c:v>
                </c:pt>
                <c:pt idx="208">
                  <c:v>92.360737414278375</c:v>
                </c:pt>
                <c:pt idx="209">
                  <c:v>91.974575319932683</c:v>
                </c:pt>
                <c:pt idx="210">
                  <c:v>92.460400343685379</c:v>
                </c:pt>
                <c:pt idx="211">
                  <c:v>92.939268383268669</c:v>
                </c:pt>
                <c:pt idx="212">
                  <c:v>93.493390283832809</c:v>
                </c:pt>
                <c:pt idx="213">
                  <c:v>93.995006207359339</c:v>
                </c:pt>
                <c:pt idx="214">
                  <c:v>95.160271142337081</c:v>
                </c:pt>
                <c:pt idx="215">
                  <c:v>95.262540541044714</c:v>
                </c:pt>
                <c:pt idx="216">
                  <c:v>95.375883862052731</c:v>
                </c:pt>
                <c:pt idx="217">
                  <c:v>95.486965930151939</c:v>
                </c:pt>
                <c:pt idx="218">
                  <c:v>95.617763688252325</c:v>
                </c:pt>
                <c:pt idx="219">
                  <c:v>95.143720770707716</c:v>
                </c:pt>
                <c:pt idx="220">
                  <c:v>92.829972638373192</c:v>
                </c:pt>
                <c:pt idx="221">
                  <c:v>93.14576609721189</c:v>
                </c:pt>
                <c:pt idx="222">
                  <c:v>93.488495503376214</c:v>
                </c:pt>
                <c:pt idx="223">
                  <c:v>93.648248330156875</c:v>
                </c:pt>
                <c:pt idx="224">
                  <c:v>93.668332276749936</c:v>
                </c:pt>
                <c:pt idx="225">
                  <c:v>93.811946256347525</c:v>
                </c:pt>
                <c:pt idx="226">
                  <c:v>94.016350463087178</c:v>
                </c:pt>
                <c:pt idx="227">
                  <c:v>94.280974922123647</c:v>
                </c:pt>
                <c:pt idx="228">
                  <c:v>94.23530130287827</c:v>
                </c:pt>
                <c:pt idx="229">
                  <c:v>93.41796599909749</c:v>
                </c:pt>
                <c:pt idx="230">
                  <c:v>93.227032908320183</c:v>
                </c:pt>
                <c:pt idx="231">
                  <c:v>93.597283209965198</c:v>
                </c:pt>
                <c:pt idx="232">
                  <c:v>93.918955258514558</c:v>
                </c:pt>
                <c:pt idx="233">
                  <c:v>94.15542671703011</c:v>
                </c:pt>
                <c:pt idx="234">
                  <c:v>94.346994700358735</c:v>
                </c:pt>
                <c:pt idx="235">
                  <c:v>94.509470255897909</c:v>
                </c:pt>
                <c:pt idx="236">
                  <c:v>94.644659576328834</c:v>
                </c:pt>
                <c:pt idx="237">
                  <c:v>94.764713460188318</c:v>
                </c:pt>
                <c:pt idx="238">
                  <c:v>94.895455869856718</c:v>
                </c:pt>
                <c:pt idx="239">
                  <c:v>95.032573333531658</c:v>
                </c:pt>
                <c:pt idx="240">
                  <c:v>95.133008755156496</c:v>
                </c:pt>
                <c:pt idx="241">
                  <c:v>95.142129537303006</c:v>
                </c:pt>
                <c:pt idx="242">
                  <c:v>95.225997521179991</c:v>
                </c:pt>
                <c:pt idx="243">
                  <c:v>95.376022541076054</c:v>
                </c:pt>
                <c:pt idx="244">
                  <c:v>95.590753383395366</c:v>
                </c:pt>
                <c:pt idx="245">
                  <c:v>95.812591477489278</c:v>
                </c:pt>
                <c:pt idx="246">
                  <c:v>95.996845474983147</c:v>
                </c:pt>
                <c:pt idx="247">
                  <c:v>96.206368734841647</c:v>
                </c:pt>
                <c:pt idx="248">
                  <c:v>96.457005645054124</c:v>
                </c:pt>
                <c:pt idx="249">
                  <c:v>96.731067844200581</c:v>
                </c:pt>
                <c:pt idx="250">
                  <c:v>96.798814394541395</c:v>
                </c:pt>
                <c:pt idx="251">
                  <c:v>96.716108596345833</c:v>
                </c:pt>
                <c:pt idx="252">
                  <c:v>96.567025598299224</c:v>
                </c:pt>
                <c:pt idx="253">
                  <c:v>96.506118664100995</c:v>
                </c:pt>
                <c:pt idx="254">
                  <c:v>96.534171265717404</c:v>
                </c:pt>
                <c:pt idx="255">
                  <c:v>96.436010779119542</c:v>
                </c:pt>
                <c:pt idx="256">
                  <c:v>95.067231321045966</c:v>
                </c:pt>
                <c:pt idx="257">
                  <c:v>92.867638000913004</c:v>
                </c:pt>
                <c:pt idx="258">
                  <c:v>91.44001692746258</c:v>
                </c:pt>
                <c:pt idx="259">
                  <c:v>91.753782775830928</c:v>
                </c:pt>
                <c:pt idx="260">
                  <c:v>91.556978341954078</c:v>
                </c:pt>
                <c:pt idx="261">
                  <c:v>91.179512252189298</c:v>
                </c:pt>
                <c:pt idx="262">
                  <c:v>90.828472496367169</c:v>
                </c:pt>
                <c:pt idx="263">
                  <c:v>91.003156527215765</c:v>
                </c:pt>
                <c:pt idx="264">
                  <c:v>90.478283249163113</c:v>
                </c:pt>
                <c:pt idx="265">
                  <c:v>90.786150712667236</c:v>
                </c:pt>
                <c:pt idx="266">
                  <c:v>91.141009887611986</c:v>
                </c:pt>
                <c:pt idx="267">
                  <c:v>90.9877120362477</c:v>
                </c:pt>
                <c:pt idx="268">
                  <c:v>90.644225733610057</c:v>
                </c:pt>
                <c:pt idx="269">
                  <c:v>90.56953894473169</c:v>
                </c:pt>
                <c:pt idx="270">
                  <c:v>90.765217738586131</c:v>
                </c:pt>
                <c:pt idx="271">
                  <c:v>91.914849681549839</c:v>
                </c:pt>
                <c:pt idx="272">
                  <c:v>92.120808301515382</c:v>
                </c:pt>
                <c:pt idx="273">
                  <c:v>91.976104804542103</c:v>
                </c:pt>
                <c:pt idx="274">
                  <c:v>91.849283827515052</c:v>
                </c:pt>
                <c:pt idx="275">
                  <c:v>91.950816783977501</c:v>
                </c:pt>
                <c:pt idx="276">
                  <c:v>92.022167616823069</c:v>
                </c:pt>
                <c:pt idx="277">
                  <c:v>91.518330116839721</c:v>
                </c:pt>
                <c:pt idx="278">
                  <c:v>90.62155941442478</c:v>
                </c:pt>
                <c:pt idx="279">
                  <c:v>90.178499669933061</c:v>
                </c:pt>
                <c:pt idx="280">
                  <c:v>90.672672634787432</c:v>
                </c:pt>
                <c:pt idx="281">
                  <c:v>90.461430862141896</c:v>
                </c:pt>
                <c:pt idx="282">
                  <c:v>89.868841791567519</c:v>
                </c:pt>
                <c:pt idx="283">
                  <c:v>90.006921378325586</c:v>
                </c:pt>
                <c:pt idx="284">
                  <c:v>90.412510935092598</c:v>
                </c:pt>
                <c:pt idx="285">
                  <c:v>89.914709576487752</c:v>
                </c:pt>
                <c:pt idx="286">
                  <c:v>89.744056078347796</c:v>
                </c:pt>
                <c:pt idx="287">
                  <c:v>89.787692438573714</c:v>
                </c:pt>
                <c:pt idx="288">
                  <c:v>89.862776193012323</c:v>
                </c:pt>
                <c:pt idx="289">
                  <c:v>89.700321767090543</c:v>
                </c:pt>
                <c:pt idx="290">
                  <c:v>90.060247874752562</c:v>
                </c:pt>
                <c:pt idx="291">
                  <c:v>90.280566702121703</c:v>
                </c:pt>
                <c:pt idx="292">
                  <c:v>89.69172323621865</c:v>
                </c:pt>
                <c:pt idx="293">
                  <c:v>89.5725617057264</c:v>
                </c:pt>
                <c:pt idx="294">
                  <c:v>89.58718570370371</c:v>
                </c:pt>
                <c:pt idx="295">
                  <c:v>88.991030847111944</c:v>
                </c:pt>
                <c:pt idx="296">
                  <c:v>89.182186038950448</c:v>
                </c:pt>
                <c:pt idx="297">
                  <c:v>89.629986874134488</c:v>
                </c:pt>
                <c:pt idx="298">
                  <c:v>89.754985881304691</c:v>
                </c:pt>
                <c:pt idx="299">
                  <c:v>89.855436485958592</c:v>
                </c:pt>
                <c:pt idx="300">
                  <c:v>90.042124114191921</c:v>
                </c:pt>
                <c:pt idx="301">
                  <c:v>90.297322635501033</c:v>
                </c:pt>
                <c:pt idx="302">
                  <c:v>90.112759536408277</c:v>
                </c:pt>
                <c:pt idx="303">
                  <c:v>89.193993773730384</c:v>
                </c:pt>
                <c:pt idx="304">
                  <c:v>89.384812051938852</c:v>
                </c:pt>
                <c:pt idx="305">
                  <c:v>89.677643555126892</c:v>
                </c:pt>
                <c:pt idx="306">
                  <c:v>89.620907866315449</c:v>
                </c:pt>
                <c:pt idx="307">
                  <c:v>89.59590581572958</c:v>
                </c:pt>
                <c:pt idx="308">
                  <c:v>89.555402577401239</c:v>
                </c:pt>
                <c:pt idx="309">
                  <c:v>89.561381559931959</c:v>
                </c:pt>
                <c:pt idx="310">
                  <c:v>89.311431297727225</c:v>
                </c:pt>
                <c:pt idx="311">
                  <c:v>89.152968934559283</c:v>
                </c:pt>
                <c:pt idx="312">
                  <c:v>89.394067820603681</c:v>
                </c:pt>
                <c:pt idx="313">
                  <c:v>89.466308706972242</c:v>
                </c:pt>
                <c:pt idx="314">
                  <c:v>89.604780844289238</c:v>
                </c:pt>
                <c:pt idx="315">
                  <c:v>89.744617179977098</c:v>
                </c:pt>
                <c:pt idx="316">
                  <c:v>89.885540771401836</c:v>
                </c:pt>
                <c:pt idx="317">
                  <c:v>89.776159375276777</c:v>
                </c:pt>
                <c:pt idx="318">
                  <c:v>89.15938745891215</c:v>
                </c:pt>
                <c:pt idx="319">
                  <c:v>89.097344232012318</c:v>
                </c:pt>
                <c:pt idx="320">
                  <c:v>88.656191926177499</c:v>
                </c:pt>
                <c:pt idx="321">
                  <c:v>88.840737607239745</c:v>
                </c:pt>
                <c:pt idx="322">
                  <c:v>88.951095238475915</c:v>
                </c:pt>
                <c:pt idx="323">
                  <c:v>88.86268856142182</c:v>
                </c:pt>
                <c:pt idx="324">
                  <c:v>88.95794248551924</c:v>
                </c:pt>
                <c:pt idx="325">
                  <c:v>89.193487345259015</c:v>
                </c:pt>
                <c:pt idx="326">
                  <c:v>89.408779888667411</c:v>
                </c:pt>
                <c:pt idx="327">
                  <c:v>89.400628901016503</c:v>
                </c:pt>
                <c:pt idx="328">
                  <c:v>89.175456104341293</c:v>
                </c:pt>
                <c:pt idx="329">
                  <c:v>89.376019445127795</c:v>
                </c:pt>
                <c:pt idx="330">
                  <c:v>89.543714888700322</c:v>
                </c:pt>
                <c:pt idx="331">
                  <c:v>88.935025631751998</c:v>
                </c:pt>
                <c:pt idx="332">
                  <c:v>88.8544480977624</c:v>
                </c:pt>
                <c:pt idx="333">
                  <c:v>88.650972250610266</c:v>
                </c:pt>
                <c:pt idx="334">
                  <c:v>88.983592330835663</c:v>
                </c:pt>
                <c:pt idx="335">
                  <c:v>88.793799235999117</c:v>
                </c:pt>
                <c:pt idx="336">
                  <c:v>88.840115077645009</c:v>
                </c:pt>
                <c:pt idx="337">
                  <c:v>89.125023608129553</c:v>
                </c:pt>
                <c:pt idx="338">
                  <c:v>89.168453411514164</c:v>
                </c:pt>
                <c:pt idx="339">
                  <c:v>89.163174530639537</c:v>
                </c:pt>
                <c:pt idx="340">
                  <c:v>89.158244473776222</c:v>
                </c:pt>
                <c:pt idx="341">
                  <c:v>89.167420889757395</c:v>
                </c:pt>
                <c:pt idx="342">
                  <c:v>89.176599194857758</c:v>
                </c:pt>
                <c:pt idx="343">
                  <c:v>89.185779389660766</c:v>
                </c:pt>
                <c:pt idx="344">
                  <c:v>89.19496147475013</c:v>
                </c:pt>
                <c:pt idx="345">
                  <c:v>89.204145450709731</c:v>
                </c:pt>
                <c:pt idx="346">
                  <c:v>89.213331318123721</c:v>
                </c:pt>
                <c:pt idx="347">
                  <c:v>89.22251907757645</c:v>
                </c:pt>
                <c:pt idx="348">
                  <c:v>89.231708729652553</c:v>
                </c:pt>
                <c:pt idx="349">
                  <c:v>89.240900274936891</c:v>
                </c:pt>
                <c:pt idx="350">
                  <c:v>89.250093714014582</c:v>
                </c:pt>
                <c:pt idx="351">
                  <c:v>89.259289047470958</c:v>
                </c:pt>
                <c:pt idx="352">
                  <c:v>89.375565880854126</c:v>
                </c:pt>
                <c:pt idx="353">
                  <c:v>89.451713254854212</c:v>
                </c:pt>
                <c:pt idx="354">
                  <c:v>89.620678383164062</c:v>
                </c:pt>
                <c:pt idx="355">
                  <c:v>89.36266129852055</c:v>
                </c:pt>
                <c:pt idx="356">
                  <c:v>89.47788969331468</c:v>
                </c:pt>
                <c:pt idx="357">
                  <c:v>89.757619983899133</c:v>
                </c:pt>
                <c:pt idx="358">
                  <c:v>89.888226610415231</c:v>
                </c:pt>
                <c:pt idx="359">
                  <c:v>89.978559937166978</c:v>
                </c:pt>
                <c:pt idx="360">
                  <c:v>90.100901191069198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8C3-4658-BD55-03C7F1D33A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0887920"/>
        <c:axId val="1786283104"/>
      </c:scatterChart>
      <c:valAx>
        <c:axId val="850887920"/>
        <c:scaling>
          <c:orientation val="minMax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6283104"/>
        <c:crosses val="autoZero"/>
        <c:crossBetween val="midCat"/>
      </c:valAx>
      <c:valAx>
        <c:axId val="1786283104"/>
        <c:scaling>
          <c:orientation val="minMax"/>
          <c:max val="110"/>
          <c:min val="8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MIRA_EGR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08879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8110936132983366"/>
                  <c:y val="0.1604199475065616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selhausen_SM_EGR_daily!$D$8:$D$400</c:f>
              <c:numCache>
                <c:formatCode>General</c:formatCode>
                <c:ptCount val="393"/>
                <c:pt idx="0">
                  <c:v>35.267864366824199</c:v>
                </c:pt>
                <c:pt idx="1">
                  <c:v>35.1993709636075</c:v>
                </c:pt>
                <c:pt idx="2">
                  <c:v>34.623326589406403</c:v>
                </c:pt>
                <c:pt idx="3">
                  <c:v>34.047282215205399</c:v>
                </c:pt>
                <c:pt idx="4">
                  <c:v>33.471237841004303</c:v>
                </c:pt>
                <c:pt idx="5">
                  <c:v>32.895193466803299</c:v>
                </c:pt>
                <c:pt idx="6">
                  <c:v>32.731530427774302</c:v>
                </c:pt>
                <c:pt idx="7">
                  <c:v>32.596651251184497</c:v>
                </c:pt>
                <c:pt idx="8">
                  <c:v>32.4536587751696</c:v>
                </c:pt>
                <c:pt idx="9">
                  <c:v>32.176603565747101</c:v>
                </c:pt>
                <c:pt idx="10">
                  <c:v>31.936275817145599</c:v>
                </c:pt>
                <c:pt idx="11">
                  <c:v>31.824461490872402</c:v>
                </c:pt>
                <c:pt idx="12">
                  <c:v>31.659673067343999</c:v>
                </c:pt>
                <c:pt idx="13">
                  <c:v>31.473443625845999</c:v>
                </c:pt>
                <c:pt idx="14">
                  <c:v>31.851141941655001</c:v>
                </c:pt>
                <c:pt idx="15">
                  <c:v>31.8194347825062</c:v>
                </c:pt>
                <c:pt idx="16">
                  <c:v>31.599505151353402</c:v>
                </c:pt>
                <c:pt idx="17">
                  <c:v>31.463331280833</c:v>
                </c:pt>
                <c:pt idx="18">
                  <c:v>33.151635158716701</c:v>
                </c:pt>
                <c:pt idx="19">
                  <c:v>32.998640120501001</c:v>
                </c:pt>
                <c:pt idx="20">
                  <c:v>32.794448674991102</c:v>
                </c:pt>
                <c:pt idx="21">
                  <c:v>32.166767682053397</c:v>
                </c:pt>
                <c:pt idx="22">
                  <c:v>31.524188101936598</c:v>
                </c:pt>
                <c:pt idx="23">
                  <c:v>31.138822162791101</c:v>
                </c:pt>
                <c:pt idx="24">
                  <c:v>30.705000572561101</c:v>
                </c:pt>
                <c:pt idx="25">
                  <c:v>30.488454813834799</c:v>
                </c:pt>
                <c:pt idx="26">
                  <c:v>30.405468680709301</c:v>
                </c:pt>
                <c:pt idx="27">
                  <c:v>30.4157502506878</c:v>
                </c:pt>
                <c:pt idx="28">
                  <c:v>30.3620788052596</c:v>
                </c:pt>
                <c:pt idx="29">
                  <c:v>30.335750368182499</c:v>
                </c:pt>
                <c:pt idx="30">
                  <c:v>32.315058318218497</c:v>
                </c:pt>
                <c:pt idx="31">
                  <c:v>36.337446053406097</c:v>
                </c:pt>
                <c:pt idx="32">
                  <c:v>37.0493163861155</c:v>
                </c:pt>
                <c:pt idx="33">
                  <c:v>37.159532534574801</c:v>
                </c:pt>
                <c:pt idx="34">
                  <c:v>36.058666854678798</c:v>
                </c:pt>
                <c:pt idx="35">
                  <c:v>35.3272768251298</c:v>
                </c:pt>
                <c:pt idx="36">
                  <c:v>34.870909228816899</c:v>
                </c:pt>
                <c:pt idx="37">
                  <c:v>36.107426871348601</c:v>
                </c:pt>
                <c:pt idx="38">
                  <c:v>36.894246105104102</c:v>
                </c:pt>
                <c:pt idx="39">
                  <c:v>35.586914151347898</c:v>
                </c:pt>
                <c:pt idx="40">
                  <c:v>34.740036497319103</c:v>
                </c:pt>
                <c:pt idx="41">
                  <c:v>34.1406571505727</c:v>
                </c:pt>
                <c:pt idx="42">
                  <c:v>33.755179624401798</c:v>
                </c:pt>
                <c:pt idx="43">
                  <c:v>33.440578497936897</c:v>
                </c:pt>
                <c:pt idx="44">
                  <c:v>33.366809618916299</c:v>
                </c:pt>
                <c:pt idx="45">
                  <c:v>33.2781730489151</c:v>
                </c:pt>
                <c:pt idx="46">
                  <c:v>32.989720538044701</c:v>
                </c:pt>
                <c:pt idx="47">
                  <c:v>32.6202136074062</c:v>
                </c:pt>
                <c:pt idx="48">
                  <c:v>32.632159117632497</c:v>
                </c:pt>
                <c:pt idx="49">
                  <c:v>35.194891389522901</c:v>
                </c:pt>
                <c:pt idx="50">
                  <c:v>35.5541925632211</c:v>
                </c:pt>
                <c:pt idx="51">
                  <c:v>34.451621502619801</c:v>
                </c:pt>
                <c:pt idx="52">
                  <c:v>33.918666064892903</c:v>
                </c:pt>
                <c:pt idx="53">
                  <c:v>34.9264315009531</c:v>
                </c:pt>
                <c:pt idx="54">
                  <c:v>35.9720499422329</c:v>
                </c:pt>
                <c:pt idx="55">
                  <c:v>37.452550331109897</c:v>
                </c:pt>
                <c:pt idx="56">
                  <c:v>36.853394534188098</c:v>
                </c:pt>
                <c:pt idx="57">
                  <c:v>35.419109861034798</c:v>
                </c:pt>
                <c:pt idx="58">
                  <c:v>34.230262953228298</c:v>
                </c:pt>
                <c:pt idx="59">
                  <c:v>33.353690098410297</c:v>
                </c:pt>
                <c:pt idx="60">
                  <c:v>32.906982665148497</c:v>
                </c:pt>
                <c:pt idx="61">
                  <c:v>34.001598062262502</c:v>
                </c:pt>
                <c:pt idx="62">
                  <c:v>33.594117494012103</c:v>
                </c:pt>
                <c:pt idx="63">
                  <c:v>32.863698666536798</c:v>
                </c:pt>
                <c:pt idx="64">
                  <c:v>31.929528519340501</c:v>
                </c:pt>
                <c:pt idx="65">
                  <c:v>31.8187544647027</c:v>
                </c:pt>
                <c:pt idx="66">
                  <c:v>31.978542344228199</c:v>
                </c:pt>
                <c:pt idx="67">
                  <c:v>32.119359103697299</c:v>
                </c:pt>
                <c:pt idx="68">
                  <c:v>31.388270840056101</c:v>
                </c:pt>
                <c:pt idx="69">
                  <c:v>30.826170185197999</c:v>
                </c:pt>
                <c:pt idx="70">
                  <c:v>30.795057920367299</c:v>
                </c:pt>
                <c:pt idx="71">
                  <c:v>31.101263937880301</c:v>
                </c:pt>
                <c:pt idx="72">
                  <c:v>30.589301263243598</c:v>
                </c:pt>
                <c:pt idx="73">
                  <c:v>29.8002461812139</c:v>
                </c:pt>
                <c:pt idx="74">
                  <c:v>29.5227431967092</c:v>
                </c:pt>
                <c:pt idx="75">
                  <c:v>31.740145579730001</c:v>
                </c:pt>
                <c:pt idx="76">
                  <c:v>32.477372669146398</c:v>
                </c:pt>
                <c:pt idx="77">
                  <c:v>31.7710212648884</c:v>
                </c:pt>
                <c:pt idx="78">
                  <c:v>33.994098202371397</c:v>
                </c:pt>
                <c:pt idx="79">
                  <c:v>33.625050559207203</c:v>
                </c:pt>
                <c:pt idx="80">
                  <c:v>32.261598678655503</c:v>
                </c:pt>
                <c:pt idx="81">
                  <c:v>31.270556767525001</c:v>
                </c:pt>
                <c:pt idx="82">
                  <c:v>31.341742482722601</c:v>
                </c:pt>
                <c:pt idx="83">
                  <c:v>31.499305644137699</c:v>
                </c:pt>
                <c:pt idx="84">
                  <c:v>30.844746298729699</c:v>
                </c:pt>
                <c:pt idx="85">
                  <c:v>31.092952604678199</c:v>
                </c:pt>
                <c:pt idx="86">
                  <c:v>32.520759688818899</c:v>
                </c:pt>
                <c:pt idx="87">
                  <c:v>31.125154741045002</c:v>
                </c:pt>
                <c:pt idx="88">
                  <c:v>29.743116706564699</c:v>
                </c:pt>
                <c:pt idx="89">
                  <c:v>28.835197503355001</c:v>
                </c:pt>
                <c:pt idx="90">
                  <c:v>28.7999343310602</c:v>
                </c:pt>
                <c:pt idx="91">
                  <c:v>28.887370540225</c:v>
                </c:pt>
                <c:pt idx="92">
                  <c:v>29.193154150494699</c:v>
                </c:pt>
                <c:pt idx="93">
                  <c:v>30.558400191701999</c:v>
                </c:pt>
                <c:pt idx="94">
                  <c:v>35.7448051577801</c:v>
                </c:pt>
                <c:pt idx="95">
                  <c:v>35.842524481833401</c:v>
                </c:pt>
                <c:pt idx="96">
                  <c:v>36.535171254122901</c:v>
                </c:pt>
                <c:pt idx="97">
                  <c:v>34.810315729182598</c:v>
                </c:pt>
                <c:pt idx="98">
                  <c:v>33.261872706583802</c:v>
                </c:pt>
                <c:pt idx="99">
                  <c:v>31.866719774305999</c:v>
                </c:pt>
                <c:pt idx="100">
                  <c:v>32.245625550981799</c:v>
                </c:pt>
                <c:pt idx="101">
                  <c:v>31.377793676799399</c:v>
                </c:pt>
                <c:pt idx="102">
                  <c:v>30.153389849566299</c:v>
                </c:pt>
                <c:pt idx="103">
                  <c:v>29.028954763539399</c:v>
                </c:pt>
                <c:pt idx="104">
                  <c:v>28.037238426599401</c:v>
                </c:pt>
                <c:pt idx="105">
                  <c:v>27.245549377518198</c:v>
                </c:pt>
                <c:pt idx="106">
                  <c:v>26.513923209679302</c:v>
                </c:pt>
                <c:pt idx="107">
                  <c:v>25.963983990271</c:v>
                </c:pt>
                <c:pt idx="108">
                  <c:v>25.4109470343293</c:v>
                </c:pt>
                <c:pt idx="109">
                  <c:v>24.801535714449901</c:v>
                </c:pt>
                <c:pt idx="110">
                  <c:v>24.038942728144001</c:v>
                </c:pt>
                <c:pt idx="111">
                  <c:v>23.1799587860299</c:v>
                </c:pt>
                <c:pt idx="112">
                  <c:v>22.301716058769902</c:v>
                </c:pt>
                <c:pt idx="113">
                  <c:v>21.4644273422746</c:v>
                </c:pt>
                <c:pt idx="114">
                  <c:v>20.719358996576801</c:v>
                </c:pt>
                <c:pt idx="115">
                  <c:v>19.883847871136499</c:v>
                </c:pt>
                <c:pt idx="116">
                  <c:v>19.0724667794684</c:v>
                </c:pt>
                <c:pt idx="117">
                  <c:v>18.4252096373617</c:v>
                </c:pt>
                <c:pt idx="118">
                  <c:v>17.816724878372401</c:v>
                </c:pt>
                <c:pt idx="119">
                  <c:v>17.1409611910113</c:v>
                </c:pt>
                <c:pt idx="120">
                  <c:v>16.502159339338501</c:v>
                </c:pt>
                <c:pt idx="121">
                  <c:v>15.9564505597438</c:v>
                </c:pt>
                <c:pt idx="122">
                  <c:v>15.5549989264365</c:v>
                </c:pt>
                <c:pt idx="123">
                  <c:v>15.3481669916854</c:v>
                </c:pt>
                <c:pt idx="124">
                  <c:v>15.1018072418783</c:v>
                </c:pt>
                <c:pt idx="125">
                  <c:v>14.684364347253</c:v>
                </c:pt>
                <c:pt idx="126">
                  <c:v>14.2719829044572</c:v>
                </c:pt>
                <c:pt idx="127">
                  <c:v>13.870311719019099</c:v>
                </c:pt>
                <c:pt idx="128">
                  <c:v>13.639805136925499</c:v>
                </c:pt>
                <c:pt idx="129">
                  <c:v>13.40179509969</c:v>
                </c:pt>
                <c:pt idx="130">
                  <c:v>13.2012271610472</c:v>
                </c:pt>
                <c:pt idx="131">
                  <c:v>13.0367602107941</c:v>
                </c:pt>
                <c:pt idx="132">
                  <c:v>12.8647316479148</c:v>
                </c:pt>
                <c:pt idx="133">
                  <c:v>12.7303546672451</c:v>
                </c:pt>
                <c:pt idx="134">
                  <c:v>12.688782936202999</c:v>
                </c:pt>
                <c:pt idx="135">
                  <c:v>12.6080413025986</c:v>
                </c:pt>
                <c:pt idx="136">
                  <c:v>12.534826272679499</c:v>
                </c:pt>
                <c:pt idx="137">
                  <c:v>14.065510931278901</c:v>
                </c:pt>
                <c:pt idx="138">
                  <c:v>19.3980679660086</c:v>
                </c:pt>
                <c:pt idx="139">
                  <c:v>18.4400443392759</c:v>
                </c:pt>
                <c:pt idx="140">
                  <c:v>17.384240805547901</c:v>
                </c:pt>
                <c:pt idx="141">
                  <c:v>16.398364993737701</c:v>
                </c:pt>
                <c:pt idx="142">
                  <c:v>15.6553489222811</c:v>
                </c:pt>
                <c:pt idx="143">
                  <c:v>15.380249305344799</c:v>
                </c:pt>
                <c:pt idx="144">
                  <c:v>15.2716752420641</c:v>
                </c:pt>
                <c:pt idx="145">
                  <c:v>16.6785179219513</c:v>
                </c:pt>
                <c:pt idx="146">
                  <c:v>16.540718787753001</c:v>
                </c:pt>
                <c:pt idx="147">
                  <c:v>16.248685515698298</c:v>
                </c:pt>
                <c:pt idx="148">
                  <c:v>15.589959430437</c:v>
                </c:pt>
                <c:pt idx="149">
                  <c:v>14.9898123244141</c:v>
                </c:pt>
                <c:pt idx="150">
                  <c:v>14.793556725618901</c:v>
                </c:pt>
                <c:pt idx="151">
                  <c:v>14.742843160888899</c:v>
                </c:pt>
                <c:pt idx="152">
                  <c:v>14.499666533743699</c:v>
                </c:pt>
                <c:pt idx="153">
                  <c:v>14.1678150842577</c:v>
                </c:pt>
                <c:pt idx="154">
                  <c:v>13.951461268176899</c:v>
                </c:pt>
                <c:pt idx="155">
                  <c:v>14.0090446378438</c:v>
                </c:pt>
                <c:pt idx="156">
                  <c:v>13.8792491166662</c:v>
                </c:pt>
                <c:pt idx="157">
                  <c:v>13.6475018409566</c:v>
                </c:pt>
                <c:pt idx="158">
                  <c:v>13.414761370551</c:v>
                </c:pt>
                <c:pt idx="159">
                  <c:v>13.269424938927299</c:v>
                </c:pt>
                <c:pt idx="160">
                  <c:v>13.2052249199362</c:v>
                </c:pt>
                <c:pt idx="161">
                  <c:v>13.3557071277103</c:v>
                </c:pt>
                <c:pt idx="162">
                  <c:v>13.3386361813712</c:v>
                </c:pt>
                <c:pt idx="163">
                  <c:v>13.1857484192771</c:v>
                </c:pt>
                <c:pt idx="164">
                  <c:v>13.0783631808319</c:v>
                </c:pt>
                <c:pt idx="165">
                  <c:v>12.978034852513099</c:v>
                </c:pt>
                <c:pt idx="166">
                  <c:v>12.9029415853653</c:v>
                </c:pt>
                <c:pt idx="167">
                  <c:v>12.799866503661001</c:v>
                </c:pt>
                <c:pt idx="168">
                  <c:v>12.630043115208199</c:v>
                </c:pt>
                <c:pt idx="169">
                  <c:v>13.155723285701299</c:v>
                </c:pt>
                <c:pt idx="170">
                  <c:v>13.956676291902699</c:v>
                </c:pt>
                <c:pt idx="171">
                  <c:v>14.1640073779721</c:v>
                </c:pt>
                <c:pt idx="172">
                  <c:v>14.734635518111</c:v>
                </c:pt>
                <c:pt idx="173">
                  <c:v>17.246028724485999</c:v>
                </c:pt>
                <c:pt idx="174">
                  <c:v>18.7407199599999</c:v>
                </c:pt>
                <c:pt idx="175">
                  <c:v>20.227284219208201</c:v>
                </c:pt>
                <c:pt idx="176">
                  <c:v>21.197110881493</c:v>
                </c:pt>
                <c:pt idx="177">
                  <c:v>25.432610506773901</c:v>
                </c:pt>
                <c:pt idx="178">
                  <c:v>26.221159404808901</c:v>
                </c:pt>
                <c:pt idx="179">
                  <c:v>26.9255638983179</c:v>
                </c:pt>
                <c:pt idx="180">
                  <c:v>27.149733979157901</c:v>
                </c:pt>
                <c:pt idx="181">
                  <c:v>26.333475464708201</c:v>
                </c:pt>
                <c:pt idx="182">
                  <c:v>30.1608705360416</c:v>
                </c:pt>
                <c:pt idx="183">
                  <c:v>30.605315963638802</c:v>
                </c:pt>
                <c:pt idx="184">
                  <c:v>29.030152283597101</c:v>
                </c:pt>
                <c:pt idx="185">
                  <c:v>29.878552974986</c:v>
                </c:pt>
                <c:pt idx="186">
                  <c:v>28.6887912056944</c:v>
                </c:pt>
                <c:pt idx="187">
                  <c:v>27.443521617152701</c:v>
                </c:pt>
                <c:pt idx="188">
                  <c:v>30.813751942416602</c:v>
                </c:pt>
                <c:pt idx="189">
                  <c:v>29.740374642152702</c:v>
                </c:pt>
                <c:pt idx="190">
                  <c:v>28.506178668680398</c:v>
                </c:pt>
                <c:pt idx="191">
                  <c:v>28.709956359611098</c:v>
                </c:pt>
                <c:pt idx="192">
                  <c:v>28.919571531805499</c:v>
                </c:pt>
                <c:pt idx="193">
                  <c:v>31.453605799236001</c:v>
                </c:pt>
                <c:pt idx="194">
                  <c:v>30.016890578944299</c:v>
                </c:pt>
                <c:pt idx="195">
                  <c:v>28.919413075180501</c:v>
                </c:pt>
                <c:pt idx="196">
                  <c:v>27.982316732972102</c:v>
                </c:pt>
                <c:pt idx="197">
                  <c:v>26.7234445732221</c:v>
                </c:pt>
                <c:pt idx="198">
                  <c:v>25.654445621735999</c:v>
                </c:pt>
                <c:pt idx="199">
                  <c:v>24.529209716069399</c:v>
                </c:pt>
                <c:pt idx="200">
                  <c:v>23.790099215638801</c:v>
                </c:pt>
                <c:pt idx="201">
                  <c:v>26.870676620888801</c:v>
                </c:pt>
                <c:pt idx="202">
                  <c:v>28.727012494819299</c:v>
                </c:pt>
                <c:pt idx="203">
                  <c:v>27.4028524032916</c:v>
                </c:pt>
                <c:pt idx="204">
                  <c:v>26.6187733402259</c:v>
                </c:pt>
                <c:pt idx="205">
                  <c:v>25.998387141483601</c:v>
                </c:pt>
                <c:pt idx="206">
                  <c:v>26.047473524138798</c:v>
                </c:pt>
                <c:pt idx="207">
                  <c:v>27.095320503236</c:v>
                </c:pt>
                <c:pt idx="208">
                  <c:v>30.6466978299582</c:v>
                </c:pt>
                <c:pt idx="209">
                  <c:v>31.595901990735999</c:v>
                </c:pt>
                <c:pt idx="210">
                  <c:v>30.4030089779721</c:v>
                </c:pt>
                <c:pt idx="211">
                  <c:v>29.239402826499902</c:v>
                </c:pt>
                <c:pt idx="212">
                  <c:v>27.907813418013799</c:v>
                </c:pt>
                <c:pt idx="213">
                  <c:v>26.7159381721839</c:v>
                </c:pt>
                <c:pt idx="214">
                  <c:v>23.995684525626</c:v>
                </c:pt>
                <c:pt idx="215">
                  <c:v>23.7601182871337</c:v>
                </c:pt>
                <c:pt idx="216">
                  <c:v>23.499634694358502</c:v>
                </c:pt>
                <c:pt idx="217">
                  <c:v>23.244947879529199</c:v>
                </c:pt>
                <c:pt idx="218">
                  <c:v>22.945815931696501</c:v>
                </c:pt>
                <c:pt idx="219">
                  <c:v>24.033854082923799</c:v>
                </c:pt>
                <c:pt idx="220">
                  <c:v>29.503924314726401</c:v>
                </c:pt>
                <c:pt idx="221">
                  <c:v>28.741324029191901</c:v>
                </c:pt>
                <c:pt idx="222">
                  <c:v>27.9195067778133</c:v>
                </c:pt>
                <c:pt idx="223">
                  <c:v>27.538497196261599</c:v>
                </c:pt>
                <c:pt idx="224">
                  <c:v>27.4906890629847</c:v>
                </c:pt>
                <c:pt idx="225">
                  <c:v>27.149424685076301</c:v>
                </c:pt>
                <c:pt idx="226">
                  <c:v>26.665504798477802</c:v>
                </c:pt>
                <c:pt idx="227">
                  <c:v>26.0421322048668</c:v>
                </c:pt>
                <c:pt idx="228">
                  <c:v>26.1494750034615</c:v>
                </c:pt>
                <c:pt idx="229">
                  <c:v>28.088133900033</c:v>
                </c:pt>
                <c:pt idx="230">
                  <c:v>28.5459110472178</c:v>
                </c:pt>
                <c:pt idx="231">
                  <c:v>27.6599074387107</c:v>
                </c:pt>
                <c:pt idx="232">
                  <c:v>26.895821858144199</c:v>
                </c:pt>
                <c:pt idx="233">
                  <c:v>26.3374477187295</c:v>
                </c:pt>
                <c:pt idx="234">
                  <c:v>25.8871552580908</c:v>
                </c:pt>
                <c:pt idx="235">
                  <c:v>25.506677034009101</c:v>
                </c:pt>
                <c:pt idx="236">
                  <c:v>25.191092204862301</c:v>
                </c:pt>
                <c:pt idx="237">
                  <c:v>24.911594257879599</c:v>
                </c:pt>
                <c:pt idx="238">
                  <c:v>24.608016751176201</c:v>
                </c:pt>
                <c:pt idx="239">
                  <c:v>24.290534069230699</c:v>
                </c:pt>
                <c:pt idx="240">
                  <c:v>24.058565918509199</c:v>
                </c:pt>
                <c:pt idx="241">
                  <c:v>24.037524589978499</c:v>
                </c:pt>
                <c:pt idx="242">
                  <c:v>23.8442329907048</c:v>
                </c:pt>
                <c:pt idx="243">
                  <c:v>23.499316363920698</c:v>
                </c:pt>
                <c:pt idx="244">
                  <c:v>23.0075209086279</c:v>
                </c:pt>
                <c:pt idx="245">
                  <c:v>22.5017628295058</c:v>
                </c:pt>
                <c:pt idx="246">
                  <c:v>22.083467953183</c:v>
                </c:pt>
                <c:pt idx="247">
                  <c:v>21.609753503034899</c:v>
                </c:pt>
                <c:pt idx="248">
                  <c:v>21.0457879157969</c:v>
                </c:pt>
                <c:pt idx="249">
                  <c:v>20.4324574252689</c:v>
                </c:pt>
                <c:pt idx="250">
                  <c:v>20.281381125061799</c:v>
                </c:pt>
                <c:pt idx="251">
                  <c:v>20.465845404642501</c:v>
                </c:pt>
                <c:pt idx="252">
                  <c:v>20.799153317267098</c:v>
                </c:pt>
                <c:pt idx="253">
                  <c:v>20.9356204951224</c:v>
                </c:pt>
                <c:pt idx="254">
                  <c:v>20.872744858217601</c:v>
                </c:pt>
                <c:pt idx="255">
                  <c:v>21.0929165949312</c:v>
                </c:pt>
                <c:pt idx="256">
                  <c:v>24.210431733414801</c:v>
                </c:pt>
                <c:pt idx="257">
                  <c:v>29.412694938656099</c:v>
                </c:pt>
                <c:pt idx="258">
                  <c:v>32.923101578848701</c:v>
                </c:pt>
                <c:pt idx="259">
                  <c:v>32.142210303991497</c:v>
                </c:pt>
                <c:pt idx="260">
                  <c:v>32.631385721304099</c:v>
                </c:pt>
                <c:pt idx="261">
                  <c:v>33.575521381364801</c:v>
                </c:pt>
                <c:pt idx="262">
                  <c:v>34.460600721793199</c:v>
                </c:pt>
                <c:pt idx="263">
                  <c:v>34.0193149623856</c:v>
                </c:pt>
                <c:pt idx="264">
                  <c:v>35.350378631574301</c:v>
                </c:pt>
                <c:pt idx="265">
                  <c:v>34.567769313829501</c:v>
                </c:pt>
                <c:pt idx="266">
                  <c:v>33.672264810191301</c:v>
                </c:pt>
                <c:pt idx="267">
                  <c:v>34.058262461225901</c:v>
                </c:pt>
                <c:pt idx="268">
                  <c:v>34.927886847788798</c:v>
                </c:pt>
                <c:pt idx="269">
                  <c:v>35.117848816544999</c:v>
                </c:pt>
                <c:pt idx="270">
                  <c:v>34.620813410053501</c:v>
                </c:pt>
                <c:pt idx="271">
                  <c:v>31.7434225339444</c:v>
                </c:pt>
                <c:pt idx="272">
                  <c:v>31.2355184243332</c:v>
                </c:pt>
                <c:pt idx="273">
                  <c:v>31.592126725388798</c:v>
                </c:pt>
                <c:pt idx="274">
                  <c:v>31.905589145333199</c:v>
                </c:pt>
                <c:pt idx="275">
                  <c:v>31.654561910888798</c:v>
                </c:pt>
                <c:pt idx="276">
                  <c:v>31.478487529444301</c:v>
                </c:pt>
                <c:pt idx="277">
                  <c:v>32.727696565735997</c:v>
                </c:pt>
                <c:pt idx="278">
                  <c:v>34.985504359694303</c:v>
                </c:pt>
                <c:pt idx="279">
                  <c:v>36.117573445284599</c:v>
                </c:pt>
                <c:pt idx="280">
                  <c:v>34.855615928611002</c:v>
                </c:pt>
                <c:pt idx="281">
                  <c:v>35.393371734930398</c:v>
                </c:pt>
                <c:pt idx="282">
                  <c:v>36.915412255999399</c:v>
                </c:pt>
                <c:pt idx="283">
                  <c:v>36.5589696569632</c:v>
                </c:pt>
                <c:pt idx="284">
                  <c:v>35.518264992157199</c:v>
                </c:pt>
                <c:pt idx="285">
                  <c:v>36.796886413280298</c:v>
                </c:pt>
                <c:pt idx="286">
                  <c:v>37.2384811923638</c:v>
                </c:pt>
                <c:pt idx="287">
                  <c:v>37.1254049966279</c:v>
                </c:pt>
                <c:pt idx="288">
                  <c:v>36.931095282001898</c:v>
                </c:pt>
                <c:pt idx="289">
                  <c:v>37.351921598185697</c:v>
                </c:pt>
                <c:pt idx="290">
                  <c:v>36.421603679425097</c:v>
                </c:pt>
                <c:pt idx="291">
                  <c:v>35.855795303946202</c:v>
                </c:pt>
                <c:pt idx="292">
                  <c:v>37.374237942877102</c:v>
                </c:pt>
                <c:pt idx="293">
                  <c:v>37.683946984656302</c:v>
                </c:pt>
                <c:pt idx="294">
                  <c:v>37.645893852925099</c:v>
                </c:pt>
                <c:pt idx="295">
                  <c:v>39.207286499989003</c:v>
                </c:pt>
                <c:pt idx="296">
                  <c:v>38.704357218372998</c:v>
                </c:pt>
                <c:pt idx="297">
                  <c:v>37.534592205244998</c:v>
                </c:pt>
                <c:pt idx="298">
                  <c:v>37.210148148726198</c:v>
                </c:pt>
                <c:pt idx="299">
                  <c:v>36.950075435126202</c:v>
                </c:pt>
                <c:pt idx="300">
                  <c:v>36.4682711885836</c:v>
                </c:pt>
                <c:pt idx="301">
                  <c:v>35.812876792585598</c:v>
                </c:pt>
                <c:pt idx="302">
                  <c:v>36.286495541424202</c:v>
                </c:pt>
                <c:pt idx="303">
                  <c:v>38.6733617616187</c:v>
                </c:pt>
                <c:pt idx="304">
                  <c:v>38.173596798364102</c:v>
                </c:pt>
                <c:pt idx="305">
                  <c:v>37.410789125817097</c:v>
                </c:pt>
                <c:pt idx="306">
                  <c:v>37.5581926883549</c:v>
                </c:pt>
                <c:pt idx="307">
                  <c:v>37.623209145579402</c:v>
                </c:pt>
                <c:pt idx="308">
                  <c:v>37.728612629846602</c:v>
                </c:pt>
                <c:pt idx="309">
                  <c:v>37.71304724422</c:v>
                </c:pt>
                <c:pt idx="310">
                  <c:v>38.3655328539027</c:v>
                </c:pt>
                <c:pt idx="311">
                  <c:v>38.781087788155801</c:v>
                </c:pt>
                <c:pt idx="312">
                  <c:v>38.149409618447699</c:v>
                </c:pt>
                <c:pt idx="313">
                  <c:v>37.960801656700298</c:v>
                </c:pt>
                <c:pt idx="314">
                  <c:v>37.600125968260897</c:v>
                </c:pt>
                <c:pt idx="315">
                  <c:v>37.237026495168998</c:v>
                </c:pt>
                <c:pt idx="316">
                  <c:v>36.872246819696002</c:v>
                </c:pt>
                <c:pt idx="317">
                  <c:v>37.155280278940801</c:v>
                </c:pt>
                <c:pt idx="318">
                  <c:v>38.764227015145799</c:v>
                </c:pt>
                <c:pt idx="319">
                  <c:v>38.927309649202897</c:v>
                </c:pt>
                <c:pt idx="320">
                  <c:v>40.093474363694497</c:v>
                </c:pt>
                <c:pt idx="321">
                  <c:v>39.604227745787703</c:v>
                </c:pt>
                <c:pt idx="322">
                  <c:v>39.312630048909398</c:v>
                </c:pt>
                <c:pt idx="323">
                  <c:v>39.546169090370498</c:v>
                </c:pt>
                <c:pt idx="324">
                  <c:v>39.294561422320299</c:v>
                </c:pt>
                <c:pt idx="325">
                  <c:v>38.674690974476398</c:v>
                </c:pt>
                <c:pt idx="326">
                  <c:v>38.110974339970902</c:v>
                </c:pt>
                <c:pt idx="327">
                  <c:v>38.132267232782198</c:v>
                </c:pt>
                <c:pt idx="328">
                  <c:v>38.722027056319199</c:v>
                </c:pt>
                <c:pt idx="329">
                  <c:v>38.19657828335</c:v>
                </c:pt>
                <c:pt idx="330">
                  <c:v>37.759045780243902</c:v>
                </c:pt>
                <c:pt idx="331">
                  <c:v>39.355045714738502</c:v>
                </c:pt>
                <c:pt idx="332">
                  <c:v>39.567961146104601</c:v>
                </c:pt>
                <c:pt idx="333">
                  <c:v>40.107341797738101</c:v>
                </c:pt>
                <c:pt idx="334">
                  <c:v>39.226900913212702</c:v>
                </c:pt>
                <c:pt idx="335">
                  <c:v>39.728472595818097</c:v>
                </c:pt>
                <c:pt idx="336">
                  <c:v>39.605874709040499</c:v>
                </c:pt>
                <c:pt idx="337">
                  <c:v>38.854525458881803</c:v>
                </c:pt>
                <c:pt idx="338">
                  <c:v>38.740415868543103</c:v>
                </c:pt>
                <c:pt idx="339">
                  <c:v>38.754279923779698</c:v>
                </c:pt>
                <c:pt idx="340">
                  <c:v>38.767229336483197</c:v>
                </c:pt>
                <c:pt idx="341">
                  <c:v>38.743127476798399</c:v>
                </c:pt>
                <c:pt idx="342">
                  <c:v>38.719025617113701</c:v>
                </c:pt>
                <c:pt idx="343">
                  <c:v>38.694923757429002</c:v>
                </c:pt>
                <c:pt idx="344">
                  <c:v>38.670821897744297</c:v>
                </c:pt>
                <c:pt idx="345">
                  <c:v>38.646720038059598</c:v>
                </c:pt>
                <c:pt idx="346">
                  <c:v>38.6226181783748</c:v>
                </c:pt>
                <c:pt idx="347">
                  <c:v>38.598516318690102</c:v>
                </c:pt>
                <c:pt idx="348">
                  <c:v>38.574414459005403</c:v>
                </c:pt>
                <c:pt idx="349">
                  <c:v>38.550312599320698</c:v>
                </c:pt>
                <c:pt idx="350">
                  <c:v>38.526210739635999</c:v>
                </c:pt>
                <c:pt idx="351">
                  <c:v>38.502108879951301</c:v>
                </c:pt>
                <c:pt idx="352">
                  <c:v>38.197763899757099</c:v>
                </c:pt>
                <c:pt idx="353">
                  <c:v>37.998883200438101</c:v>
                </c:pt>
                <c:pt idx="354">
                  <c:v>37.558789281713203</c:v>
                </c:pt>
                <c:pt idx="355">
                  <c:v>38.231501503208897</c:v>
                </c:pt>
                <c:pt idx="356">
                  <c:v>37.930594108829197</c:v>
                </c:pt>
                <c:pt idx="357">
                  <c:v>37.203320865026697</c:v>
                </c:pt>
                <c:pt idx="358">
                  <c:v>36.8653056525118</c:v>
                </c:pt>
                <c:pt idx="359">
                  <c:v>36.632093418688399</c:v>
                </c:pt>
                <c:pt idx="360">
                  <c:v>36.316992311430297</c:v>
                </c:pt>
              </c:numCache>
            </c:numRef>
          </c:xVal>
          <c:yVal>
            <c:numRef>
              <c:f>selhausen_SM_EGR_daily!$F$8:$F$400</c:f>
              <c:numCache>
                <c:formatCode>General</c:formatCode>
                <c:ptCount val="393"/>
                <c:pt idx="0">
                  <c:v>37.410451286221836</c:v>
                </c:pt>
                <c:pt idx="1">
                  <c:v>35.164110341020482</c:v>
                </c:pt>
                <c:pt idx="2">
                  <c:v>34.26262908398369</c:v>
                </c:pt>
                <c:pt idx="3">
                  <c:v>32.5275126850037</c:v>
                </c:pt>
                <c:pt idx="4">
                  <c:v>32.687438169248942</c:v>
                </c:pt>
                <c:pt idx="5">
                  <c:v>32.533415168973171</c:v>
                </c:pt>
                <c:pt idx="6">
                  <c:v>32.617484833198475</c:v>
                </c:pt>
                <c:pt idx="7">
                  <c:v>31.89828045266313</c:v>
                </c:pt>
                <c:pt idx="8">
                  <c:v>30.063450940538942</c:v>
                </c:pt>
                <c:pt idx="9">
                  <c:v>26.804767434109465</c:v>
                </c:pt>
                <c:pt idx="10">
                  <c:v>25.769574602079182</c:v>
                </c:pt>
                <c:pt idx="11">
                  <c:v>28.225171630326596</c:v>
                </c:pt>
                <c:pt idx="12">
                  <c:v>32.789165140424757</c:v>
                </c:pt>
                <c:pt idx="13">
                  <c:v>35.033424473988163</c:v>
                </c:pt>
                <c:pt idx="14">
                  <c:v>36.129186612629702</c:v>
                </c:pt>
                <c:pt idx="15">
                  <c:v>34.90967013646862</c:v>
                </c:pt>
                <c:pt idx="16">
                  <c:v>31.826051548969875</c:v>
                </c:pt>
                <c:pt idx="17">
                  <c:v>31.378364957015609</c:v>
                </c:pt>
                <c:pt idx="18">
                  <c:v>32.98170034547347</c:v>
                </c:pt>
                <c:pt idx="19">
                  <c:v>36.420029151883377</c:v>
                </c:pt>
                <c:pt idx="20">
                  <c:v>36.404490091016136</c:v>
                </c:pt>
                <c:pt idx="21">
                  <c:v>35.178890433948403</c:v>
                </c:pt>
                <c:pt idx="22">
                  <c:v>34.105060218175545</c:v>
                </c:pt>
                <c:pt idx="23">
                  <c:v>33.399659661457683</c:v>
                </c:pt>
                <c:pt idx="24">
                  <c:v>32.411833469859999</c:v>
                </c:pt>
                <c:pt idx="25">
                  <c:v>32.019606291304093</c:v>
                </c:pt>
                <c:pt idx="26">
                  <c:v>32.2249428149658</c:v>
                </c:pt>
                <c:pt idx="27">
                  <c:v>32.161731591554592</c:v>
                </c:pt>
                <c:pt idx="28">
                  <c:v>32.755131382218593</c:v>
                </c:pt>
                <c:pt idx="29">
                  <c:v>32.414313851500907</c:v>
                </c:pt>
                <c:pt idx="30">
                  <c:v>33.264415915192068</c:v>
                </c:pt>
                <c:pt idx="31">
                  <c:v>35.749676091383051</c:v>
                </c:pt>
                <c:pt idx="32">
                  <c:v>38.289544932277423</c:v>
                </c:pt>
                <c:pt idx="33">
                  <c:v>40.885842307586358</c:v>
                </c:pt>
                <c:pt idx="34">
                  <c:v>39.125507995083829</c:v>
                </c:pt>
                <c:pt idx="35">
                  <c:v>39.285442360385915</c:v>
                </c:pt>
                <c:pt idx="36">
                  <c:v>38.023155706430828</c:v>
                </c:pt>
                <c:pt idx="37">
                  <c:v>39.907039820646013</c:v>
                </c:pt>
                <c:pt idx="38">
                  <c:v>39.051788924697988</c:v>
                </c:pt>
                <c:pt idx="39">
                  <c:v>39.020283792960669</c:v>
                </c:pt>
                <c:pt idx="40">
                  <c:v>37.283425148845446</c:v>
                </c:pt>
                <c:pt idx="41">
                  <c:v>37.078866325811546</c:v>
                </c:pt>
                <c:pt idx="42">
                  <c:v>36.874666806305783</c:v>
                </c:pt>
                <c:pt idx="43">
                  <c:v>36.592810170394493</c:v>
                </c:pt>
                <c:pt idx="44">
                  <c:v>36.358215988775974</c:v>
                </c:pt>
                <c:pt idx="45">
                  <c:v>36.48242998872648</c:v>
                </c:pt>
                <c:pt idx="46">
                  <c:v>36.483443857129195</c:v>
                </c:pt>
                <c:pt idx="47">
                  <c:v>36.304547524533888</c:v>
                </c:pt>
                <c:pt idx="48">
                  <c:v>36.423126665395067</c:v>
                </c:pt>
                <c:pt idx="49">
                  <c:v>38.76635453649758</c:v>
                </c:pt>
                <c:pt idx="50">
                  <c:v>38.601785991368921</c:v>
                </c:pt>
                <c:pt idx="51">
                  <c:v>38.040770696638809</c:v>
                </c:pt>
                <c:pt idx="52">
                  <c:v>37.340196845299801</c:v>
                </c:pt>
                <c:pt idx="53">
                  <c:v>37.769997199741432</c:v>
                </c:pt>
                <c:pt idx="54">
                  <c:v>38.107999253342115</c:v>
                </c:pt>
                <c:pt idx="55">
                  <c:v>38.90073334528261</c:v>
                </c:pt>
                <c:pt idx="56">
                  <c:v>38.399218151855443</c:v>
                </c:pt>
                <c:pt idx="57">
                  <c:v>37.667796804937062</c:v>
                </c:pt>
                <c:pt idx="58">
                  <c:v>35.947242031190036</c:v>
                </c:pt>
                <c:pt idx="59">
                  <c:v>32.791441868070585</c:v>
                </c:pt>
                <c:pt idx="60">
                  <c:v>33.413460664641143</c:v>
                </c:pt>
                <c:pt idx="61">
                  <c:v>35.274715958022682</c:v>
                </c:pt>
                <c:pt idx="62">
                  <c:v>36.959657551175994</c:v>
                </c:pt>
                <c:pt idx="63">
                  <c:v>33.920160050708532</c:v>
                </c:pt>
                <c:pt idx="64">
                  <c:v>31.610435630606197</c:v>
                </c:pt>
                <c:pt idx="65">
                  <c:v>31.040352849206172</c:v>
                </c:pt>
                <c:pt idx="66">
                  <c:v>34.587668364124475</c:v>
                </c:pt>
                <c:pt idx="67">
                  <c:v>33.038784219197517</c:v>
                </c:pt>
                <c:pt idx="68">
                  <c:v>31.391706048230578</c:v>
                </c:pt>
                <c:pt idx="69">
                  <c:v>30.668816889564233</c:v>
                </c:pt>
                <c:pt idx="70">
                  <c:v>31.056190153677036</c:v>
                </c:pt>
                <c:pt idx="71">
                  <c:v>30.765010349109652</c:v>
                </c:pt>
                <c:pt idx="72">
                  <c:v>31.462017566426749</c:v>
                </c:pt>
                <c:pt idx="73">
                  <c:v>30.104275216704814</c:v>
                </c:pt>
                <c:pt idx="74">
                  <c:v>31.274846171829413</c:v>
                </c:pt>
                <c:pt idx="75">
                  <c:v>30.533094995989867</c:v>
                </c:pt>
                <c:pt idx="76">
                  <c:v>31.194833020516437</c:v>
                </c:pt>
                <c:pt idx="77">
                  <c:v>32.891808963432275</c:v>
                </c:pt>
                <c:pt idx="78">
                  <c:v>34.660057139431714</c:v>
                </c:pt>
                <c:pt idx="79">
                  <c:v>35.29720854111941</c:v>
                </c:pt>
                <c:pt idx="80">
                  <c:v>34.539293827691367</c:v>
                </c:pt>
                <c:pt idx="81">
                  <c:v>33.286908682028773</c:v>
                </c:pt>
                <c:pt idx="82">
                  <c:v>33.281128259855493</c:v>
                </c:pt>
                <c:pt idx="83">
                  <c:v>32.433094442505777</c:v>
                </c:pt>
                <c:pt idx="84">
                  <c:v>29.554287379765139</c:v>
                </c:pt>
                <c:pt idx="85">
                  <c:v>30.637674397513305</c:v>
                </c:pt>
                <c:pt idx="86">
                  <c:v>30.293010303323943</c:v>
                </c:pt>
                <c:pt idx="87">
                  <c:v>30.337166905488345</c:v>
                </c:pt>
                <c:pt idx="88">
                  <c:v>28.040454910416706</c:v>
                </c:pt>
                <c:pt idx="89">
                  <c:v>27.270332326209935</c:v>
                </c:pt>
                <c:pt idx="90">
                  <c:v>28.055247498939629</c:v>
                </c:pt>
                <c:pt idx="91">
                  <c:v>27.547736368200077</c:v>
                </c:pt>
                <c:pt idx="92">
                  <c:v>28.327032236264156</c:v>
                </c:pt>
                <c:pt idx="93">
                  <c:v>28.903580272736157</c:v>
                </c:pt>
                <c:pt idx="94">
                  <c:v>31.659085420514799</c:v>
                </c:pt>
                <c:pt idx="95">
                  <c:v>32.592821167710731</c:v>
                </c:pt>
                <c:pt idx="96">
                  <c:v>32.417979216824165</c:v>
                </c:pt>
                <c:pt idx="97">
                  <c:v>30.244668325533052</c:v>
                </c:pt>
                <c:pt idx="98">
                  <c:v>29.909493629035548</c:v>
                </c:pt>
                <c:pt idx="99">
                  <c:v>29.322208321563199</c:v>
                </c:pt>
                <c:pt idx="100">
                  <c:v>30.499929545365013</c:v>
                </c:pt>
                <c:pt idx="101">
                  <c:v>29.693673101252298</c:v>
                </c:pt>
                <c:pt idx="102">
                  <c:v>28.406863600429862</c:v>
                </c:pt>
                <c:pt idx="103">
                  <c:v>27.220907336745249</c:v>
                </c:pt>
                <c:pt idx="104">
                  <c:v>25.446982153533781</c:v>
                </c:pt>
                <c:pt idx="105">
                  <c:v>25.150546432705767</c:v>
                </c:pt>
                <c:pt idx="106">
                  <c:v>25.259675428530677</c:v>
                </c:pt>
                <c:pt idx="107">
                  <c:v>26.353288464643239</c:v>
                </c:pt>
                <c:pt idx="108">
                  <c:v>25.573574491414604</c:v>
                </c:pt>
                <c:pt idx="109">
                  <c:v>25.505591448842058</c:v>
                </c:pt>
                <c:pt idx="110">
                  <c:v>24.784225107337122</c:v>
                </c:pt>
                <c:pt idx="111">
                  <c:v>23.16603235082184</c:v>
                </c:pt>
                <c:pt idx="112">
                  <c:v>21.915442177770146</c:v>
                </c:pt>
                <c:pt idx="113">
                  <c:v>20.680428838615143</c:v>
                </c:pt>
                <c:pt idx="114">
                  <c:v>21.333114099182719</c:v>
                </c:pt>
                <c:pt idx="115">
                  <c:v>20.48734231099553</c:v>
                </c:pt>
                <c:pt idx="116">
                  <c:v>19.82698130774547</c:v>
                </c:pt>
                <c:pt idx="117">
                  <c:v>18.995482909758071</c:v>
                </c:pt>
                <c:pt idx="118">
                  <c:v>16.427926310472742</c:v>
                </c:pt>
                <c:pt idx="119">
                  <c:v>13.824488738168128</c:v>
                </c:pt>
                <c:pt idx="120">
                  <c:v>12.666019511491841</c:v>
                </c:pt>
                <c:pt idx="121">
                  <c:v>12.096244923435314</c:v>
                </c:pt>
                <c:pt idx="122">
                  <c:v>11.230749998212184</c:v>
                </c:pt>
                <c:pt idx="123">
                  <c:v>11.402738055059562</c:v>
                </c:pt>
                <c:pt idx="124">
                  <c:v>11.398349720148623</c:v>
                </c:pt>
                <c:pt idx="125">
                  <c:v>10.643110383119856</c:v>
                </c:pt>
                <c:pt idx="126">
                  <c:v>9.5474856283297598</c:v>
                </c:pt>
                <c:pt idx="127">
                  <c:v>8.8284995615903252</c:v>
                </c:pt>
                <c:pt idx="128">
                  <c:v>8.4706093064070807</c:v>
                </c:pt>
                <c:pt idx="129">
                  <c:v>7.9883307229260794</c:v>
                </c:pt>
                <c:pt idx="130">
                  <c:v>7.5053240127493659</c:v>
                </c:pt>
                <c:pt idx="131">
                  <c:v>7.218416906454789</c:v>
                </c:pt>
                <c:pt idx="132">
                  <c:v>5.8854158994821208</c:v>
                </c:pt>
                <c:pt idx="133">
                  <c:v>5.4277322233512395</c:v>
                </c:pt>
                <c:pt idx="134">
                  <c:v>5.4927575529058625</c:v>
                </c:pt>
                <c:pt idx="135">
                  <c:v>6.8887161682160416</c:v>
                </c:pt>
                <c:pt idx="136">
                  <c:v>8.3171216548295455</c:v>
                </c:pt>
                <c:pt idx="137">
                  <c:v>15.263522161100854</c:v>
                </c:pt>
                <c:pt idx="138">
                  <c:v>20.129873756506413</c:v>
                </c:pt>
                <c:pt idx="139">
                  <c:v>23.272003742834279</c:v>
                </c:pt>
                <c:pt idx="140">
                  <c:v>20.554689846798365</c:v>
                </c:pt>
                <c:pt idx="141">
                  <c:v>19.532855376442733</c:v>
                </c:pt>
                <c:pt idx="142">
                  <c:v>19.673086008637284</c:v>
                </c:pt>
                <c:pt idx="143">
                  <c:v>18.248668281766612</c:v>
                </c:pt>
                <c:pt idx="144">
                  <c:v>20.126734558562614</c:v>
                </c:pt>
                <c:pt idx="145">
                  <c:v>19.537947290799206</c:v>
                </c:pt>
                <c:pt idx="146">
                  <c:v>21.534898919866468</c:v>
                </c:pt>
                <c:pt idx="147">
                  <c:v>19.794838316529585</c:v>
                </c:pt>
                <c:pt idx="148">
                  <c:v>19.961748801301564</c:v>
                </c:pt>
                <c:pt idx="149">
                  <c:v>19.508571158955984</c:v>
                </c:pt>
                <c:pt idx="150">
                  <c:v>19.716541015316487</c:v>
                </c:pt>
                <c:pt idx="151">
                  <c:v>18.100953913415911</c:v>
                </c:pt>
                <c:pt idx="152">
                  <c:v>14.681799942312267</c:v>
                </c:pt>
                <c:pt idx="153">
                  <c:v>11.420359742475872</c:v>
                </c:pt>
                <c:pt idx="154">
                  <c:v>11.737101437148873</c:v>
                </c:pt>
                <c:pt idx="155">
                  <c:v>11.837511299610238</c:v>
                </c:pt>
                <c:pt idx="156">
                  <c:v>14.676151377616886</c:v>
                </c:pt>
                <c:pt idx="157">
                  <c:v>14.271132296398614</c:v>
                </c:pt>
                <c:pt idx="158">
                  <c:v>14.889958153020167</c:v>
                </c:pt>
                <c:pt idx="159">
                  <c:v>13.446250222425887</c:v>
                </c:pt>
                <c:pt idx="160">
                  <c:v>14.009725798242128</c:v>
                </c:pt>
                <c:pt idx="161">
                  <c:v>14.403529385352204</c:v>
                </c:pt>
                <c:pt idx="162">
                  <c:v>14.267545566202621</c:v>
                </c:pt>
                <c:pt idx="163">
                  <c:v>11.759682548165468</c:v>
                </c:pt>
                <c:pt idx="164">
                  <c:v>10.64042025683333</c:v>
                </c:pt>
                <c:pt idx="165">
                  <c:v>11.658749508502178</c:v>
                </c:pt>
                <c:pt idx="166">
                  <c:v>12.588136347194665</c:v>
                </c:pt>
                <c:pt idx="167">
                  <c:v>12.731933797971326</c:v>
                </c:pt>
                <c:pt idx="168">
                  <c:v>14.26523361497655</c:v>
                </c:pt>
                <c:pt idx="169">
                  <c:v>16.799869809200523</c:v>
                </c:pt>
                <c:pt idx="170">
                  <c:v>19.187499432074119</c:v>
                </c:pt>
                <c:pt idx="171">
                  <c:v>19.308937624648166</c:v>
                </c:pt>
                <c:pt idx="172">
                  <c:v>18.294167738569797</c:v>
                </c:pt>
                <c:pt idx="173">
                  <c:v>23.987736580100645</c:v>
                </c:pt>
                <c:pt idx="174">
                  <c:v>29.992957318377506</c:v>
                </c:pt>
                <c:pt idx="175">
                  <c:v>29.799666293512157</c:v>
                </c:pt>
                <c:pt idx="176">
                  <c:v>30.625410174068762</c:v>
                </c:pt>
                <c:pt idx="177">
                  <c:v>30.862339083968195</c:v>
                </c:pt>
                <c:pt idx="178">
                  <c:v>31.495424591619493</c:v>
                </c:pt>
                <c:pt idx="179">
                  <c:v>31.630645084653704</c:v>
                </c:pt>
                <c:pt idx="180">
                  <c:v>29.523014861364384</c:v>
                </c:pt>
                <c:pt idx="181">
                  <c:v>29.523014861364384</c:v>
                </c:pt>
                <c:pt idx="182">
                  <c:v>30.315729251508621</c:v>
                </c:pt>
                <c:pt idx="183">
                  <c:v>33.570805276683863</c:v>
                </c:pt>
                <c:pt idx="184">
                  <c:v>34.008534243965151</c:v>
                </c:pt>
                <c:pt idx="185">
                  <c:v>34.323564511955695</c:v>
                </c:pt>
                <c:pt idx="186">
                  <c:v>32.005485421421909</c:v>
                </c:pt>
                <c:pt idx="187">
                  <c:v>31.343115643496212</c:v>
                </c:pt>
                <c:pt idx="188">
                  <c:v>30.740089639921251</c:v>
                </c:pt>
                <c:pt idx="189">
                  <c:v>30.883826903878752</c:v>
                </c:pt>
                <c:pt idx="190">
                  <c:v>30.327736851165955</c:v>
                </c:pt>
                <c:pt idx="191">
                  <c:v>28.874544777565607</c:v>
                </c:pt>
                <c:pt idx="192">
                  <c:v>34.514499439612877</c:v>
                </c:pt>
                <c:pt idx="193">
                  <c:v>34.26799769090173</c:v>
                </c:pt>
                <c:pt idx="194">
                  <c:v>31.529647729435016</c:v>
                </c:pt>
                <c:pt idx="195">
                  <c:v>28.670841397593605</c:v>
                </c:pt>
                <c:pt idx="196">
                  <c:v>27.193736621836486</c:v>
                </c:pt>
                <c:pt idx="197">
                  <c:v>30.144286836802753</c:v>
                </c:pt>
                <c:pt idx="198">
                  <c:v>27.295206617142302</c:v>
                </c:pt>
                <c:pt idx="199">
                  <c:v>26.420843165139612</c:v>
                </c:pt>
                <c:pt idx="200">
                  <c:v>28.827785634659818</c:v>
                </c:pt>
                <c:pt idx="201">
                  <c:v>33.820671282288409</c:v>
                </c:pt>
                <c:pt idx="202">
                  <c:v>37.175349723302922</c:v>
                </c:pt>
                <c:pt idx="203">
                  <c:v>35.987152423585691</c:v>
                </c:pt>
                <c:pt idx="204">
                  <c:v>32.273684927350978</c:v>
                </c:pt>
                <c:pt idx="205">
                  <c:v>32.236438964111528</c:v>
                </c:pt>
                <c:pt idx="206">
                  <c:v>32.785247740123339</c:v>
                </c:pt>
                <c:pt idx="207">
                  <c:v>33.199773681247926</c:v>
                </c:pt>
                <c:pt idx="208">
                  <c:v>33.891174014614862</c:v>
                </c:pt>
                <c:pt idx="209">
                  <c:v>32.996252468961927</c:v>
                </c:pt>
                <c:pt idx="210">
                  <c:v>31.593072873557976</c:v>
                </c:pt>
                <c:pt idx="211">
                  <c:v>30.660585506976879</c:v>
                </c:pt>
                <c:pt idx="212">
                  <c:v>27.991024665888521</c:v>
                </c:pt>
                <c:pt idx="213">
                  <c:v>24.329742470083211</c:v>
                </c:pt>
                <c:pt idx="214">
                  <c:v>18.984548108499901</c:v>
                </c:pt>
                <c:pt idx="215">
                  <c:v>15.393817121524394</c:v>
                </c:pt>
                <c:pt idx="216">
                  <c:v>14.437790932488662</c:v>
                </c:pt>
                <c:pt idx="217">
                  <c:v>15.034585551694182</c:v>
                </c:pt>
                <c:pt idx="218">
                  <c:v>15.780573555378172</c:v>
                </c:pt>
                <c:pt idx="219">
                  <c:v>25.764373859420857</c:v>
                </c:pt>
                <c:pt idx="220">
                  <c:v>33.861624949374445</c:v>
                </c:pt>
                <c:pt idx="221">
                  <c:v>31.29951192044182</c:v>
                </c:pt>
                <c:pt idx="222">
                  <c:v>26.531968286198865</c:v>
                </c:pt>
                <c:pt idx="223">
                  <c:v>24.760744162630687</c:v>
                </c:pt>
                <c:pt idx="224">
                  <c:v>25.223936747841748</c:v>
                </c:pt>
                <c:pt idx="225">
                  <c:v>27.892621141375457</c:v>
                </c:pt>
                <c:pt idx="226">
                  <c:v>27.579432086583072</c:v>
                </c:pt>
                <c:pt idx="227">
                  <c:v>26.150107798546145</c:v>
                </c:pt>
                <c:pt idx="228">
                  <c:v>27.94766503487266</c:v>
                </c:pt>
                <c:pt idx="229">
                  <c:v>30.493028660778037</c:v>
                </c:pt>
                <c:pt idx="230">
                  <c:v>31.981926756713346</c:v>
                </c:pt>
                <c:pt idx="231">
                  <c:v>28.092423985041044</c:v>
                </c:pt>
                <c:pt idx="232">
                  <c:v>23.496971373610322</c:v>
                </c:pt>
                <c:pt idx="233">
                  <c:v>19.377313164651309</c:v>
                </c:pt>
                <c:pt idx="234">
                  <c:v>17.471197701919905</c:v>
                </c:pt>
                <c:pt idx="235">
                  <c:v>18.563116245927162</c:v>
                </c:pt>
                <c:pt idx="236">
                  <c:v>20.593397085699348</c:v>
                </c:pt>
                <c:pt idx="237">
                  <c:v>21.820231706691583</c:v>
                </c:pt>
                <c:pt idx="238">
                  <c:v>19.888847364674099</c:v>
                </c:pt>
                <c:pt idx="239">
                  <c:v>19.794597211608018</c:v>
                </c:pt>
                <c:pt idx="240">
                  <c:v>21.186389415908742</c:v>
                </c:pt>
                <c:pt idx="241">
                  <c:v>24.544622404660231</c:v>
                </c:pt>
                <c:pt idx="242">
                  <c:v>25.799361704610007</c:v>
                </c:pt>
                <c:pt idx="243">
                  <c:v>24.319346639674492</c:v>
                </c:pt>
                <c:pt idx="244">
                  <c:v>21.36356730276032</c:v>
                </c:pt>
                <c:pt idx="245">
                  <c:v>19.262825534561951</c:v>
                </c:pt>
                <c:pt idx="246">
                  <c:v>18.003190218558306</c:v>
                </c:pt>
                <c:pt idx="247">
                  <c:v>17.858476344817429</c:v>
                </c:pt>
                <c:pt idx="248">
                  <c:v>17.127738772959724</c:v>
                </c:pt>
                <c:pt idx="249">
                  <c:v>17.094271322990995</c:v>
                </c:pt>
                <c:pt idx="250">
                  <c:v>20.107097841366791</c:v>
                </c:pt>
                <c:pt idx="251">
                  <c:v>23.526161908591082</c:v>
                </c:pt>
                <c:pt idx="252">
                  <c:v>25.956629240627631</c:v>
                </c:pt>
                <c:pt idx="253">
                  <c:v>24.03064425004905</c:v>
                </c:pt>
                <c:pt idx="254">
                  <c:v>19.875742606882277</c:v>
                </c:pt>
                <c:pt idx="255">
                  <c:v>20.367869501237831</c:v>
                </c:pt>
                <c:pt idx="256">
                  <c:v>20.002400031879876</c:v>
                </c:pt>
                <c:pt idx="257">
                  <c:v>31.44540104771723</c:v>
                </c:pt>
                <c:pt idx="258">
                  <c:v>37.013990065222551</c:v>
                </c:pt>
                <c:pt idx="259">
                  <c:v>37.013990065222551</c:v>
                </c:pt>
                <c:pt idx="260">
                  <c:v>31.600943359195071</c:v>
                </c:pt>
                <c:pt idx="261">
                  <c:v>31.600943359195071</c:v>
                </c:pt>
                <c:pt idx="262">
                  <c:v>31.600943359195071</c:v>
                </c:pt>
                <c:pt idx="263">
                  <c:v>32.729843326226622</c:v>
                </c:pt>
                <c:pt idx="264">
                  <c:v>33.870026142189566</c:v>
                </c:pt>
                <c:pt idx="265">
                  <c:v>35.02166180714422</c:v>
                </c:pt>
                <c:pt idx="266">
                  <c:v>35.02166180714422</c:v>
                </c:pt>
                <c:pt idx="267">
                  <c:v>35.948343972683446</c:v>
                </c:pt>
                <c:pt idx="268">
                  <c:v>36.882508861686908</c:v>
                </c:pt>
                <c:pt idx="269">
                  <c:v>34.01319601105061</c:v>
                </c:pt>
                <c:pt idx="270">
                  <c:v>33.17363995984438</c:v>
                </c:pt>
                <c:pt idx="271">
                  <c:v>32.758877603501503</c:v>
                </c:pt>
                <c:pt idx="272">
                  <c:v>34.19439469206548</c:v>
                </c:pt>
                <c:pt idx="273">
                  <c:v>34.86910234476742</c:v>
                </c:pt>
                <c:pt idx="274">
                  <c:v>36.370762175901177</c:v>
                </c:pt>
                <c:pt idx="275">
                  <c:v>35.622469160415434</c:v>
                </c:pt>
                <c:pt idx="276">
                  <c:v>34.83139825408486</c:v>
                </c:pt>
                <c:pt idx="277">
                  <c:v>33.301770644167192</c:v>
                </c:pt>
                <c:pt idx="278">
                  <c:v>39.339584989715114</c:v>
                </c:pt>
                <c:pt idx="279">
                  <c:v>37.108894176862286</c:v>
                </c:pt>
                <c:pt idx="280">
                  <c:v>37.108894176862286</c:v>
                </c:pt>
                <c:pt idx="281">
                  <c:v>34.920194537406175</c:v>
                </c:pt>
                <c:pt idx="282">
                  <c:v>39.191398724058523</c:v>
                </c:pt>
                <c:pt idx="283">
                  <c:v>38.423540493908348</c:v>
                </c:pt>
                <c:pt idx="284">
                  <c:v>36.837412430369334</c:v>
                </c:pt>
                <c:pt idx="285">
                  <c:v>35.735642267453791</c:v>
                </c:pt>
                <c:pt idx="286">
                  <c:v>36.073248488337363</c:v>
                </c:pt>
                <c:pt idx="287">
                  <c:v>37.728995478741183</c:v>
                </c:pt>
                <c:pt idx="288">
                  <c:v>38.758046284922671</c:v>
                </c:pt>
                <c:pt idx="289">
                  <c:v>38.615167970618671</c:v>
                </c:pt>
                <c:pt idx="290">
                  <c:v>38.575585305417647</c:v>
                </c:pt>
                <c:pt idx="291">
                  <c:v>38.406113810190526</c:v>
                </c:pt>
                <c:pt idx="292">
                  <c:v>39.313594978356761</c:v>
                </c:pt>
                <c:pt idx="293">
                  <c:v>39.65187862558416</c:v>
                </c:pt>
                <c:pt idx="294">
                  <c:v>39.65187862558416</c:v>
                </c:pt>
                <c:pt idx="295">
                  <c:v>38.672214593881058</c:v>
                </c:pt>
                <c:pt idx="296">
                  <c:v>37.349902792664729</c:v>
                </c:pt>
                <c:pt idx="297">
                  <c:v>36.014860870355697</c:v>
                </c:pt>
                <c:pt idx="298">
                  <c:v>34.851193787641861</c:v>
                </c:pt>
                <c:pt idx="299">
                  <c:v>34.579139737673728</c:v>
                </c:pt>
                <c:pt idx="300">
                  <c:v>34.819052652740922</c:v>
                </c:pt>
                <c:pt idx="301">
                  <c:v>33.87251594082089</c:v>
                </c:pt>
                <c:pt idx="302">
                  <c:v>32.944482109778974</c:v>
                </c:pt>
                <c:pt idx="303">
                  <c:v>32.810515901671664</c:v>
                </c:pt>
                <c:pt idx="304">
                  <c:v>33.993157358039724</c:v>
                </c:pt>
                <c:pt idx="305">
                  <c:v>34.953805161429585</c:v>
                </c:pt>
                <c:pt idx="306">
                  <c:v>36.294875836835608</c:v>
                </c:pt>
                <c:pt idx="307">
                  <c:v>37.898559539436484</c:v>
                </c:pt>
                <c:pt idx="308">
                  <c:v>38.658041221187617</c:v>
                </c:pt>
                <c:pt idx="309">
                  <c:v>38.698371563748999</c:v>
                </c:pt>
                <c:pt idx="310">
                  <c:v>38.851377095863022</c:v>
                </c:pt>
                <c:pt idx="311">
                  <c:v>37.265390521719837</c:v>
                </c:pt>
                <c:pt idx="312">
                  <c:v>37.439179849714243</c:v>
                </c:pt>
                <c:pt idx="313">
                  <c:v>36.470648461738001</c:v>
                </c:pt>
                <c:pt idx="314">
                  <c:v>36.541185471680762</c:v>
                </c:pt>
                <c:pt idx="315">
                  <c:v>33.025302332494874</c:v>
                </c:pt>
                <c:pt idx="316">
                  <c:v>32.894969021605611</c:v>
                </c:pt>
                <c:pt idx="317">
                  <c:v>33.12776490359078</c:v>
                </c:pt>
                <c:pt idx="318">
                  <c:v>35.726397938235557</c:v>
                </c:pt>
                <c:pt idx="319">
                  <c:v>35.384817973757187</c:v>
                </c:pt>
                <c:pt idx="320">
                  <c:v>37.30543613003951</c:v>
                </c:pt>
                <c:pt idx="321">
                  <c:v>37.30543613003951</c:v>
                </c:pt>
                <c:pt idx="322">
                  <c:v>38.498081705457906</c:v>
                </c:pt>
                <c:pt idx="323">
                  <c:v>40.182656009417464</c:v>
                </c:pt>
                <c:pt idx="324">
                  <c:v>39.03325090597211</c:v>
                </c:pt>
                <c:pt idx="325">
                  <c:v>37.467631747677551</c:v>
                </c:pt>
                <c:pt idx="326">
                  <c:v>35.901560409396097</c:v>
                </c:pt>
                <c:pt idx="327">
                  <c:v>36.056914285170912</c:v>
                </c:pt>
                <c:pt idx="328">
                  <c:v>35.780818401578976</c:v>
                </c:pt>
                <c:pt idx="329">
                  <c:v>36.500722097524559</c:v>
                </c:pt>
                <c:pt idx="330">
                  <c:v>36.211663139426634</c:v>
                </c:pt>
                <c:pt idx="331">
                  <c:v>40.45604305370437</c:v>
                </c:pt>
                <c:pt idx="332">
                  <c:v>41.45947389239776</c:v>
                </c:pt>
                <c:pt idx="333">
                  <c:v>40.704321932493102</c:v>
                </c:pt>
                <c:pt idx="334">
                  <c:v>39.393248150499502</c:v>
                </c:pt>
                <c:pt idx="335">
                  <c:v>38.190419407198512</c:v>
                </c:pt>
                <c:pt idx="336">
                  <c:v>37.43592776076656</c:v>
                </c:pt>
                <c:pt idx="337">
                  <c:v>36.234177252691225</c:v>
                </c:pt>
                <c:pt idx="338">
                  <c:v>34.931822444725633</c:v>
                </c:pt>
                <c:pt idx="339">
                  <c:v>32.632261298939738</c:v>
                </c:pt>
                <c:pt idx="340">
                  <c:v>32.981738036878134</c:v>
                </c:pt>
                <c:pt idx="341">
                  <c:v>34.413883016342858</c:v>
                </c:pt>
                <c:pt idx="342">
                  <c:v>35.843341599982118</c:v>
                </c:pt>
                <c:pt idx="343">
                  <c:v>35.513158525707361</c:v>
                </c:pt>
                <c:pt idx="344">
                  <c:v>34.237478239951564</c:v>
                </c:pt>
                <c:pt idx="345">
                  <c:v>34.365090865540679</c:v>
                </c:pt>
                <c:pt idx="346">
                  <c:v>34.492845382900384</c:v>
                </c:pt>
                <c:pt idx="347">
                  <c:v>34.620742028815776</c:v>
                </c:pt>
                <c:pt idx="348">
                  <c:v>34.74878104059848</c:v>
                </c:pt>
                <c:pt idx="349">
                  <c:v>34.876962656088828</c:v>
                </c:pt>
                <c:pt idx="350">
                  <c:v>35.005287113657388</c:v>
                </c:pt>
                <c:pt idx="351">
                  <c:v>35.13375465220593</c:v>
                </c:pt>
                <c:pt idx="352">
                  <c:v>35.262365511170017</c:v>
                </c:pt>
                <c:pt idx="353">
                  <c:v>36.016881892307339</c:v>
                </c:pt>
                <c:pt idx="354">
                  <c:v>36.686275079547968</c:v>
                </c:pt>
                <c:pt idx="355">
                  <c:v>36.281191256561776</c:v>
                </c:pt>
                <c:pt idx="356">
                  <c:v>34.520298914550743</c:v>
                </c:pt>
                <c:pt idx="357">
                  <c:v>31.730344456548494</c:v>
                </c:pt>
                <c:pt idx="358">
                  <c:v>31.440359901410442</c:v>
                </c:pt>
                <c:pt idx="359">
                  <c:v>32.6242767312552</c:v>
                </c:pt>
                <c:pt idx="360">
                  <c:v>35.242071247627557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2B8-487A-9BEF-77A22A9B98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0666592"/>
        <c:axId val="770694688"/>
      </c:scatterChart>
      <c:valAx>
        <c:axId val="850666592"/>
        <c:scaling>
          <c:orientation val="minMax"/>
          <c:max val="5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Ref.</a:t>
                </a:r>
                <a:r>
                  <a:rPr lang="en-US" baseline="0"/>
                  <a:t> vol. SM (%)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0694688"/>
        <c:crosses val="autoZero"/>
        <c:crossBetween val="midCat"/>
      </c:valAx>
      <c:valAx>
        <c:axId val="77069468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Pred.</a:t>
                </a:r>
                <a:r>
                  <a:rPr lang="en-US" baseline="0"/>
                  <a:t> vol. SM (%)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0666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0-15 cm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0-15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Sheet1!$A$3:$A$10</c:f>
              <c:numCache>
                <c:formatCode>General</c:formatCode>
                <c:ptCount val="8"/>
              </c:numCache>
            </c:numRef>
          </c:xVal>
          <c:yVal>
            <c:numRef>
              <c:f>Sheet1!$H$3:$H$10</c:f>
              <c:numCache>
                <c:formatCode>General</c:formatCode>
                <c:ptCount val="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401-4B44-A6B1-5424842E60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4665824"/>
        <c:axId val="1134666784"/>
      </c:scatterChart>
      <c:valAx>
        <c:axId val="1134665824"/>
        <c:scaling>
          <c:orientation val="minMax"/>
          <c:max val="2.2000000000000006E-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β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4666784"/>
        <c:crosses val="autoZero"/>
        <c:crossBetween val="midCat"/>
      </c:valAx>
      <c:valAx>
        <c:axId val="1134666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 i="0" u="none" strike="noStrike" baseline="0"/>
                  <a:t>R</a:t>
                </a:r>
                <a:r>
                  <a:rPr lang="en-US" sz="1400" b="1" i="0" u="none" strike="noStrike" baseline="30000"/>
                  <a:t>2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4665824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439737</xdr:colOff>
      <xdr:row>6</xdr:row>
      <xdr:rowOff>152401</xdr:rowOff>
    </xdr:from>
    <xdr:to>
      <xdr:col>15</xdr:col>
      <xdr:colOff>744537</xdr:colOff>
      <xdr:row>24</xdr:row>
      <xdr:rowOff>95251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C32DA1F-CA1B-F82B-6B76-DAFA14E716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409575</xdr:colOff>
      <xdr:row>6</xdr:row>
      <xdr:rowOff>152400</xdr:rowOff>
    </xdr:from>
    <xdr:to>
      <xdr:col>24</xdr:col>
      <xdr:colOff>352425</xdr:colOff>
      <xdr:row>24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5D4A216-ED2B-40DC-84D2-73A264473C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409575</xdr:colOff>
      <xdr:row>25</xdr:row>
      <xdr:rowOff>114300</xdr:rowOff>
    </xdr:from>
    <xdr:to>
      <xdr:col>15</xdr:col>
      <xdr:colOff>714375</xdr:colOff>
      <xdr:row>40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BD03849-BB7A-4D6F-93C9-F0A3F6019A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406400</xdr:colOff>
      <xdr:row>25</xdr:row>
      <xdr:rowOff>123825</xdr:rowOff>
    </xdr:from>
    <xdr:to>
      <xdr:col>24</xdr:col>
      <xdr:colOff>330200</xdr:colOff>
      <xdr:row>40</xdr:row>
      <xdr:rowOff>9525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D5D1608-C554-41CD-B883-44A4AD311E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48</xdr:row>
      <xdr:rowOff>85725</xdr:rowOff>
    </xdr:from>
    <xdr:to>
      <xdr:col>7</xdr:col>
      <xdr:colOff>419100</xdr:colOff>
      <xdr:row>63</xdr:row>
      <xdr:rowOff>111125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FA8959C-58EB-4134-9E1A-CECB8D6ECC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68"/>
  <sheetViews>
    <sheetView tabSelected="1" workbookViewId="0">
      <selection activeCell="A2" sqref="A2"/>
    </sheetView>
  </sheetViews>
  <sheetFormatPr defaultRowHeight="14.5" x14ac:dyDescent="0.35"/>
  <cols>
    <col min="1" max="1" width="13.1796875" customWidth="1"/>
    <col min="11" max="11" width="12" bestFit="1" customWidth="1"/>
    <col min="15" max="16" width="12" bestFit="1" customWidth="1"/>
  </cols>
  <sheetData>
    <row r="1" spans="1:16" x14ac:dyDescent="0.35">
      <c r="A1" t="s">
        <v>1</v>
      </c>
      <c r="B1" t="s">
        <v>2</v>
      </c>
    </row>
    <row r="2" spans="1:16" x14ac:dyDescent="0.35">
      <c r="A2" t="s">
        <v>379</v>
      </c>
      <c r="B2">
        <v>106.8443717892459</v>
      </c>
    </row>
    <row r="3" spans="1:16" x14ac:dyDescent="0.35">
      <c r="A3" t="s">
        <v>3</v>
      </c>
      <c r="B3">
        <v>1.39</v>
      </c>
    </row>
    <row r="4" spans="1:16" x14ac:dyDescent="0.35">
      <c r="A4" t="s">
        <v>4</v>
      </c>
      <c r="B4">
        <v>0.71124835540068043</v>
      </c>
      <c r="J4" t="s">
        <v>8</v>
      </c>
      <c r="O4" t="s">
        <v>10</v>
      </c>
    </row>
    <row r="5" spans="1:16" x14ac:dyDescent="0.35">
      <c r="A5" t="s">
        <v>374</v>
      </c>
      <c r="B5">
        <v>0.01</v>
      </c>
      <c r="J5" t="s">
        <v>5</v>
      </c>
      <c r="K5">
        <f>RSQ(B8:B400,C8:C400)</f>
        <v>0.85006582253638774</v>
      </c>
      <c r="O5" t="s">
        <v>9</v>
      </c>
    </row>
    <row r="6" spans="1:16" x14ac:dyDescent="0.35">
      <c r="J6" t="s">
        <v>6</v>
      </c>
      <c r="K6" cm="1">
        <f t="array" ref="K6">SQRT(SUMSQ(B8:B400-C8:C400) / COUNTA(B8:B400))</f>
        <v>1.4213101589114097</v>
      </c>
      <c r="N6" t="s">
        <v>6</v>
      </c>
      <c r="O6" cm="1">
        <f t="array" ref="O6">SQRT(SUMSQ(D8:D400-E8:E400) / COUNTA(D8:D400))</f>
        <v>4.7209998116890208</v>
      </c>
      <c r="P6" cm="1">
        <f t="array" ref="P6">SQRT(SUMSQ(D8:D400-F8:F400) / COUNTA(D8:D400))</f>
        <v>3.319600705793277</v>
      </c>
    </row>
    <row r="7" spans="1:16" x14ac:dyDescent="0.35">
      <c r="A7" t="s">
        <v>0</v>
      </c>
      <c r="B7" t="s">
        <v>375</v>
      </c>
      <c r="C7" t="s">
        <v>376</v>
      </c>
      <c r="D7" t="s">
        <v>11</v>
      </c>
      <c r="E7" t="s">
        <v>7</v>
      </c>
      <c r="F7" t="s">
        <v>12</v>
      </c>
      <c r="G7" t="s">
        <v>378</v>
      </c>
      <c r="H7" t="s">
        <v>377</v>
      </c>
    </row>
    <row r="8" spans="1:16" x14ac:dyDescent="0.35">
      <c r="A8" t="s">
        <v>13</v>
      </c>
      <c r="B8">
        <f xml:space="preserve"> H8/(1-$B$5*G8)</f>
        <v>89.677773672228</v>
      </c>
      <c r="C8">
        <f>$B$2/(1+$B$4*((D8/100)/$B$3))</f>
        <v>90.510644691460726</v>
      </c>
      <c r="D8">
        <v>35.267864366824199</v>
      </c>
      <c r="E8">
        <f xml:space="preserve"> (117.22 - B8)/0.7629</f>
        <v>36.102013799674921</v>
      </c>
      <c r="F8">
        <f xml:space="preserve"> ((($B$3 *($B$2-B8))/($B$4*B8)))*100</f>
        <v>37.410451286221836</v>
      </c>
      <c r="G8">
        <v>0</v>
      </c>
      <c r="H8">
        <v>89.677773672228</v>
      </c>
    </row>
    <row r="9" spans="1:16" x14ac:dyDescent="0.35">
      <c r="A9" t="s">
        <v>14</v>
      </c>
      <c r="B9">
        <f t="shared" ref="B9:B72" si="0" xml:space="preserve"> H9/(1-$B$5*G9)</f>
        <v>90.551369069587096</v>
      </c>
      <c r="C9">
        <f t="shared" ref="C9:C72" si="1">$B$2/(1+$B$4*((D9/100)/$B$3))</f>
        <v>90.537524851259832</v>
      </c>
      <c r="D9">
        <v>35.1993709636075</v>
      </c>
      <c r="E9">
        <f t="shared" ref="E9:E72" si="2" xml:space="preserve"> (117.22 - B9)/0.7629</f>
        <v>34.956915625131607</v>
      </c>
      <c r="F9">
        <f t="shared" ref="F9:F72" si="3" xml:space="preserve"> ((($B$3 *($B$2-B9))/($B$4*B9)))*100</f>
        <v>35.164110341020482</v>
      </c>
      <c r="G9">
        <v>0</v>
      </c>
      <c r="H9">
        <v>90.551369069587096</v>
      </c>
    </row>
    <row r="10" spans="1:16" x14ac:dyDescent="0.35">
      <c r="A10" t="s">
        <v>15</v>
      </c>
      <c r="B10">
        <f t="shared" si="0"/>
        <v>90.906757031458199</v>
      </c>
      <c r="C10">
        <f t="shared" si="1"/>
        <v>90.764226193489009</v>
      </c>
      <c r="D10">
        <v>34.623326589406403</v>
      </c>
      <c r="E10">
        <f t="shared" si="2"/>
        <v>34.491077426322974</v>
      </c>
      <c r="F10">
        <f t="shared" si="3"/>
        <v>34.26262908398369</v>
      </c>
      <c r="G10">
        <v>0</v>
      </c>
      <c r="H10">
        <v>90.906757031458199</v>
      </c>
    </row>
    <row r="11" spans="1:16" x14ac:dyDescent="0.35">
      <c r="A11" t="s">
        <v>16</v>
      </c>
      <c r="B11">
        <f t="shared" si="0"/>
        <v>91.598697775433195</v>
      </c>
      <c r="C11">
        <f t="shared" si="1"/>
        <v>90.992065682765698</v>
      </c>
      <c r="D11">
        <v>34.047282215205399</v>
      </c>
      <c r="E11">
        <f t="shared" si="2"/>
        <v>33.584089952243808</v>
      </c>
      <c r="F11">
        <f t="shared" si="3"/>
        <v>32.5275126850037</v>
      </c>
      <c r="G11">
        <v>0</v>
      </c>
      <c r="H11">
        <v>91.598697775433195</v>
      </c>
    </row>
    <row r="12" spans="1:16" x14ac:dyDescent="0.35">
      <c r="A12" t="s">
        <v>17</v>
      </c>
      <c r="B12">
        <f t="shared" si="0"/>
        <v>91.534481291355803</v>
      </c>
      <c r="C12">
        <f t="shared" si="1"/>
        <v>91.221051911707278</v>
      </c>
      <c r="D12">
        <v>33.471237841004303</v>
      </c>
      <c r="E12">
        <f t="shared" si="2"/>
        <v>33.668264135069073</v>
      </c>
      <c r="F12">
        <f t="shared" si="3"/>
        <v>32.687438169248942</v>
      </c>
      <c r="G12">
        <v>0</v>
      </c>
      <c r="H12">
        <v>91.534481291355803</v>
      </c>
    </row>
    <row r="13" spans="1:16" x14ac:dyDescent="0.35">
      <c r="A13" t="s">
        <v>18</v>
      </c>
      <c r="B13">
        <f t="shared" si="0"/>
        <v>91.596326090495893</v>
      </c>
      <c r="C13">
        <f t="shared" si="1"/>
        <v>91.45119355964431</v>
      </c>
      <c r="D13">
        <v>32.895193466803299</v>
      </c>
      <c r="E13">
        <f t="shared" si="2"/>
        <v>33.587198727885834</v>
      </c>
      <c r="F13">
        <f t="shared" si="3"/>
        <v>32.533415168973171</v>
      </c>
      <c r="G13">
        <v>0</v>
      </c>
      <c r="H13">
        <v>91.596326090495893</v>
      </c>
    </row>
    <row r="14" spans="1:16" x14ac:dyDescent="0.35">
      <c r="A14" t="s">
        <v>19</v>
      </c>
      <c r="B14">
        <f t="shared" si="0"/>
        <v>91.562559274159696</v>
      </c>
      <c r="C14">
        <f t="shared" si="1"/>
        <v>91.516792315685421</v>
      </c>
      <c r="D14">
        <v>32.731530427774302</v>
      </c>
      <c r="E14">
        <f t="shared" si="2"/>
        <v>33.63145985822559</v>
      </c>
      <c r="F14">
        <f t="shared" si="3"/>
        <v>32.617484833198475</v>
      </c>
      <c r="G14">
        <v>0</v>
      </c>
      <c r="H14">
        <v>91.562559274159696</v>
      </c>
    </row>
    <row r="15" spans="1:16" x14ac:dyDescent="0.35">
      <c r="A15" t="s">
        <v>20</v>
      </c>
      <c r="B15">
        <f t="shared" si="0"/>
        <v>91.852236804325003</v>
      </c>
      <c r="C15">
        <f t="shared" si="1"/>
        <v>91.570924820228825</v>
      </c>
      <c r="D15">
        <v>32.596651251184497</v>
      </c>
      <c r="E15">
        <f t="shared" si="2"/>
        <v>33.251754090542661</v>
      </c>
      <c r="F15">
        <f t="shared" si="3"/>
        <v>31.89828045266313</v>
      </c>
      <c r="G15">
        <v>0</v>
      </c>
      <c r="H15">
        <v>91.852236804325003</v>
      </c>
    </row>
    <row r="16" spans="1:16" x14ac:dyDescent="0.35">
      <c r="A16" t="s">
        <v>21</v>
      </c>
      <c r="B16">
        <f t="shared" si="0"/>
        <v>92.599630677359102</v>
      </c>
      <c r="C16">
        <f t="shared" si="1"/>
        <v>91.628383499155007</v>
      </c>
      <c r="D16">
        <v>32.4536587751696</v>
      </c>
      <c r="E16">
        <f t="shared" si="2"/>
        <v>32.272079332338308</v>
      </c>
      <c r="F16">
        <f t="shared" si="3"/>
        <v>30.063450940538942</v>
      </c>
      <c r="G16">
        <v>0</v>
      </c>
      <c r="H16">
        <v>92.599630677359102</v>
      </c>
    </row>
    <row r="17" spans="1:8" x14ac:dyDescent="0.35">
      <c r="A17" t="s">
        <v>22</v>
      </c>
      <c r="B17">
        <f t="shared" si="0"/>
        <v>93.9574357211782</v>
      </c>
      <c r="C17">
        <f t="shared" si="1"/>
        <v>91.739918074577531</v>
      </c>
      <c r="D17">
        <v>32.176603565747101</v>
      </c>
      <c r="E17">
        <f t="shared" si="2"/>
        <v>30.492285068582774</v>
      </c>
      <c r="F17">
        <f t="shared" si="3"/>
        <v>26.804767434109465</v>
      </c>
      <c r="G17">
        <v>0</v>
      </c>
      <c r="H17">
        <v>93.9574357211782</v>
      </c>
    </row>
    <row r="18" spans="1:8" x14ac:dyDescent="0.35">
      <c r="A18" t="s">
        <v>23</v>
      </c>
      <c r="B18">
        <f t="shared" si="0"/>
        <v>94.397145473936405</v>
      </c>
      <c r="C18">
        <f t="shared" si="1"/>
        <v>91.836887371499031</v>
      </c>
      <c r="D18">
        <v>31.936275817145599</v>
      </c>
      <c r="E18">
        <f t="shared" si="2"/>
        <v>29.915918896400044</v>
      </c>
      <c r="F18">
        <f t="shared" si="3"/>
        <v>25.769574602079182</v>
      </c>
      <c r="G18">
        <v>0</v>
      </c>
      <c r="H18">
        <v>94.397145473936405</v>
      </c>
    </row>
    <row r="19" spans="1:8" x14ac:dyDescent="0.35">
      <c r="A19" t="s">
        <v>24</v>
      </c>
      <c r="B19">
        <f t="shared" si="0"/>
        <v>93.360727318346605</v>
      </c>
      <c r="C19">
        <f t="shared" si="1"/>
        <v>91.882072988521358</v>
      </c>
      <c r="D19">
        <v>31.824461490872402</v>
      </c>
      <c r="E19">
        <f t="shared" si="2"/>
        <v>31.274443153301078</v>
      </c>
      <c r="F19">
        <f t="shared" si="3"/>
        <v>28.225171630326596</v>
      </c>
      <c r="G19">
        <v>0</v>
      </c>
      <c r="H19">
        <v>93.360727318346605</v>
      </c>
    </row>
    <row r="20" spans="1:8" x14ac:dyDescent="0.35">
      <c r="A20" t="s">
        <v>25</v>
      </c>
      <c r="B20">
        <f t="shared" si="0"/>
        <v>91.493680671329301</v>
      </c>
      <c r="C20">
        <f t="shared" si="1"/>
        <v>91.948747236432922</v>
      </c>
      <c r="D20">
        <v>31.659673067343999</v>
      </c>
      <c r="E20">
        <f t="shared" si="2"/>
        <v>33.72174508935732</v>
      </c>
      <c r="F20">
        <f t="shared" si="3"/>
        <v>32.789165140424757</v>
      </c>
      <c r="G20">
        <v>0</v>
      </c>
      <c r="H20">
        <v>91.493680671329301</v>
      </c>
    </row>
    <row r="21" spans="1:8" x14ac:dyDescent="0.35">
      <c r="A21" t="s">
        <v>26</v>
      </c>
      <c r="B21">
        <f t="shared" si="0"/>
        <v>90.602716615175694</v>
      </c>
      <c r="C21">
        <f t="shared" si="1"/>
        <v>92.024213195436658</v>
      </c>
      <c r="D21">
        <v>31.473443625845999</v>
      </c>
      <c r="E21">
        <f t="shared" si="2"/>
        <v>34.889609889663525</v>
      </c>
      <c r="F21">
        <f t="shared" si="3"/>
        <v>35.033424473988163</v>
      </c>
      <c r="G21">
        <v>0</v>
      </c>
      <c r="H21">
        <v>90.602716615175694</v>
      </c>
    </row>
    <row r="22" spans="1:8" x14ac:dyDescent="0.35">
      <c r="A22" t="s">
        <v>27</v>
      </c>
      <c r="B22">
        <f t="shared" si="0"/>
        <v>90.173977053680005</v>
      </c>
      <c r="C22">
        <f t="shared" si="1"/>
        <v>91.87128703428111</v>
      </c>
      <c r="D22">
        <v>31.851141941655001</v>
      </c>
      <c r="E22">
        <f t="shared" si="2"/>
        <v>35.451596469157153</v>
      </c>
      <c r="F22">
        <f t="shared" si="3"/>
        <v>36.129186612629702</v>
      </c>
      <c r="G22">
        <v>0</v>
      </c>
      <c r="H22">
        <v>90.173977053680005</v>
      </c>
    </row>
    <row r="23" spans="1:8" x14ac:dyDescent="0.35">
      <c r="A23" t="s">
        <v>28</v>
      </c>
      <c r="B23">
        <f t="shared" si="0"/>
        <v>90.651394417558507</v>
      </c>
      <c r="C23">
        <f t="shared" si="1"/>
        <v>91.884105390882638</v>
      </c>
      <c r="D23">
        <v>31.8194347825062</v>
      </c>
      <c r="E23">
        <f t="shared" si="2"/>
        <v>34.825803620974561</v>
      </c>
      <c r="F23">
        <f t="shared" si="3"/>
        <v>34.90967013646862</v>
      </c>
      <c r="G23">
        <v>0</v>
      </c>
      <c r="H23">
        <v>90.651394417558507</v>
      </c>
    </row>
    <row r="24" spans="1:8" x14ac:dyDescent="0.35">
      <c r="A24" t="s">
        <v>29</v>
      </c>
      <c r="B24">
        <f t="shared" si="0"/>
        <v>91.881430113799993</v>
      </c>
      <c r="C24">
        <f t="shared" si="1"/>
        <v>91.973115608072035</v>
      </c>
      <c r="D24">
        <v>31.599505151353402</v>
      </c>
      <c r="E24">
        <f t="shared" si="2"/>
        <v>33.213487857124136</v>
      </c>
      <c r="F24">
        <f t="shared" si="3"/>
        <v>31.826051548969875</v>
      </c>
      <c r="G24">
        <v>0</v>
      </c>
      <c r="H24">
        <v>91.881430113799993</v>
      </c>
    </row>
    <row r="25" spans="1:8" x14ac:dyDescent="0.35">
      <c r="A25" t="s">
        <v>30</v>
      </c>
      <c r="B25">
        <f t="shared" si="0"/>
        <v>92.062789814456096</v>
      </c>
      <c r="C25">
        <f t="shared" si="1"/>
        <v>92.028314578038348</v>
      </c>
      <c r="D25">
        <v>31.463331280833</v>
      </c>
      <c r="E25">
        <f t="shared" si="2"/>
        <v>32.975763777092546</v>
      </c>
      <c r="F25">
        <f t="shared" si="3"/>
        <v>31.378364957015609</v>
      </c>
      <c r="G25">
        <v>0</v>
      </c>
      <c r="H25">
        <v>92.062789814456096</v>
      </c>
    </row>
    <row r="26" spans="1:8" x14ac:dyDescent="0.35">
      <c r="A26" t="s">
        <v>31</v>
      </c>
      <c r="B26">
        <f t="shared" si="0"/>
        <v>91.416558199218699</v>
      </c>
      <c r="C26">
        <f t="shared" si="1"/>
        <v>91.348596546885275</v>
      </c>
      <c r="D26">
        <v>33.151635158716701</v>
      </c>
      <c r="E26">
        <f t="shared" si="2"/>
        <v>33.822836283629961</v>
      </c>
      <c r="F26">
        <f t="shared" si="3"/>
        <v>32.98170034547347</v>
      </c>
      <c r="G26">
        <v>0</v>
      </c>
      <c r="H26">
        <v>91.416558199218699</v>
      </c>
    </row>
    <row r="27" spans="1:8" x14ac:dyDescent="0.35">
      <c r="A27" t="s">
        <v>32</v>
      </c>
      <c r="B27">
        <f t="shared" si="0"/>
        <v>90.060859484378497</v>
      </c>
      <c r="C27">
        <f t="shared" si="1"/>
        <v>91.409778975152463</v>
      </c>
      <c r="D27">
        <v>32.998640120501001</v>
      </c>
      <c r="E27">
        <f t="shared" si="2"/>
        <v>35.599869597092017</v>
      </c>
      <c r="F27">
        <f t="shared" si="3"/>
        <v>36.420029151883377</v>
      </c>
      <c r="G27">
        <v>0</v>
      </c>
      <c r="H27">
        <v>90.060859484378497</v>
      </c>
    </row>
    <row r="28" spans="1:8" x14ac:dyDescent="0.35">
      <c r="A28" t="s">
        <v>33</v>
      </c>
      <c r="B28">
        <f t="shared" si="0"/>
        <v>90.066895924202498</v>
      </c>
      <c r="C28">
        <f t="shared" si="1"/>
        <v>91.491562546642655</v>
      </c>
      <c r="D28">
        <v>32.794448674991102</v>
      </c>
      <c r="E28">
        <f t="shared" si="2"/>
        <v>35.591957105515142</v>
      </c>
      <c r="F28">
        <f t="shared" si="3"/>
        <v>36.404490091016136</v>
      </c>
      <c r="G28">
        <v>0</v>
      </c>
      <c r="H28">
        <v>90.066895924202498</v>
      </c>
    </row>
    <row r="29" spans="1:8" x14ac:dyDescent="0.35">
      <c r="A29" t="s">
        <v>34</v>
      </c>
      <c r="B29">
        <f t="shared" si="0"/>
        <v>90.545565513363997</v>
      </c>
      <c r="C29">
        <f t="shared" si="1"/>
        <v>91.743882713805561</v>
      </c>
      <c r="D29">
        <v>32.166767682053397</v>
      </c>
      <c r="E29">
        <f t="shared" si="2"/>
        <v>34.964522855729456</v>
      </c>
      <c r="F29">
        <f t="shared" si="3"/>
        <v>35.178890433948403</v>
      </c>
      <c r="G29">
        <v>0</v>
      </c>
      <c r="H29">
        <v>90.545565513363997</v>
      </c>
    </row>
    <row r="30" spans="1:8" x14ac:dyDescent="0.35">
      <c r="A30" t="s">
        <v>35</v>
      </c>
      <c r="B30">
        <f t="shared" si="0"/>
        <v>90.969161485897004</v>
      </c>
      <c r="C30">
        <f t="shared" si="1"/>
        <v>92.003637680640523</v>
      </c>
      <c r="D30">
        <v>31.524188101936598</v>
      </c>
      <c r="E30">
        <f t="shared" si="2"/>
        <v>34.409278429811238</v>
      </c>
      <c r="F30">
        <f t="shared" si="3"/>
        <v>34.105060218175545</v>
      </c>
      <c r="G30">
        <v>0</v>
      </c>
      <c r="H30">
        <v>90.969161485897004</v>
      </c>
    </row>
    <row r="31" spans="1:8" x14ac:dyDescent="0.35">
      <c r="A31" t="s">
        <v>36</v>
      </c>
      <c r="B31">
        <f t="shared" si="0"/>
        <v>91.249585832524204</v>
      </c>
      <c r="C31">
        <f t="shared" si="1"/>
        <v>92.160123936914772</v>
      </c>
      <c r="D31">
        <v>31.138822162791101</v>
      </c>
      <c r="E31">
        <f t="shared" si="2"/>
        <v>34.041701622068153</v>
      </c>
      <c r="F31">
        <f t="shared" si="3"/>
        <v>33.399659661457683</v>
      </c>
      <c r="G31">
        <v>0</v>
      </c>
      <c r="H31">
        <v>91.249585832524204</v>
      </c>
    </row>
    <row r="32" spans="1:8" x14ac:dyDescent="0.35">
      <c r="A32" t="s">
        <v>37</v>
      </c>
      <c r="B32">
        <f t="shared" si="0"/>
        <v>91.645203798133593</v>
      </c>
      <c r="C32">
        <f t="shared" si="1"/>
        <v>92.336924825712515</v>
      </c>
      <c r="D32">
        <v>30.705000572561101</v>
      </c>
      <c r="E32">
        <f t="shared" si="2"/>
        <v>33.523130425830914</v>
      </c>
      <c r="F32">
        <f t="shared" si="3"/>
        <v>32.411833469859999</v>
      </c>
      <c r="G32">
        <v>0</v>
      </c>
      <c r="H32">
        <v>91.645203798133593</v>
      </c>
    </row>
    <row r="33" spans="1:8" x14ac:dyDescent="0.35">
      <c r="A33" t="s">
        <v>38</v>
      </c>
      <c r="B33">
        <f t="shared" si="0"/>
        <v>91.803241339848697</v>
      </c>
      <c r="C33">
        <f t="shared" si="1"/>
        <v>92.425430557288848</v>
      </c>
      <c r="D33">
        <v>30.488454813834799</v>
      </c>
      <c r="E33">
        <f t="shared" si="2"/>
        <v>33.315976746823047</v>
      </c>
      <c r="F33">
        <f t="shared" si="3"/>
        <v>32.019606291304093</v>
      </c>
      <c r="G33">
        <v>0</v>
      </c>
      <c r="H33">
        <v>91.803241339848697</v>
      </c>
    </row>
    <row r="34" spans="1:8" x14ac:dyDescent="0.35">
      <c r="A34" t="s">
        <v>39</v>
      </c>
      <c r="B34">
        <f t="shared" si="0"/>
        <v>91.720438512182696</v>
      </c>
      <c r="C34">
        <f t="shared" si="1"/>
        <v>92.459393309396106</v>
      </c>
      <c r="D34">
        <v>30.405468680709301</v>
      </c>
      <c r="E34">
        <f t="shared" si="2"/>
        <v>33.424513681763408</v>
      </c>
      <c r="F34">
        <f t="shared" si="3"/>
        <v>32.2249428149658</v>
      </c>
      <c r="G34">
        <v>0</v>
      </c>
      <c r="H34">
        <v>91.720438512182696</v>
      </c>
    </row>
    <row r="35" spans="1:8" x14ac:dyDescent="0.35">
      <c r="A35" t="s">
        <v>40</v>
      </c>
      <c r="B35">
        <f t="shared" si="0"/>
        <v>91.745912789318794</v>
      </c>
      <c r="C35">
        <f t="shared" si="1"/>
        <v>92.45518413841026</v>
      </c>
      <c r="D35">
        <v>30.4157502506878</v>
      </c>
      <c r="E35">
        <f t="shared" si="2"/>
        <v>33.39112231050099</v>
      </c>
      <c r="F35">
        <f t="shared" si="3"/>
        <v>32.161731591554592</v>
      </c>
      <c r="G35">
        <v>0</v>
      </c>
      <c r="H35">
        <v>91.745912789318794</v>
      </c>
    </row>
    <row r="36" spans="1:8" x14ac:dyDescent="0.35">
      <c r="A36" t="s">
        <v>41</v>
      </c>
      <c r="B36">
        <f t="shared" si="0"/>
        <v>91.507326870385398</v>
      </c>
      <c r="C36">
        <f t="shared" si="1"/>
        <v>92.477160908895243</v>
      </c>
      <c r="D36">
        <v>30.3620788052596</v>
      </c>
      <c r="E36">
        <f t="shared" si="2"/>
        <v>33.703857818343948</v>
      </c>
      <c r="F36">
        <f t="shared" si="3"/>
        <v>32.755131382218593</v>
      </c>
      <c r="G36">
        <v>0</v>
      </c>
      <c r="H36">
        <v>91.507326870385398</v>
      </c>
    </row>
    <row r="37" spans="1:8" x14ac:dyDescent="0.35">
      <c r="A37" t="s">
        <v>42</v>
      </c>
      <c r="B37">
        <f t="shared" si="0"/>
        <v>91.644206125434707</v>
      </c>
      <c r="C37">
        <f t="shared" si="1"/>
        <v>92.487945396710955</v>
      </c>
      <c r="D37">
        <v>30.335750368182499</v>
      </c>
      <c r="E37">
        <f t="shared" si="2"/>
        <v>33.524438163016505</v>
      </c>
      <c r="F37">
        <f t="shared" si="3"/>
        <v>32.414313851500907</v>
      </c>
      <c r="G37">
        <v>0</v>
      </c>
      <c r="H37">
        <v>91.644206125434707</v>
      </c>
    </row>
    <row r="38" spans="1:8" x14ac:dyDescent="0.35">
      <c r="A38" t="s">
        <v>43</v>
      </c>
      <c r="B38">
        <f t="shared" si="0"/>
        <v>91.303548147706195</v>
      </c>
      <c r="C38">
        <f t="shared" si="1"/>
        <v>91.684146194414012</v>
      </c>
      <c r="D38">
        <v>32.315058318218497</v>
      </c>
      <c r="E38">
        <f t="shared" si="2"/>
        <v>33.970968478560494</v>
      </c>
      <c r="F38">
        <f t="shared" si="3"/>
        <v>33.264415915192068</v>
      </c>
      <c r="G38">
        <v>0</v>
      </c>
      <c r="H38">
        <v>91.303548147706195</v>
      </c>
    </row>
    <row r="39" spans="1:8" x14ac:dyDescent="0.35">
      <c r="A39" t="s">
        <v>44</v>
      </c>
      <c r="B39">
        <f t="shared" si="0"/>
        <v>90.322008320383702</v>
      </c>
      <c r="C39">
        <f t="shared" si="1"/>
        <v>90.092949718973458</v>
      </c>
      <c r="D39">
        <v>36.337446053406097</v>
      </c>
      <c r="E39">
        <f t="shared" si="2"/>
        <v>35.257558893192154</v>
      </c>
      <c r="F39">
        <f t="shared" si="3"/>
        <v>35.749676091383051</v>
      </c>
      <c r="G39">
        <v>0</v>
      </c>
      <c r="H39">
        <v>90.322008320383702</v>
      </c>
    </row>
    <row r="40" spans="1:8" x14ac:dyDescent="0.35">
      <c r="A40" t="s">
        <v>45</v>
      </c>
      <c r="B40">
        <f t="shared" si="0"/>
        <v>89.340468493061195</v>
      </c>
      <c r="C40">
        <f t="shared" si="1"/>
        <v>89.817079097749442</v>
      </c>
      <c r="D40">
        <v>37.0493163861155</v>
      </c>
      <c r="E40">
        <f t="shared" si="2"/>
        <v>36.544149307823837</v>
      </c>
      <c r="F40">
        <f t="shared" si="3"/>
        <v>38.289544932277423</v>
      </c>
      <c r="G40">
        <v>0</v>
      </c>
      <c r="H40">
        <v>89.340468493061195</v>
      </c>
    </row>
    <row r="41" spans="1:8" x14ac:dyDescent="0.35">
      <c r="A41" t="s">
        <v>46</v>
      </c>
      <c r="B41">
        <f t="shared" si="0"/>
        <v>88.358928665738603</v>
      </c>
      <c r="C41">
        <f t="shared" si="1"/>
        <v>89.774518074046412</v>
      </c>
      <c r="D41">
        <v>37.159532534574801</v>
      </c>
      <c r="E41">
        <f t="shared" si="2"/>
        <v>37.830739722455625</v>
      </c>
      <c r="F41">
        <f t="shared" si="3"/>
        <v>40.885842307586358</v>
      </c>
      <c r="G41">
        <v>0</v>
      </c>
      <c r="H41">
        <v>88.358928665738603</v>
      </c>
    </row>
    <row r="42" spans="1:8" x14ac:dyDescent="0.35">
      <c r="A42" t="s">
        <v>47</v>
      </c>
      <c r="B42">
        <f t="shared" si="0"/>
        <v>89.022057709365896</v>
      </c>
      <c r="C42">
        <f t="shared" si="1"/>
        <v>90.201447161727074</v>
      </c>
      <c r="D42">
        <v>36.058666854678798</v>
      </c>
      <c r="E42">
        <f t="shared" si="2"/>
        <v>36.961518273212874</v>
      </c>
      <c r="F42">
        <f t="shared" si="3"/>
        <v>39.125507995083829</v>
      </c>
      <c r="G42">
        <v>0</v>
      </c>
      <c r="H42">
        <v>89.022057709365896</v>
      </c>
    </row>
    <row r="43" spans="1:8" x14ac:dyDescent="0.35">
      <c r="A43" t="s">
        <v>48</v>
      </c>
      <c r="B43">
        <f t="shared" si="0"/>
        <v>88.961398625484705</v>
      </c>
      <c r="C43">
        <f t="shared" si="1"/>
        <v>90.487341262280921</v>
      </c>
      <c r="D43">
        <v>35.3272768251298</v>
      </c>
      <c r="E43">
        <f t="shared" si="2"/>
        <v>37.041029459320086</v>
      </c>
      <c r="F43">
        <f t="shared" si="3"/>
        <v>39.285442360385915</v>
      </c>
      <c r="G43">
        <v>0</v>
      </c>
      <c r="H43">
        <v>88.961398625484705</v>
      </c>
    </row>
    <row r="44" spans="1:8" x14ac:dyDescent="0.35">
      <c r="A44" t="s">
        <v>49</v>
      </c>
      <c r="B44">
        <f t="shared" si="0"/>
        <v>89.44241285519665</v>
      </c>
      <c r="C44">
        <f t="shared" si="1"/>
        <v>90.666651476665379</v>
      </c>
      <c r="D44">
        <v>34.870909228816899</v>
      </c>
      <c r="E44">
        <f t="shared" si="2"/>
        <v>36.410521883344273</v>
      </c>
      <c r="F44">
        <f t="shared" si="3"/>
        <v>38.023155706430828</v>
      </c>
      <c r="G44">
        <v>0.20099999999999901</v>
      </c>
      <c r="H44">
        <v>89.262633605357706</v>
      </c>
    </row>
    <row r="45" spans="1:8" x14ac:dyDescent="0.35">
      <c r="A45" t="s">
        <v>50</v>
      </c>
      <c r="B45">
        <f t="shared" si="0"/>
        <v>88.726425256945447</v>
      </c>
      <c r="C45">
        <f t="shared" si="1"/>
        <v>90.182451509378552</v>
      </c>
      <c r="D45">
        <v>36.107426871348601</v>
      </c>
      <c r="E45">
        <f t="shared" si="2"/>
        <v>37.349029680239283</v>
      </c>
      <c r="F45">
        <f t="shared" si="3"/>
        <v>39.907039820646013</v>
      </c>
      <c r="G45">
        <v>0.23449999999999999</v>
      </c>
      <c r="H45">
        <v>88.5183617897179</v>
      </c>
    </row>
    <row r="46" spans="1:8" x14ac:dyDescent="0.35">
      <c r="A46" t="s">
        <v>51</v>
      </c>
      <c r="B46">
        <f t="shared" si="0"/>
        <v>89.0500453603008</v>
      </c>
      <c r="C46">
        <f t="shared" si="1"/>
        <v>89.877029352916239</v>
      </c>
      <c r="D46">
        <v>36.894246105104102</v>
      </c>
      <c r="E46">
        <f t="shared" si="2"/>
        <v>36.924832402279719</v>
      </c>
      <c r="F46">
        <f t="shared" si="3"/>
        <v>39.051788924697988</v>
      </c>
      <c r="G46">
        <v>0.26800000000000002</v>
      </c>
      <c r="H46">
        <v>88.811391238735197</v>
      </c>
    </row>
    <row r="47" spans="1:8" x14ac:dyDescent="0.35">
      <c r="A47" t="s">
        <v>52</v>
      </c>
      <c r="B47">
        <f t="shared" si="0"/>
        <v>89.062011739770909</v>
      </c>
      <c r="C47">
        <f t="shared" si="1"/>
        <v>90.385644005646839</v>
      </c>
      <c r="D47">
        <v>35.586914151347898</v>
      </c>
      <c r="E47">
        <f t="shared" si="2"/>
        <v>36.909147018258082</v>
      </c>
      <c r="F47">
        <f t="shared" si="3"/>
        <v>39.020283792960669</v>
      </c>
      <c r="G47">
        <v>0.28139999999999998</v>
      </c>
      <c r="H47">
        <v>88.811391238735197</v>
      </c>
    </row>
    <row r="48" spans="1:8" x14ac:dyDescent="0.35">
      <c r="A48" t="s">
        <v>53</v>
      </c>
      <c r="B48">
        <f t="shared" si="0"/>
        <v>89.726723880757532</v>
      </c>
      <c r="C48">
        <f t="shared" si="1"/>
        <v>90.718203534965014</v>
      </c>
      <c r="D48">
        <v>34.740036497319103</v>
      </c>
      <c r="E48">
        <f t="shared" si="2"/>
        <v>36.037850464336699</v>
      </c>
      <c r="F48">
        <f t="shared" si="3"/>
        <v>37.283425148845446</v>
      </c>
      <c r="G48">
        <v>0.33500000000000002</v>
      </c>
      <c r="H48">
        <v>89.426139355757002</v>
      </c>
    </row>
    <row r="49" spans="1:8" x14ac:dyDescent="0.35">
      <c r="A49" t="s">
        <v>54</v>
      </c>
      <c r="B49">
        <f t="shared" si="0"/>
        <v>89.805664145991258</v>
      </c>
      <c r="C49">
        <f t="shared" si="1"/>
        <v>90.95505598749827</v>
      </c>
      <c r="D49">
        <v>34.1406571505727</v>
      </c>
      <c r="E49">
        <f t="shared" si="2"/>
        <v>35.934376529045409</v>
      </c>
      <c r="F49">
        <f t="shared" si="3"/>
        <v>37.078866325811546</v>
      </c>
      <c r="G49">
        <v>0.33500000000000002</v>
      </c>
      <c r="H49">
        <v>89.504815171102194</v>
      </c>
    </row>
    <row r="50" spans="1:8" x14ac:dyDescent="0.35">
      <c r="A50" t="s">
        <v>55</v>
      </c>
      <c r="B50">
        <f t="shared" si="0"/>
        <v>89.884604411224998</v>
      </c>
      <c r="C50">
        <f t="shared" si="1"/>
        <v>91.108036962002458</v>
      </c>
      <c r="D50">
        <v>33.755179624401798</v>
      </c>
      <c r="E50">
        <f t="shared" si="2"/>
        <v>35.830902593754097</v>
      </c>
      <c r="F50">
        <f t="shared" si="3"/>
        <v>36.874666806305783</v>
      </c>
      <c r="G50">
        <v>0.33500000000000002</v>
      </c>
      <c r="H50">
        <v>89.583490986447401</v>
      </c>
    </row>
    <row r="51" spans="1:8" x14ac:dyDescent="0.35">
      <c r="A51" t="s">
        <v>56</v>
      </c>
      <c r="B51">
        <f t="shared" si="0"/>
        <v>89.993793932433618</v>
      </c>
      <c r="C51">
        <f t="shared" si="1"/>
        <v>91.233271765105599</v>
      </c>
      <c r="D51">
        <v>33.440578497936897</v>
      </c>
      <c r="E51">
        <f t="shared" si="2"/>
        <v>35.687778303272225</v>
      </c>
      <c r="F51">
        <f t="shared" si="3"/>
        <v>36.592810170394493</v>
      </c>
      <c r="G51">
        <v>0.36849999999999999</v>
      </c>
      <c r="H51">
        <v>89.662166801792594</v>
      </c>
    </row>
    <row r="52" spans="1:8" x14ac:dyDescent="0.35">
      <c r="A52" t="s">
        <v>57</v>
      </c>
      <c r="B52">
        <f t="shared" si="0"/>
        <v>90.084876761490037</v>
      </c>
      <c r="C52">
        <f t="shared" si="1"/>
        <v>91.262687148328553</v>
      </c>
      <c r="D52">
        <v>33.366809618916299</v>
      </c>
      <c r="E52">
        <f t="shared" si="2"/>
        <v>35.568388043662289</v>
      </c>
      <c r="F52">
        <f t="shared" si="3"/>
        <v>36.358215988775974</v>
      </c>
      <c r="G52">
        <v>0.38190000000000002</v>
      </c>
      <c r="H52">
        <v>89.740842617137901</v>
      </c>
    </row>
    <row r="53" spans="1:8" x14ac:dyDescent="0.35">
      <c r="A53" t="s">
        <v>58</v>
      </c>
      <c r="B53">
        <f t="shared" si="0"/>
        <v>90.036626854870946</v>
      </c>
      <c r="C53">
        <f t="shared" si="1"/>
        <v>91.298056129482489</v>
      </c>
      <c r="D53">
        <v>33.2781730489151</v>
      </c>
      <c r="E53">
        <f t="shared" si="2"/>
        <v>35.631633431811579</v>
      </c>
      <c r="F53">
        <f t="shared" si="3"/>
        <v>36.48242998872648</v>
      </c>
      <c r="G53">
        <v>0.26800000000000002</v>
      </c>
      <c r="H53">
        <v>89.795328694899894</v>
      </c>
    </row>
    <row r="54" spans="1:8" x14ac:dyDescent="0.35">
      <c r="A54" t="s">
        <v>59</v>
      </c>
      <c r="B54">
        <f t="shared" si="0"/>
        <v>90.036233238686464</v>
      </c>
      <c r="C54">
        <f t="shared" si="1"/>
        <v>91.413348427806596</v>
      </c>
      <c r="D54">
        <v>32.989720538044701</v>
      </c>
      <c r="E54">
        <f t="shared" si="2"/>
        <v>35.632149379097569</v>
      </c>
      <c r="F54">
        <f t="shared" si="3"/>
        <v>36.483443857129195</v>
      </c>
      <c r="G54">
        <v>0.28139999999999998</v>
      </c>
      <c r="H54">
        <v>89.7828712783528</v>
      </c>
    </row>
    <row r="55" spans="1:8" x14ac:dyDescent="0.35">
      <c r="A55" t="s">
        <v>60</v>
      </c>
      <c r="B55">
        <f t="shared" si="0"/>
        <v>90.105739837415641</v>
      </c>
      <c r="C55">
        <f t="shared" si="1"/>
        <v>91.5614636715041</v>
      </c>
      <c r="D55">
        <v>32.6202136074062</v>
      </c>
      <c r="E55">
        <f t="shared" si="2"/>
        <v>35.541040978613658</v>
      </c>
      <c r="F55">
        <f t="shared" si="3"/>
        <v>36.304547524533888</v>
      </c>
      <c r="G55">
        <v>0.33500000000000002</v>
      </c>
      <c r="H55">
        <v>89.8038856089603</v>
      </c>
    </row>
    <row r="56" spans="1:8" x14ac:dyDescent="0.35">
      <c r="A56" t="s">
        <v>61</v>
      </c>
      <c r="B56">
        <f t="shared" si="0"/>
        <v>90.059656293843076</v>
      </c>
      <c r="C56">
        <f t="shared" si="1"/>
        <v>91.556667858571871</v>
      </c>
      <c r="D56">
        <v>32.632159117632497</v>
      </c>
      <c r="E56">
        <f t="shared" si="2"/>
        <v>35.601446724547017</v>
      </c>
      <c r="F56">
        <f t="shared" si="3"/>
        <v>36.423126665395067</v>
      </c>
      <c r="G56">
        <v>0.33500000000000002</v>
      </c>
      <c r="H56">
        <v>89.757956445258699</v>
      </c>
    </row>
    <row r="57" spans="1:8" x14ac:dyDescent="0.35">
      <c r="A57" t="s">
        <v>62</v>
      </c>
      <c r="B57">
        <f t="shared" si="0"/>
        <v>89.158577507514082</v>
      </c>
      <c r="C57">
        <f t="shared" si="1"/>
        <v>90.539283411374441</v>
      </c>
      <c r="D57">
        <v>35.194891389522901</v>
      </c>
      <c r="E57">
        <f t="shared" si="2"/>
        <v>36.782569789600103</v>
      </c>
      <c r="F57">
        <f t="shared" si="3"/>
        <v>38.76635453649758</v>
      </c>
      <c r="G57">
        <v>0.33500000000000002</v>
      </c>
      <c r="H57">
        <v>88.859896272863907</v>
      </c>
    </row>
    <row r="58" spans="1:8" x14ac:dyDescent="0.35">
      <c r="A58" t="s">
        <v>63</v>
      </c>
      <c r="B58">
        <f t="shared" si="0"/>
        <v>89.221272549693524</v>
      </c>
      <c r="C58">
        <f t="shared" si="1"/>
        <v>90.398448122547393</v>
      </c>
      <c r="D58">
        <v>35.5541925632211</v>
      </c>
      <c r="E58">
        <f t="shared" si="2"/>
        <v>36.700389894227911</v>
      </c>
      <c r="F58">
        <f t="shared" si="3"/>
        <v>38.601785991368921</v>
      </c>
      <c r="G58">
        <v>0.36849999999999999</v>
      </c>
      <c r="H58">
        <v>88.892492160347899</v>
      </c>
    </row>
    <row r="59" spans="1:8" x14ac:dyDescent="0.35">
      <c r="A59" t="s">
        <v>64</v>
      </c>
      <c r="B59">
        <f t="shared" si="0"/>
        <v>89.435664600334974</v>
      </c>
      <c r="C59">
        <f t="shared" si="1"/>
        <v>90.832020257582826</v>
      </c>
      <c r="D59">
        <v>34.451621502619801</v>
      </c>
      <c r="E59">
        <f t="shared" si="2"/>
        <v>36.419367413376619</v>
      </c>
      <c r="F59">
        <f t="shared" si="3"/>
        <v>38.040770696638809</v>
      </c>
      <c r="G59">
        <v>0.38190000000000002</v>
      </c>
      <c r="H59">
        <v>89.094109797226295</v>
      </c>
    </row>
    <row r="60" spans="1:8" x14ac:dyDescent="0.35">
      <c r="A60" t="s">
        <v>65</v>
      </c>
      <c r="B60">
        <f t="shared" si="0"/>
        <v>89.70483999776873</v>
      </c>
      <c r="C60">
        <f t="shared" si="1"/>
        <v>91.043092779392907</v>
      </c>
      <c r="D60">
        <v>33.918666064892903</v>
      </c>
      <c r="E60">
        <f t="shared" si="2"/>
        <v>36.066535590813039</v>
      </c>
      <c r="F60">
        <f t="shared" si="3"/>
        <v>37.340196845299801</v>
      </c>
      <c r="G60">
        <v>0.40199999999999902</v>
      </c>
      <c r="H60">
        <v>89.344226540977701</v>
      </c>
    </row>
    <row r="61" spans="1:8" x14ac:dyDescent="0.35">
      <c r="A61" t="s">
        <v>66</v>
      </c>
      <c r="B61">
        <f t="shared" si="0"/>
        <v>89.539509800973661</v>
      </c>
      <c r="C61">
        <f t="shared" si="1"/>
        <v>90.644798403516958</v>
      </c>
      <c r="D61">
        <v>34.9264315009531</v>
      </c>
      <c r="E61">
        <f t="shared" si="2"/>
        <v>36.283248393008698</v>
      </c>
      <c r="F61">
        <f t="shared" si="3"/>
        <v>37.769997199741432</v>
      </c>
      <c r="G61">
        <v>0.46899999999999997</v>
      </c>
      <c r="H61">
        <v>89.119569500007103</v>
      </c>
    </row>
    <row r="62" spans="1:8" x14ac:dyDescent="0.35">
      <c r="A62" t="s">
        <v>67</v>
      </c>
      <c r="B62">
        <f t="shared" si="0"/>
        <v>89.409918879714368</v>
      </c>
      <c r="C62">
        <f t="shared" si="1"/>
        <v>90.235210631040758</v>
      </c>
      <c r="D62">
        <v>35.9720499422329</v>
      </c>
      <c r="E62">
        <f t="shared" si="2"/>
        <v>36.453114589442428</v>
      </c>
      <c r="F62">
        <f t="shared" si="3"/>
        <v>38.107999253342115</v>
      </c>
      <c r="G62">
        <v>0.53600000000000003</v>
      </c>
      <c r="H62">
        <v>88.930681714519096</v>
      </c>
    </row>
    <row r="63" spans="1:8" x14ac:dyDescent="0.35">
      <c r="A63" t="s">
        <v>68</v>
      </c>
      <c r="B63">
        <f t="shared" si="0"/>
        <v>89.107449042586296</v>
      </c>
      <c r="C63">
        <f t="shared" si="1"/>
        <v>89.661562359331342</v>
      </c>
      <c r="D63">
        <v>37.452550331109897</v>
      </c>
      <c r="E63">
        <f t="shared" si="2"/>
        <v>36.849588356814394</v>
      </c>
      <c r="F63">
        <f t="shared" si="3"/>
        <v>38.90073334528261</v>
      </c>
      <c r="G63">
        <v>0.60299999999999998</v>
      </c>
      <c r="H63">
        <v>88.5701311248595</v>
      </c>
    </row>
    <row r="64" spans="1:8" x14ac:dyDescent="0.35">
      <c r="A64" t="s">
        <v>69</v>
      </c>
      <c r="B64">
        <f t="shared" si="0"/>
        <v>89.298565202883722</v>
      </c>
      <c r="C64">
        <f t="shared" si="1"/>
        <v>89.892835913413762</v>
      </c>
      <c r="D64">
        <v>36.853394534188098</v>
      </c>
      <c r="E64">
        <f t="shared" si="2"/>
        <v>36.599075628675152</v>
      </c>
      <c r="F64">
        <f t="shared" si="3"/>
        <v>38.399218151855443</v>
      </c>
      <c r="G64">
        <v>0.67</v>
      </c>
      <c r="H64">
        <v>88.700264816024401</v>
      </c>
    </row>
    <row r="65" spans="1:8" x14ac:dyDescent="0.35">
      <c r="A65" t="s">
        <v>70</v>
      </c>
      <c r="B65">
        <f t="shared" si="0"/>
        <v>89.578767712756914</v>
      </c>
      <c r="C65">
        <f t="shared" si="1"/>
        <v>90.451345064932411</v>
      </c>
      <c r="D65">
        <v>35.419109861034798</v>
      </c>
      <c r="E65">
        <f t="shared" si="2"/>
        <v>36.231789601839147</v>
      </c>
      <c r="F65">
        <f t="shared" si="3"/>
        <v>37.667796804937062</v>
      </c>
      <c r="G65">
        <v>0.73699999999999999</v>
      </c>
      <c r="H65">
        <v>88.918572194713903</v>
      </c>
    </row>
    <row r="66" spans="1:8" x14ac:dyDescent="0.35">
      <c r="A66" t="s">
        <v>71</v>
      </c>
      <c r="B66">
        <f t="shared" si="0"/>
        <v>90.244885468010921</v>
      </c>
      <c r="C66">
        <f t="shared" si="1"/>
        <v>90.919568506666081</v>
      </c>
      <c r="D66">
        <v>34.230262953228298</v>
      </c>
      <c r="E66">
        <f t="shared" si="2"/>
        <v>35.358650585907824</v>
      </c>
      <c r="F66">
        <f t="shared" si="3"/>
        <v>35.947242031190036</v>
      </c>
      <c r="G66">
        <v>0.77049999999999996</v>
      </c>
      <c r="H66">
        <v>89.5495486254799</v>
      </c>
    </row>
    <row r="67" spans="1:8" x14ac:dyDescent="0.35">
      <c r="A67" t="s">
        <v>72</v>
      </c>
      <c r="B67">
        <f t="shared" si="0"/>
        <v>91.492767938289447</v>
      </c>
      <c r="C67">
        <f t="shared" si="1"/>
        <v>91.267920551526373</v>
      </c>
      <c r="D67">
        <v>33.353690098410297</v>
      </c>
      <c r="E67">
        <f t="shared" si="2"/>
        <v>33.722941488675517</v>
      </c>
      <c r="F67">
        <f t="shared" si="3"/>
        <v>32.791441868070585</v>
      </c>
      <c r="G67">
        <v>0.80399999999999905</v>
      </c>
      <c r="H67">
        <v>90.757166084065602</v>
      </c>
    </row>
    <row r="68" spans="1:8" x14ac:dyDescent="0.35">
      <c r="A68" t="s">
        <v>73</v>
      </c>
      <c r="B68">
        <f t="shared" si="0"/>
        <v>91.244082812500835</v>
      </c>
      <c r="C68">
        <f t="shared" si="1"/>
        <v>91.446471891804407</v>
      </c>
      <c r="D68">
        <v>32.906982665148497</v>
      </c>
      <c r="E68">
        <f t="shared" si="2"/>
        <v>34.048914913486911</v>
      </c>
      <c r="F68">
        <f t="shared" si="3"/>
        <v>33.413460664641143</v>
      </c>
      <c r="G68">
        <v>0.81069999999999998</v>
      </c>
      <c r="H68">
        <v>90.5043670331399</v>
      </c>
    </row>
    <row r="69" spans="1:8" x14ac:dyDescent="0.35">
      <c r="A69" t="s">
        <v>74</v>
      </c>
      <c r="B69">
        <f t="shared" si="0"/>
        <v>90.507956670280421</v>
      </c>
      <c r="C69">
        <f t="shared" si="1"/>
        <v>91.010183835561875</v>
      </c>
      <c r="D69">
        <v>34.001598062262502</v>
      </c>
      <c r="E69">
        <f t="shared" si="2"/>
        <v>35.01382006779339</v>
      </c>
      <c r="F69">
        <f t="shared" si="3"/>
        <v>35.274715958022682</v>
      </c>
      <c r="G69">
        <v>0.83043890389952102</v>
      </c>
      <c r="H69">
        <v>89.756343386965895</v>
      </c>
    </row>
    <row r="70" spans="1:8" x14ac:dyDescent="0.35">
      <c r="A70" t="s">
        <v>75</v>
      </c>
      <c r="B70">
        <f t="shared" si="0"/>
        <v>89.851731495787433</v>
      </c>
      <c r="C70">
        <f t="shared" si="1"/>
        <v>91.172108766214933</v>
      </c>
      <c r="D70">
        <v>33.594117494012103</v>
      </c>
      <c r="E70">
        <f t="shared" si="2"/>
        <v>35.873992009716297</v>
      </c>
      <c r="F70">
        <f t="shared" si="3"/>
        <v>36.959657551175994</v>
      </c>
      <c r="G70">
        <v>0.84139698074909197</v>
      </c>
      <c r="H70">
        <v>89.095721739831106</v>
      </c>
    </row>
    <row r="71" spans="1:8" x14ac:dyDescent="0.35">
      <c r="A71" t="s">
        <v>76</v>
      </c>
      <c r="B71">
        <f t="shared" si="0"/>
        <v>91.042499727802053</v>
      </c>
      <c r="C71">
        <f t="shared" si="1"/>
        <v>91.463809869572856</v>
      </c>
      <c r="D71">
        <v>32.863698666536798</v>
      </c>
      <c r="E71">
        <f t="shared" si="2"/>
        <v>34.313147558261825</v>
      </c>
      <c r="F71">
        <f t="shared" si="3"/>
        <v>33.920160050708532</v>
      </c>
      <c r="G71">
        <v>0.88184628395257703</v>
      </c>
      <c r="H71">
        <v>90.239644827134896</v>
      </c>
    </row>
    <row r="72" spans="1:8" x14ac:dyDescent="0.35">
      <c r="A72" t="s">
        <v>77</v>
      </c>
      <c r="B72">
        <f t="shared" si="0"/>
        <v>91.968687737502364</v>
      </c>
      <c r="C72">
        <f t="shared" si="1"/>
        <v>91.839612781867359</v>
      </c>
      <c r="D72">
        <v>31.929528519340501</v>
      </c>
      <c r="E72">
        <f t="shared" si="2"/>
        <v>33.099111629961506</v>
      </c>
      <c r="F72">
        <f t="shared" si="3"/>
        <v>31.610435630606197</v>
      </c>
      <c r="G72">
        <v>1.6858162738342899</v>
      </c>
      <c r="H72">
        <v>90.418264632791704</v>
      </c>
    </row>
    <row r="73" spans="1:8" x14ac:dyDescent="0.35">
      <c r="A73" t="s">
        <v>78</v>
      </c>
      <c r="B73">
        <f t="shared" ref="B73:B136" si="4" xml:space="preserve"> H73/(1-$B$5*G73)</f>
        <v>92.200194977924596</v>
      </c>
      <c r="C73">
        <f t="shared" ref="C73:C136" si="5">$B$2/(1+$B$4*((D73/100)/$B$3))</f>
        <v>91.884380464376747</v>
      </c>
      <c r="D73">
        <v>31.8187544647027</v>
      </c>
      <c r="E73">
        <f t="shared" ref="E73:E136" si="6" xml:space="preserve"> (117.22 - B73)/0.7629</f>
        <v>32.795654767434002</v>
      </c>
      <c r="F73">
        <f t="shared" ref="F73:F136" si="7" xml:space="preserve"> ((($B$3 *($B$2-B73))/($B$4*B73)))*100</f>
        <v>31.040352849206172</v>
      </c>
      <c r="G73">
        <v>1.78848200910357</v>
      </c>
      <c r="H73">
        <v>90.551211078386004</v>
      </c>
    </row>
    <row r="74" spans="1:8" x14ac:dyDescent="0.35">
      <c r="A74" t="s">
        <v>79</v>
      </c>
      <c r="B74">
        <f t="shared" si="4"/>
        <v>90.778296750457159</v>
      </c>
      <c r="C74">
        <f t="shared" si="5"/>
        <v>91.819818493458328</v>
      </c>
      <c r="D74">
        <v>31.978542344228199</v>
      </c>
      <c r="E74">
        <f t="shared" si="6"/>
        <v>34.659461593318703</v>
      </c>
      <c r="F74">
        <f t="shared" si="7"/>
        <v>34.587668364124475</v>
      </c>
      <c r="G74">
        <v>1.82117125784511</v>
      </c>
      <c r="H74">
        <v>89.125068501676495</v>
      </c>
    </row>
    <row r="75" spans="1:8" x14ac:dyDescent="0.35">
      <c r="A75" t="s">
        <v>80</v>
      </c>
      <c r="B75">
        <f t="shared" si="4"/>
        <v>91.393717495994807</v>
      </c>
      <c r="C75">
        <f t="shared" si="5"/>
        <v>91.762996928613262</v>
      </c>
      <c r="D75">
        <v>32.119359103697299</v>
      </c>
      <c r="E75">
        <f t="shared" si="6"/>
        <v>33.852775598381427</v>
      </c>
      <c r="F75">
        <f t="shared" si="7"/>
        <v>33.038784219197517</v>
      </c>
      <c r="G75">
        <v>2.1666320989718901</v>
      </c>
      <c r="H75">
        <v>89.413551876282895</v>
      </c>
    </row>
    <row r="76" spans="1:8" x14ac:dyDescent="0.35">
      <c r="A76" t="s">
        <v>81</v>
      </c>
      <c r="B76">
        <f t="shared" si="4"/>
        <v>92.057374933709212</v>
      </c>
      <c r="C76">
        <f t="shared" si="5"/>
        <v>92.058769154761549</v>
      </c>
      <c r="D76">
        <v>31.388270840056101</v>
      </c>
      <c r="E76">
        <f t="shared" si="6"/>
        <v>32.982861536624441</v>
      </c>
      <c r="F76">
        <f t="shared" si="7"/>
        <v>31.391706048230578</v>
      </c>
      <c r="G76">
        <v>2.4818230377693502</v>
      </c>
      <c r="H76">
        <v>89.772673794638706</v>
      </c>
    </row>
    <row r="77" spans="1:8" x14ac:dyDescent="0.35">
      <c r="A77" t="s">
        <v>82</v>
      </c>
      <c r="B77">
        <f t="shared" si="4"/>
        <v>92.35170188122747</v>
      </c>
      <c r="C77">
        <f t="shared" si="5"/>
        <v>92.287474778101185</v>
      </c>
      <c r="D77">
        <v>30.826170185197999</v>
      </c>
      <c r="E77">
        <f t="shared" si="6"/>
        <v>32.597061369475064</v>
      </c>
      <c r="F77">
        <f t="shared" si="7"/>
        <v>30.668816889564233</v>
      </c>
      <c r="G77">
        <v>2.4818230377693502</v>
      </c>
      <c r="H77">
        <v>90.059696068167099</v>
      </c>
    </row>
    <row r="78" spans="1:8" x14ac:dyDescent="0.35">
      <c r="A78" t="s">
        <v>83</v>
      </c>
      <c r="B78">
        <f t="shared" si="4"/>
        <v>92.19374780378736</v>
      </c>
      <c r="C78">
        <f t="shared" si="5"/>
        <v>92.300166825949091</v>
      </c>
      <c r="D78">
        <v>30.795057920367299</v>
      </c>
      <c r="E78">
        <f t="shared" si="6"/>
        <v>32.804105644530921</v>
      </c>
      <c r="F78">
        <f t="shared" si="7"/>
        <v>31.056190153677036</v>
      </c>
      <c r="G78">
        <v>2.4818230377693502</v>
      </c>
      <c r="H78">
        <v>89.905662131409997</v>
      </c>
    </row>
    <row r="79" spans="1:8" x14ac:dyDescent="0.35">
      <c r="A79" t="s">
        <v>84</v>
      </c>
      <c r="B79">
        <f t="shared" si="4"/>
        <v>92.312427853210181</v>
      </c>
      <c r="C79">
        <f t="shared" si="5"/>
        <v>92.175403747903914</v>
      </c>
      <c r="D79">
        <v>31.101263937880301</v>
      </c>
      <c r="E79">
        <f t="shared" si="6"/>
        <v>32.648541285607308</v>
      </c>
      <c r="F79">
        <f t="shared" si="7"/>
        <v>30.765010349109652</v>
      </c>
      <c r="G79">
        <v>2.4818230377693502</v>
      </c>
      <c r="H79">
        <v>90.021396752024998</v>
      </c>
    </row>
    <row r="80" spans="1:8" x14ac:dyDescent="0.35">
      <c r="A80" t="s">
        <v>85</v>
      </c>
      <c r="B80">
        <f t="shared" si="4"/>
        <v>92.028847423460249</v>
      </c>
      <c r="C80">
        <f t="shared" si="5"/>
        <v>92.384191893588763</v>
      </c>
      <c r="D80">
        <v>30.589301263243598</v>
      </c>
      <c r="E80">
        <f t="shared" si="6"/>
        <v>33.020255048551249</v>
      </c>
      <c r="F80">
        <f t="shared" si="7"/>
        <v>31.462017566426749</v>
      </c>
      <c r="G80">
        <v>2.4818230377693502</v>
      </c>
      <c r="H80">
        <v>89.744854286711202</v>
      </c>
    </row>
    <row r="81" spans="1:8" x14ac:dyDescent="0.35">
      <c r="A81" t="s">
        <v>86</v>
      </c>
      <c r="B81">
        <f t="shared" si="4"/>
        <v>92.582869164739463</v>
      </c>
      <c r="C81">
        <f t="shared" si="5"/>
        <v>92.70784239519287</v>
      </c>
      <c r="D81">
        <v>29.8002461812139</v>
      </c>
      <c r="E81">
        <f t="shared" si="6"/>
        <v>32.294050118312406</v>
      </c>
      <c r="F81">
        <f t="shared" si="7"/>
        <v>30.104275216704814</v>
      </c>
      <c r="G81">
        <v>2.6958052530726802</v>
      </c>
      <c r="H81">
        <v>90.087015314351007</v>
      </c>
    </row>
    <row r="82" spans="1:8" x14ac:dyDescent="0.35">
      <c r="A82" t="s">
        <v>87</v>
      </c>
      <c r="B82">
        <f t="shared" si="4"/>
        <v>92.104827666520009</v>
      </c>
      <c r="C82">
        <f t="shared" si="5"/>
        <v>92.822206792704861</v>
      </c>
      <c r="D82">
        <v>29.5227431967092</v>
      </c>
      <c r="E82">
        <f t="shared" si="6"/>
        <v>32.920661074164357</v>
      </c>
      <c r="F82">
        <f t="shared" si="7"/>
        <v>31.274846171829413</v>
      </c>
      <c r="G82">
        <v>2.70934767640806</v>
      </c>
      <c r="H82">
        <v>89.609387658277498</v>
      </c>
    </row>
    <row r="83" spans="1:8" x14ac:dyDescent="0.35">
      <c r="A83" t="s">
        <v>88</v>
      </c>
      <c r="B83">
        <f t="shared" si="4"/>
        <v>92.407171517177645</v>
      </c>
      <c r="C83">
        <f t="shared" si="5"/>
        <v>91.916175557294437</v>
      </c>
      <c r="D83">
        <v>31.740145579730001</v>
      </c>
      <c r="E83">
        <f t="shared" si="6"/>
        <v>32.524352448318723</v>
      </c>
      <c r="F83">
        <f t="shared" si="7"/>
        <v>30.533094995989867</v>
      </c>
      <c r="G83">
        <v>2.8464038915034799</v>
      </c>
      <c r="H83">
        <v>89.776890191084405</v>
      </c>
    </row>
    <row r="84" spans="1:8" x14ac:dyDescent="0.35">
      <c r="A84" t="s">
        <v>89</v>
      </c>
      <c r="B84">
        <f t="shared" si="4"/>
        <v>92.137346450361548</v>
      </c>
      <c r="C84">
        <f t="shared" si="5"/>
        <v>91.618849556007461</v>
      </c>
      <c r="D84">
        <v>32.477372669146398</v>
      </c>
      <c r="E84">
        <f t="shared" si="6"/>
        <v>32.878035849571965</v>
      </c>
      <c r="F84">
        <f t="shared" si="7"/>
        <v>31.194833020516437</v>
      </c>
      <c r="G84">
        <v>2.9202235339920399</v>
      </c>
      <c r="H84">
        <v>89.446729975722306</v>
      </c>
    </row>
    <row r="85" spans="1:8" x14ac:dyDescent="0.35">
      <c r="A85" t="s">
        <v>90</v>
      </c>
      <c r="B85">
        <f t="shared" si="4"/>
        <v>91.452549170286588</v>
      </c>
      <c r="C85">
        <f t="shared" si="5"/>
        <v>91.903684583473918</v>
      </c>
      <c r="D85">
        <v>31.7710212648884</v>
      </c>
      <c r="E85">
        <f t="shared" si="6"/>
        <v>33.775659758439389</v>
      </c>
      <c r="F85">
        <f t="shared" si="7"/>
        <v>32.891808963432275</v>
      </c>
      <c r="G85">
        <v>2.92266893356978</v>
      </c>
      <c r="H85">
        <v>88.779693926728996</v>
      </c>
    </row>
    <row r="86" spans="1:8" x14ac:dyDescent="0.35">
      <c r="A86" t="s">
        <v>91</v>
      </c>
      <c r="B86">
        <f t="shared" si="4"/>
        <v>90.749737062400541</v>
      </c>
      <c r="C86">
        <f t="shared" si="5"/>
        <v>91.013158939584983</v>
      </c>
      <c r="D86">
        <v>33.994098202371397</v>
      </c>
      <c r="E86">
        <f t="shared" si="6"/>
        <v>34.696897283522688</v>
      </c>
      <c r="F86">
        <f t="shared" si="7"/>
        <v>34.660057139431714</v>
      </c>
      <c r="G86">
        <v>2.92266893356978</v>
      </c>
      <c r="H86">
        <v>88.097422689981499</v>
      </c>
    </row>
    <row r="87" spans="1:8" x14ac:dyDescent="0.35">
      <c r="A87" t="s">
        <v>92</v>
      </c>
      <c r="B87">
        <f t="shared" si="4"/>
        <v>90.499133486205338</v>
      </c>
      <c r="C87">
        <f t="shared" si="5"/>
        <v>91.159796354535075</v>
      </c>
      <c r="D87">
        <v>33.625050559207203</v>
      </c>
      <c r="E87">
        <f t="shared" si="6"/>
        <v>35.025385389690207</v>
      </c>
      <c r="F87">
        <f t="shared" si="7"/>
        <v>35.29720854111941</v>
      </c>
      <c r="G87">
        <v>3.0482074124687801</v>
      </c>
      <c r="H87">
        <v>87.740532191058804</v>
      </c>
    </row>
    <row r="88" spans="1:8" x14ac:dyDescent="0.35">
      <c r="A88" t="s">
        <v>93</v>
      </c>
      <c r="B88">
        <f t="shared" si="4"/>
        <v>90.797392075084304</v>
      </c>
      <c r="C88">
        <f t="shared" si="5"/>
        <v>91.705672589000173</v>
      </c>
      <c r="D88">
        <v>32.261598678655503</v>
      </c>
      <c r="E88">
        <f t="shared" si="6"/>
        <v>34.634431675076279</v>
      </c>
      <c r="F88">
        <f t="shared" si="7"/>
        <v>34.539293827691367</v>
      </c>
      <c r="G88">
        <v>3.06978033730537</v>
      </c>
      <c r="H88">
        <v>88.010111586377306</v>
      </c>
    </row>
    <row r="89" spans="1:8" x14ac:dyDescent="0.35">
      <c r="A89" t="s">
        <v>94</v>
      </c>
      <c r="B89">
        <f t="shared" si="4"/>
        <v>91.294569099473065</v>
      </c>
      <c r="C89">
        <f t="shared" si="5"/>
        <v>92.106570375279361</v>
      </c>
      <c r="D89">
        <v>31.270556767525001</v>
      </c>
      <c r="E89">
        <f t="shared" si="6"/>
        <v>33.98273810529156</v>
      </c>
      <c r="F89">
        <f t="shared" si="7"/>
        <v>33.286908682028773</v>
      </c>
      <c r="G89">
        <v>3.42713249369596</v>
      </c>
      <c r="H89">
        <v>88.165783256885305</v>
      </c>
    </row>
    <row r="90" spans="1:8" x14ac:dyDescent="0.35">
      <c r="A90" t="s">
        <v>95</v>
      </c>
      <c r="B90">
        <f t="shared" si="4"/>
        <v>91.296876458868653</v>
      </c>
      <c r="C90">
        <f t="shared" si="5"/>
        <v>92.077657415574421</v>
      </c>
      <c r="D90">
        <v>31.341742482722601</v>
      </c>
      <c r="E90">
        <f t="shared" si="6"/>
        <v>33.979713646783779</v>
      </c>
      <c r="F90">
        <f t="shared" si="7"/>
        <v>33.281128259855493</v>
      </c>
      <c r="G90">
        <v>3.3678601229899701</v>
      </c>
      <c r="H90">
        <v>88.222125363074994</v>
      </c>
    </row>
    <row r="91" spans="1:8" x14ac:dyDescent="0.35">
      <c r="A91" t="s">
        <v>96</v>
      </c>
      <c r="B91">
        <f t="shared" si="4"/>
        <v>91.636652798014609</v>
      </c>
      <c r="C91">
        <f t="shared" si="5"/>
        <v>92.013725695566947</v>
      </c>
      <c r="D91">
        <v>31.499305644137699</v>
      </c>
      <c r="E91">
        <f t="shared" si="6"/>
        <v>33.534338972323226</v>
      </c>
      <c r="F91">
        <f t="shared" si="7"/>
        <v>32.433094442505777</v>
      </c>
      <c r="G91">
        <v>3.42713249369596</v>
      </c>
      <c r="H91">
        <v>88.4961432938385</v>
      </c>
    </row>
    <row r="92" spans="1:8" x14ac:dyDescent="0.35">
      <c r="A92" t="s">
        <v>97</v>
      </c>
      <c r="B92">
        <f t="shared" si="4"/>
        <v>92.809192607189544</v>
      </c>
      <c r="C92">
        <f t="shared" si="5"/>
        <v>92.279898436421888</v>
      </c>
      <c r="D92">
        <v>30.844746298729699</v>
      </c>
      <c r="E92">
        <f t="shared" si="6"/>
        <v>31.997388114838714</v>
      </c>
      <c r="F92">
        <f t="shared" si="7"/>
        <v>29.554287379765139</v>
      </c>
      <c r="G92">
        <v>3.8468191055923202</v>
      </c>
      <c r="H92">
        <v>89.238990854230195</v>
      </c>
    </row>
    <row r="93" spans="1:8" x14ac:dyDescent="0.35">
      <c r="A93" t="s">
        <v>98</v>
      </c>
      <c r="B93">
        <f t="shared" si="4"/>
        <v>92.364423952271366</v>
      </c>
      <c r="C93">
        <f t="shared" si="5"/>
        <v>92.178785731915127</v>
      </c>
      <c r="D93">
        <v>31.092952604678199</v>
      </c>
      <c r="E93">
        <f t="shared" si="6"/>
        <v>32.580385434170445</v>
      </c>
      <c r="F93">
        <f t="shared" si="7"/>
        <v>30.637674397513305</v>
      </c>
      <c r="G93">
        <v>3.8685945587773101</v>
      </c>
      <c r="H93">
        <v>88.791218873007793</v>
      </c>
    </row>
    <row r="94" spans="1:8" x14ac:dyDescent="0.35">
      <c r="A94" t="s">
        <v>99</v>
      </c>
      <c r="B94">
        <f t="shared" si="4"/>
        <v>92.505457668541283</v>
      </c>
      <c r="C94">
        <f t="shared" si="5"/>
        <v>91.601411356460233</v>
      </c>
      <c r="D94">
        <v>32.520759688818899</v>
      </c>
      <c r="E94">
        <f t="shared" si="6"/>
        <v>32.395520161828173</v>
      </c>
      <c r="F94">
        <f t="shared" si="7"/>
        <v>30.293010303323943</v>
      </c>
      <c r="G94">
        <v>4.1899786007279003</v>
      </c>
      <c r="H94">
        <v>88.629498787724003</v>
      </c>
    </row>
    <row r="95" spans="1:8" x14ac:dyDescent="0.35">
      <c r="A95" t="s">
        <v>100</v>
      </c>
      <c r="B95">
        <f t="shared" si="4"/>
        <v>92.4873650996376</v>
      </c>
      <c r="C95">
        <f t="shared" si="5"/>
        <v>92.165683667156316</v>
      </c>
      <c r="D95">
        <v>31.125154741045002</v>
      </c>
      <c r="E95">
        <f t="shared" si="6"/>
        <v>32.41923568011849</v>
      </c>
      <c r="F95">
        <f t="shared" si="7"/>
        <v>30.337166905488345</v>
      </c>
      <c r="G95">
        <v>4.2490783123143601</v>
      </c>
      <c r="H95">
        <v>88.557504527557896</v>
      </c>
    </row>
    <row r="96" spans="1:8" x14ac:dyDescent="0.35">
      <c r="A96" t="s">
        <v>101</v>
      </c>
      <c r="B96">
        <f t="shared" si="4"/>
        <v>93.437897285613488</v>
      </c>
      <c r="C96">
        <f t="shared" si="5"/>
        <v>92.73136352479753</v>
      </c>
      <c r="D96">
        <v>29.743116706564699</v>
      </c>
      <c r="E96">
        <f t="shared" si="6"/>
        <v>31.173289702957806</v>
      </c>
      <c r="F96">
        <f t="shared" si="7"/>
        <v>28.040454910416706</v>
      </c>
      <c r="G96">
        <v>4.4632447331445801</v>
      </c>
      <c r="H96">
        <v>89.267535256252302</v>
      </c>
    </row>
    <row r="97" spans="1:8" x14ac:dyDescent="0.35">
      <c r="A97" t="s">
        <v>102</v>
      </c>
      <c r="B97">
        <f t="shared" si="4"/>
        <v>93.761014457282016</v>
      </c>
      <c r="C97">
        <f t="shared" si="5"/>
        <v>93.106777094310246</v>
      </c>
      <c r="D97">
        <v>28.835197503355001</v>
      </c>
      <c r="E97">
        <f t="shared" si="6"/>
        <v>30.749751661709244</v>
      </c>
      <c r="F97">
        <f t="shared" si="7"/>
        <v>27.270332326209935</v>
      </c>
      <c r="G97">
        <v>4.7634787017713798</v>
      </c>
      <c r="H97">
        <v>89.294728503044595</v>
      </c>
    </row>
    <row r="98" spans="1:8" x14ac:dyDescent="0.35">
      <c r="A98" t="s">
        <v>103</v>
      </c>
      <c r="B98">
        <f t="shared" si="4"/>
        <v>93.431712617941727</v>
      </c>
      <c r="C98">
        <f t="shared" si="5"/>
        <v>93.121419319594096</v>
      </c>
      <c r="D98">
        <v>28.7999343310602</v>
      </c>
      <c r="E98">
        <f t="shared" si="6"/>
        <v>31.181396489786696</v>
      </c>
      <c r="F98">
        <f t="shared" si="7"/>
        <v>28.055247498939629</v>
      </c>
      <c r="G98">
        <v>4.7923231344130404</v>
      </c>
      <c r="H98">
        <v>88.954163039273794</v>
      </c>
    </row>
    <row r="99" spans="1:8" x14ac:dyDescent="0.35">
      <c r="A99" t="s">
        <v>104</v>
      </c>
      <c r="B99">
        <f t="shared" si="4"/>
        <v>93.644367995383476</v>
      </c>
      <c r="C99">
        <f t="shared" si="5"/>
        <v>93.085121878945145</v>
      </c>
      <c r="D99">
        <v>28.887370540225</v>
      </c>
      <c r="E99">
        <f t="shared" si="6"/>
        <v>30.902650418949431</v>
      </c>
      <c r="F99">
        <f t="shared" si="7"/>
        <v>27.547736368200077</v>
      </c>
      <c r="G99">
        <v>5.0190682206224997</v>
      </c>
      <c r="H99">
        <v>88.944293280924398</v>
      </c>
    </row>
    <row r="100" spans="1:8" x14ac:dyDescent="0.35">
      <c r="A100" t="s">
        <v>105</v>
      </c>
      <c r="B100">
        <f t="shared" si="4"/>
        <v>93.318227038885809</v>
      </c>
      <c r="C100">
        <f t="shared" si="5"/>
        <v>92.958403981211546</v>
      </c>
      <c r="D100">
        <v>29.193154150494699</v>
      </c>
      <c r="E100">
        <f t="shared" si="6"/>
        <v>31.330152000411836</v>
      </c>
      <c r="F100">
        <f t="shared" si="7"/>
        <v>28.327032236264156</v>
      </c>
      <c r="G100">
        <v>5.0533284229740998</v>
      </c>
      <c r="H100">
        <v>88.602550548114294</v>
      </c>
    </row>
    <row r="101" spans="1:8" x14ac:dyDescent="0.35">
      <c r="A101" t="s">
        <v>106</v>
      </c>
      <c r="B101">
        <f t="shared" si="4"/>
        <v>93.078395832918972</v>
      </c>
      <c r="C101">
        <f t="shared" si="5"/>
        <v>92.396824212264818</v>
      </c>
      <c r="D101">
        <v>30.558400191701999</v>
      </c>
      <c r="E101">
        <f t="shared" si="6"/>
        <v>31.644519815285133</v>
      </c>
      <c r="F101">
        <f t="shared" si="7"/>
        <v>28.903580272736157</v>
      </c>
      <c r="G101">
        <v>5.0873383013678497</v>
      </c>
      <c r="H101">
        <v>88.343182951412103</v>
      </c>
    </row>
    <row r="102" spans="1:8" x14ac:dyDescent="0.35">
      <c r="A102" t="s">
        <v>107</v>
      </c>
      <c r="B102">
        <f t="shared" si="4"/>
        <v>91.948985174527323</v>
      </c>
      <c r="C102">
        <f t="shared" si="5"/>
        <v>90.323911428040191</v>
      </c>
      <c r="D102">
        <v>35.7448051577801</v>
      </c>
      <c r="E102">
        <f t="shared" si="6"/>
        <v>33.124937508812003</v>
      </c>
      <c r="F102">
        <f t="shared" si="7"/>
        <v>31.659085420514799</v>
      </c>
      <c r="G102">
        <v>5.3545122043693496</v>
      </c>
      <c r="H102">
        <v>87.025565541563495</v>
      </c>
    </row>
    <row r="103" spans="1:8" x14ac:dyDescent="0.35">
      <c r="A103" t="s">
        <v>108</v>
      </c>
      <c r="B103">
        <f t="shared" si="4"/>
        <v>91.572462923726263</v>
      </c>
      <c r="C103">
        <f t="shared" si="5"/>
        <v>90.285747135889977</v>
      </c>
      <c r="D103">
        <v>35.842524481833401</v>
      </c>
      <c r="E103">
        <f t="shared" si="6"/>
        <v>33.618478275362087</v>
      </c>
      <c r="F103">
        <f t="shared" si="7"/>
        <v>32.592821167710731</v>
      </c>
      <c r="G103">
        <v>5.3642778177497501</v>
      </c>
      <c r="H103">
        <v>86.660261607941706</v>
      </c>
    </row>
    <row r="104" spans="1:8" x14ac:dyDescent="0.35">
      <c r="A104" t="s">
        <v>109</v>
      </c>
      <c r="B104">
        <f t="shared" si="4"/>
        <v>91.642731861870288</v>
      </c>
      <c r="C104">
        <f t="shared" si="5"/>
        <v>90.016155572551639</v>
      </c>
      <c r="D104">
        <v>36.535171254122901</v>
      </c>
      <c r="E104">
        <f t="shared" si="6"/>
        <v>33.526370609686339</v>
      </c>
      <c r="F104">
        <f t="shared" si="7"/>
        <v>32.417979216824165</v>
      </c>
      <c r="G104">
        <v>5.3642778177497501</v>
      </c>
      <c r="H104">
        <v>86.726761125024098</v>
      </c>
    </row>
    <row r="105" spans="1:8" x14ac:dyDescent="0.35">
      <c r="A105" t="s">
        <v>110</v>
      </c>
      <c r="B105">
        <f t="shared" si="4"/>
        <v>92.52527325691257</v>
      </c>
      <c r="C105">
        <f t="shared" si="5"/>
        <v>90.690512567519718</v>
      </c>
      <c r="D105">
        <v>34.810315729182598</v>
      </c>
      <c r="E105">
        <f t="shared" si="6"/>
        <v>32.369546130669065</v>
      </c>
      <c r="F105">
        <f t="shared" si="7"/>
        <v>30.244668325533052</v>
      </c>
      <c r="G105">
        <v>5.3760038414768498</v>
      </c>
      <c r="H105">
        <v>87.551111012283997</v>
      </c>
    </row>
    <row r="106" spans="1:8" x14ac:dyDescent="0.35">
      <c r="A106" t="s">
        <v>111</v>
      </c>
      <c r="B106">
        <f t="shared" si="4"/>
        <v>92.662896661827588</v>
      </c>
      <c r="C106">
        <f t="shared" si="5"/>
        <v>91.304563500456467</v>
      </c>
      <c r="D106">
        <v>33.261872706583802</v>
      </c>
      <c r="E106">
        <f t="shared" si="6"/>
        <v>32.189151052788581</v>
      </c>
      <c r="F106">
        <f t="shared" si="7"/>
        <v>29.909493629035548</v>
      </c>
      <c r="G106">
        <v>5.4063382630073997</v>
      </c>
      <c r="H106">
        <v>87.653227023988194</v>
      </c>
    </row>
    <row r="107" spans="1:8" x14ac:dyDescent="0.35">
      <c r="A107" t="s">
        <v>112</v>
      </c>
      <c r="B107">
        <f t="shared" si="4"/>
        <v>92.905026909716128</v>
      </c>
      <c r="C107">
        <f t="shared" si="5"/>
        <v>91.86499064320553</v>
      </c>
      <c r="D107">
        <v>31.866719774305999</v>
      </c>
      <c r="E107">
        <f t="shared" si="6"/>
        <v>31.871769681850662</v>
      </c>
      <c r="F107">
        <f t="shared" si="7"/>
        <v>29.322208321563199</v>
      </c>
      <c r="G107">
        <v>5.4430256422420502</v>
      </c>
      <c r="H107">
        <v>87.848182472088396</v>
      </c>
    </row>
    <row r="108" spans="1:8" x14ac:dyDescent="0.35">
      <c r="A108" t="s">
        <v>113</v>
      </c>
      <c r="B108">
        <f t="shared" si="4"/>
        <v>92.420736393214824</v>
      </c>
      <c r="C108">
        <f t="shared" si="5"/>
        <v>91.712106390485872</v>
      </c>
      <c r="D108">
        <v>32.245625550981799</v>
      </c>
      <c r="E108">
        <f t="shared" si="6"/>
        <v>32.506571774525071</v>
      </c>
      <c r="F108">
        <f t="shared" si="7"/>
        <v>30.499929545365013</v>
      </c>
      <c r="G108">
        <v>5.4144927552387596</v>
      </c>
      <c r="H108">
        <v>87.416622316865897</v>
      </c>
    </row>
    <row r="109" spans="1:8" x14ac:dyDescent="0.35">
      <c r="A109" t="s">
        <v>114</v>
      </c>
      <c r="B109">
        <f t="shared" si="4"/>
        <v>92.751729894357567</v>
      </c>
      <c r="C109">
        <f t="shared" si="5"/>
        <v>92.06302169983509</v>
      </c>
      <c r="D109">
        <v>31.377793676799399</v>
      </c>
      <c r="E109">
        <f t="shared" si="6"/>
        <v>32.072709536823218</v>
      </c>
      <c r="F109">
        <f t="shared" si="7"/>
        <v>29.693673101252298</v>
      </c>
      <c r="G109">
        <v>5.4430256422420502</v>
      </c>
      <c r="H109">
        <v>87.703229452584594</v>
      </c>
    </row>
    <row r="110" spans="1:8" x14ac:dyDescent="0.35">
      <c r="A110" t="s">
        <v>115</v>
      </c>
      <c r="B110">
        <f t="shared" si="4"/>
        <v>93.284945268831038</v>
      </c>
      <c r="C110">
        <f t="shared" si="5"/>
        <v>92.562711861349626</v>
      </c>
      <c r="D110">
        <v>30.153389849566299</v>
      </c>
      <c r="E110">
        <f t="shared" si="6"/>
        <v>31.373777338011482</v>
      </c>
      <c r="F110">
        <f t="shared" si="7"/>
        <v>28.406863600429862</v>
      </c>
      <c r="G110">
        <v>5.4430256422420502</v>
      </c>
      <c r="H110">
        <v>88.207421777497103</v>
      </c>
    </row>
    <row r="111" spans="1:8" x14ac:dyDescent="0.35">
      <c r="A111" t="s">
        <v>116</v>
      </c>
      <c r="B111">
        <f t="shared" si="4"/>
        <v>93.781827827103115</v>
      </c>
      <c r="C111">
        <f t="shared" si="5"/>
        <v>93.026405914099954</v>
      </c>
      <c r="D111">
        <v>29.028954763539399</v>
      </c>
      <c r="E111">
        <f t="shared" si="6"/>
        <v>30.722469750815158</v>
      </c>
      <c r="F111">
        <f t="shared" si="7"/>
        <v>27.220907336745249</v>
      </c>
      <c r="G111">
        <v>5.4430256422420502</v>
      </c>
      <c r="H111">
        <v>88.677258890710604</v>
      </c>
    </row>
    <row r="112" spans="1:8" x14ac:dyDescent="0.35">
      <c r="A112" t="s">
        <v>117</v>
      </c>
      <c r="B112">
        <f t="shared" si="4"/>
        <v>94.535012551522385</v>
      </c>
      <c r="C112">
        <f t="shared" si="5"/>
        <v>93.439242181173668</v>
      </c>
      <c r="D112">
        <v>28.037238426599401</v>
      </c>
      <c r="E112">
        <f t="shared" si="6"/>
        <v>29.735204415359306</v>
      </c>
      <c r="F112">
        <f t="shared" si="7"/>
        <v>25.446982153533781</v>
      </c>
      <c r="G112">
        <v>5.55367664733539</v>
      </c>
      <c r="H112">
        <v>89.284843635892898</v>
      </c>
    </row>
    <row r="113" spans="1:8" x14ac:dyDescent="0.35">
      <c r="A113" t="s">
        <v>118</v>
      </c>
      <c r="B113">
        <f t="shared" si="4"/>
        <v>94.662056499647761</v>
      </c>
      <c r="C113">
        <f t="shared" si="5"/>
        <v>93.771449656159845</v>
      </c>
      <c r="D113">
        <v>27.245549377518198</v>
      </c>
      <c r="E113">
        <f t="shared" si="6"/>
        <v>29.568676760194307</v>
      </c>
      <c r="F113">
        <f t="shared" si="7"/>
        <v>25.150546432705767</v>
      </c>
      <c r="G113">
        <v>5.55367664733539</v>
      </c>
      <c r="H113">
        <v>89.404831973939395</v>
      </c>
    </row>
    <row r="114" spans="1:8" x14ac:dyDescent="0.35">
      <c r="A114" t="s">
        <v>119</v>
      </c>
      <c r="B114">
        <f t="shared" si="4"/>
        <v>94.615247210322636</v>
      </c>
      <c r="C114">
        <f t="shared" si="5"/>
        <v>94.080560743389256</v>
      </c>
      <c r="D114">
        <v>26.513923209679302</v>
      </c>
      <c r="E114">
        <f t="shared" si="6"/>
        <v>29.630033804794024</v>
      </c>
      <c r="F114">
        <f t="shared" si="7"/>
        <v>25.259675428530677</v>
      </c>
      <c r="G114">
        <v>5.55367664733539</v>
      </c>
      <c r="H114">
        <v>89.360622321184294</v>
      </c>
    </row>
    <row r="115" spans="1:8" x14ac:dyDescent="0.35">
      <c r="A115" t="s">
        <v>120</v>
      </c>
      <c r="B115">
        <f t="shared" si="4"/>
        <v>94.148701750229549</v>
      </c>
      <c r="C115">
        <f t="shared" si="5"/>
        <v>94.31425430663208</v>
      </c>
      <c r="D115">
        <v>25.963983990271</v>
      </c>
      <c r="E115">
        <f t="shared" si="6"/>
        <v>30.241575894311769</v>
      </c>
      <c r="F115">
        <f t="shared" si="7"/>
        <v>26.353288464643239</v>
      </c>
      <c r="G115">
        <v>5.55367664733539</v>
      </c>
      <c r="H115">
        <v>88.9199872873576</v>
      </c>
    </row>
    <row r="116" spans="1:8" x14ac:dyDescent="0.35">
      <c r="A116" t="s">
        <v>121</v>
      </c>
      <c r="B116">
        <f t="shared" si="4"/>
        <v>94.480862511627663</v>
      </c>
      <c r="C116">
        <f t="shared" si="5"/>
        <v>94.550437972284541</v>
      </c>
      <c r="D116">
        <v>25.4109470343293</v>
      </c>
      <c r="E116">
        <f t="shared" si="6"/>
        <v>29.806183626127062</v>
      </c>
      <c r="F116">
        <f t="shared" si="7"/>
        <v>25.573574491414604</v>
      </c>
      <c r="G116">
        <v>5.5921360104446798</v>
      </c>
      <c r="H116">
        <v>89.197364176136205</v>
      </c>
    </row>
    <row r="117" spans="1:8" x14ac:dyDescent="0.35">
      <c r="A117" t="s">
        <v>122</v>
      </c>
      <c r="B117">
        <f t="shared" si="4"/>
        <v>94.509934633770271</v>
      </c>
      <c r="C117">
        <f t="shared" si="5"/>
        <v>94.812070971600647</v>
      </c>
      <c r="D117">
        <v>24.801535714449901</v>
      </c>
      <c r="E117">
        <f t="shared" si="6"/>
        <v>29.768076243583337</v>
      </c>
      <c r="F117">
        <f t="shared" si="7"/>
        <v>25.505591448842058</v>
      </c>
      <c r="G117">
        <v>5.7362998978501203</v>
      </c>
      <c r="H117">
        <v>89.088561349915096</v>
      </c>
    </row>
    <row r="118" spans="1:8" x14ac:dyDescent="0.35">
      <c r="A118" t="s">
        <v>123</v>
      </c>
      <c r="B118">
        <f t="shared" si="4"/>
        <v>94.819523927098771</v>
      </c>
      <c r="C118">
        <f t="shared" si="5"/>
        <v>95.141514762159844</v>
      </c>
      <c r="D118">
        <v>24.038942728144001</v>
      </c>
      <c r="E118">
        <f t="shared" si="6"/>
        <v>29.362270379998986</v>
      </c>
      <c r="F118">
        <f t="shared" si="7"/>
        <v>24.784225107337122</v>
      </c>
      <c r="G118">
        <v>5.7464601898263199</v>
      </c>
      <c r="H118">
        <v>89.370757732445199</v>
      </c>
    </row>
    <row r="119" spans="1:8" x14ac:dyDescent="0.35">
      <c r="A119" t="s">
        <v>124</v>
      </c>
      <c r="B119">
        <f t="shared" si="4"/>
        <v>95.521437593476747</v>
      </c>
      <c r="C119">
        <f t="shared" si="5"/>
        <v>95.515352478049849</v>
      </c>
      <c r="D119">
        <v>23.1799587860299</v>
      </c>
      <c r="E119">
        <f t="shared" si="6"/>
        <v>28.44221052106862</v>
      </c>
      <c r="F119">
        <f t="shared" si="7"/>
        <v>23.16603235082184</v>
      </c>
      <c r="G119">
        <v>5.7970539362760896</v>
      </c>
      <c r="H119">
        <v>89.984008335476602</v>
      </c>
    </row>
    <row r="120" spans="1:8" x14ac:dyDescent="0.35">
      <c r="A120" t="s">
        <v>125</v>
      </c>
      <c r="B120">
        <f t="shared" si="4"/>
        <v>96.071058523389013</v>
      </c>
      <c r="C120">
        <f t="shared" si="5"/>
        <v>95.900621411914386</v>
      </c>
      <c r="D120">
        <v>22.301716058769902</v>
      </c>
      <c r="E120">
        <f t="shared" si="6"/>
        <v>27.721774120606877</v>
      </c>
      <c r="F120">
        <f t="shared" si="7"/>
        <v>21.915442177770146</v>
      </c>
      <c r="G120">
        <v>5.9732704415337796</v>
      </c>
      <c r="H120">
        <v>90.332474381742799</v>
      </c>
    </row>
    <row r="121" spans="1:8" x14ac:dyDescent="0.35">
      <c r="A121" t="s">
        <v>126</v>
      </c>
      <c r="B121">
        <f t="shared" si="4"/>
        <v>96.620076323755498</v>
      </c>
      <c r="C121">
        <f t="shared" si="5"/>
        <v>96.270829753346931</v>
      </c>
      <c r="D121">
        <v>21.4644273422746</v>
      </c>
      <c r="E121">
        <f t="shared" si="6"/>
        <v>27.002128294985582</v>
      </c>
      <c r="F121">
        <f t="shared" si="7"/>
        <v>20.680428838615143</v>
      </c>
      <c r="G121">
        <v>6.1518438322923403</v>
      </c>
      <c r="H121">
        <v>90.676160117676403</v>
      </c>
    </row>
    <row r="122" spans="1:8" x14ac:dyDescent="0.35">
      <c r="A122" t="s">
        <v>127</v>
      </c>
      <c r="B122">
        <f t="shared" si="4"/>
        <v>96.329149522119124</v>
      </c>
      <c r="C122">
        <f t="shared" si="5"/>
        <v>96.602674389765184</v>
      </c>
      <c r="D122">
        <v>20.719358996576801</v>
      </c>
      <c r="E122">
        <f t="shared" si="6"/>
        <v>27.383471592451009</v>
      </c>
      <c r="F122">
        <f t="shared" si="7"/>
        <v>21.333114099182719</v>
      </c>
      <c r="G122">
        <v>5.9732704415337796</v>
      </c>
      <c r="H122">
        <v>90.575148907133496</v>
      </c>
    </row>
    <row r="123" spans="1:8" x14ac:dyDescent="0.35">
      <c r="A123" t="s">
        <v>128</v>
      </c>
      <c r="B123">
        <f t="shared" si="4"/>
        <v>96.706479507865666</v>
      </c>
      <c r="C123">
        <f t="shared" si="5"/>
        <v>96.977532872853715</v>
      </c>
      <c r="D123">
        <v>19.883847871136499</v>
      </c>
      <c r="E123">
        <f t="shared" si="6"/>
        <v>26.888872056802114</v>
      </c>
      <c r="F123">
        <f t="shared" si="7"/>
        <v>20.48734231099553</v>
      </c>
      <c r="G123">
        <v>5.9732704415337796</v>
      </c>
      <c r="H123">
        <v>90.929939952374397</v>
      </c>
    </row>
    <row r="124" spans="1:8" x14ac:dyDescent="0.35">
      <c r="A124" t="s">
        <v>129</v>
      </c>
      <c r="B124">
        <f t="shared" si="4"/>
        <v>97.003152262996892</v>
      </c>
      <c r="C124">
        <f t="shared" si="5"/>
        <v>97.344360160012897</v>
      </c>
      <c r="D124">
        <v>19.0724667794684</v>
      </c>
      <c r="E124">
        <f t="shared" si="6"/>
        <v>26.499997033691319</v>
      </c>
      <c r="F124">
        <f t="shared" si="7"/>
        <v>19.82698130774547</v>
      </c>
      <c r="G124">
        <v>5.9732704415337796</v>
      </c>
      <c r="H124">
        <v>91.208891641515294</v>
      </c>
    </row>
    <row r="125" spans="1:8" x14ac:dyDescent="0.35">
      <c r="A125" t="s">
        <v>130</v>
      </c>
      <c r="B125">
        <f t="shared" si="4"/>
        <v>97.379308942106718</v>
      </c>
      <c r="C125">
        <f t="shared" si="5"/>
        <v>97.63898252837663</v>
      </c>
      <c r="D125">
        <v>18.4252096373617</v>
      </c>
      <c r="E125">
        <f t="shared" si="6"/>
        <v>26.006935454048079</v>
      </c>
      <c r="F125">
        <f t="shared" si="7"/>
        <v>18.995482909758071</v>
      </c>
      <c r="G125">
        <v>5.9732704415337796</v>
      </c>
      <c r="H125">
        <v>91.562579464897993</v>
      </c>
    </row>
    <row r="126" spans="1:8" x14ac:dyDescent="0.35">
      <c r="A126" t="s">
        <v>131</v>
      </c>
      <c r="B126">
        <f t="shared" si="4"/>
        <v>98.559466200855894</v>
      </c>
      <c r="C126">
        <f t="shared" si="5"/>
        <v>97.917587253989112</v>
      </c>
      <c r="D126">
        <v>17.816724878372401</v>
      </c>
      <c r="E126">
        <f t="shared" si="6"/>
        <v>24.459999736720544</v>
      </c>
      <c r="F126">
        <f t="shared" si="7"/>
        <v>16.427926310472742</v>
      </c>
      <c r="G126">
        <v>5.9732704415337796</v>
      </c>
      <c r="H126">
        <v>92.672242738946693</v>
      </c>
    </row>
    <row r="127" spans="1:8" x14ac:dyDescent="0.35">
      <c r="A127" t="s">
        <v>132</v>
      </c>
      <c r="B127">
        <f t="shared" si="4"/>
        <v>99.785686740644678</v>
      </c>
      <c r="C127">
        <f t="shared" si="5"/>
        <v>98.228866030052657</v>
      </c>
      <c r="D127">
        <v>17.1409611910113</v>
      </c>
      <c r="E127">
        <f t="shared" si="6"/>
        <v>22.852684833340309</v>
      </c>
      <c r="F127">
        <f t="shared" si="7"/>
        <v>13.824488738168128</v>
      </c>
      <c r="G127">
        <v>6.1642840363195397</v>
      </c>
      <c r="H127">
        <v>93.634613582359293</v>
      </c>
    </row>
    <row r="128" spans="1:8" x14ac:dyDescent="0.35">
      <c r="A128" t="s">
        <v>133</v>
      </c>
      <c r="B128">
        <f t="shared" si="4"/>
        <v>100.34119027418149</v>
      </c>
      <c r="C128">
        <f t="shared" si="5"/>
        <v>98.52494415332616</v>
      </c>
      <c r="D128">
        <v>16.502159339338501</v>
      </c>
      <c r="E128">
        <f t="shared" si="6"/>
        <v>22.124537587912588</v>
      </c>
      <c r="F128">
        <f t="shared" si="7"/>
        <v>12.666019511491841</v>
      </c>
      <c r="G128">
        <v>6.20579722445322</v>
      </c>
      <c r="H128">
        <v>94.114219473163004</v>
      </c>
    </row>
    <row r="129" spans="1:8" x14ac:dyDescent="0.35">
      <c r="A129" t="s">
        <v>134</v>
      </c>
      <c r="B129">
        <f t="shared" si="4"/>
        <v>100.61668109756394</v>
      </c>
      <c r="C129">
        <f t="shared" si="5"/>
        <v>98.779291886785913</v>
      </c>
      <c r="D129">
        <v>15.9564505597438</v>
      </c>
      <c r="E129">
        <f t="shared" si="6"/>
        <v>21.76342758216812</v>
      </c>
      <c r="F129">
        <f t="shared" si="7"/>
        <v>12.096244923435314</v>
      </c>
      <c r="G129">
        <v>6.2095347879156098</v>
      </c>
      <c r="H129">
        <v>94.368853282364597</v>
      </c>
    </row>
    <row r="130" spans="1:8" x14ac:dyDescent="0.35">
      <c r="A130" t="s">
        <v>135</v>
      </c>
      <c r="B130">
        <f t="shared" si="4"/>
        <v>101.0380615100548</v>
      </c>
      <c r="C130">
        <f t="shared" si="5"/>
        <v>98.967243230855075</v>
      </c>
      <c r="D130">
        <v>15.5549989264365</v>
      </c>
      <c r="E130">
        <f t="shared" si="6"/>
        <v>21.211087285286663</v>
      </c>
      <c r="F130">
        <f t="shared" si="7"/>
        <v>11.230749998212184</v>
      </c>
      <c r="G130">
        <v>6.2794406910962204</v>
      </c>
      <c r="H130">
        <v>94.6934363620976</v>
      </c>
    </row>
    <row r="131" spans="1:8" x14ac:dyDescent="0.35">
      <c r="A131" t="s">
        <v>136</v>
      </c>
      <c r="B131">
        <f t="shared" si="4"/>
        <v>100.95404553976896</v>
      </c>
      <c r="C131">
        <f t="shared" si="5"/>
        <v>99.064357113565393</v>
      </c>
      <c r="D131">
        <v>15.3481669916854</v>
      </c>
      <c r="E131">
        <f t="shared" si="6"/>
        <v>21.321214392752712</v>
      </c>
      <c r="F131">
        <f t="shared" si="7"/>
        <v>11.402738055059562</v>
      </c>
      <c r="G131">
        <v>6.2794406910962204</v>
      </c>
      <c r="H131">
        <v>94.614696124836897</v>
      </c>
    </row>
    <row r="132" spans="1:8" x14ac:dyDescent="0.35">
      <c r="A132" t="s">
        <v>137</v>
      </c>
      <c r="B132">
        <f t="shared" si="4"/>
        <v>100.95618749928686</v>
      </c>
      <c r="C132">
        <f t="shared" si="5"/>
        <v>99.180279505236811</v>
      </c>
      <c r="D132">
        <v>15.1018072418783</v>
      </c>
      <c r="E132">
        <f t="shared" si="6"/>
        <v>21.318406738383985</v>
      </c>
      <c r="F132">
        <f t="shared" si="7"/>
        <v>11.398349720148623</v>
      </c>
      <c r="G132">
        <v>6.28186875148951</v>
      </c>
      <c r="H132">
        <v>94.614252304074</v>
      </c>
    </row>
    <row r="133" spans="1:8" x14ac:dyDescent="0.35">
      <c r="A133" t="s">
        <v>138</v>
      </c>
      <c r="B133">
        <f t="shared" si="4"/>
        <v>101.32618095546923</v>
      </c>
      <c r="C133">
        <f t="shared" si="5"/>
        <v>99.377324099374349</v>
      </c>
      <c r="D133">
        <v>14.684364347253</v>
      </c>
      <c r="E133">
        <f t="shared" si="6"/>
        <v>20.833423836060785</v>
      </c>
      <c r="F133">
        <f t="shared" si="7"/>
        <v>10.643110383119856</v>
      </c>
      <c r="G133">
        <v>6.28186875148951</v>
      </c>
      <c r="H133">
        <v>94.961003256949894</v>
      </c>
    </row>
    <row r="134" spans="1:8" x14ac:dyDescent="0.35">
      <c r="A134" t="s">
        <v>139</v>
      </c>
      <c r="B134">
        <f t="shared" si="4"/>
        <v>101.86777659937879</v>
      </c>
      <c r="C134">
        <f t="shared" si="5"/>
        <v>99.57274982723338</v>
      </c>
      <c r="D134">
        <v>14.2719829044572</v>
      </c>
      <c r="E134">
        <f t="shared" si="6"/>
        <v>20.12350688245014</v>
      </c>
      <c r="F134">
        <f t="shared" si="7"/>
        <v>9.5474856283297598</v>
      </c>
      <c r="G134">
        <v>6.28489659264726</v>
      </c>
      <c r="H134">
        <v>95.465492178878904</v>
      </c>
    </row>
    <row r="135" spans="1:8" x14ac:dyDescent="0.35">
      <c r="A135" t="s">
        <v>140</v>
      </c>
      <c r="B135">
        <f t="shared" si="4"/>
        <v>102.22634744068689</v>
      </c>
      <c r="C135">
        <f t="shared" si="5"/>
        <v>99.763840356217941</v>
      </c>
      <c r="D135">
        <v>13.870311719019099</v>
      </c>
      <c r="E135">
        <f t="shared" si="6"/>
        <v>19.653496604159265</v>
      </c>
      <c r="F135">
        <f t="shared" si="7"/>
        <v>8.8284995615903252</v>
      </c>
      <c r="G135">
        <v>6.2794406910962204</v>
      </c>
      <c r="H135">
        <v>95.807104582475006</v>
      </c>
    </row>
    <row r="136" spans="1:8" x14ac:dyDescent="0.35">
      <c r="A136" t="s">
        <v>141</v>
      </c>
      <c r="B136">
        <f t="shared" si="4"/>
        <v>102.40577617585495</v>
      </c>
      <c r="C136">
        <f t="shared" si="5"/>
        <v>99.873832845787888</v>
      </c>
      <c r="D136">
        <v>13.639805136925499</v>
      </c>
      <c r="E136">
        <f t="shared" si="6"/>
        <v>19.418303610099681</v>
      </c>
      <c r="F136">
        <f t="shared" si="7"/>
        <v>8.4706093064070807</v>
      </c>
      <c r="G136">
        <v>6.2794406910962204</v>
      </c>
      <c r="H136">
        <v>95.975266196635403</v>
      </c>
    </row>
    <row r="137" spans="1:8" x14ac:dyDescent="0.35">
      <c r="A137" t="s">
        <v>142</v>
      </c>
      <c r="B137">
        <f t="shared" ref="B137:B200" si="8" xml:space="preserve"> H137/(1-$B$5*G137)</f>
        <v>102.64856581027743</v>
      </c>
      <c r="C137">
        <f t="shared" ref="C137:C200" si="9">$B$2/(1+$B$4*((D137/100)/$B$3))</f>
        <v>99.987660614253699</v>
      </c>
      <c r="D137">
        <v>13.40179509969</v>
      </c>
      <c r="E137">
        <f t="shared" ref="E137:E200" si="10" xml:space="preserve"> (117.22 - B137)/0.7629</f>
        <v>19.100057923348494</v>
      </c>
      <c r="F137">
        <f t="shared" ref="F137:F200" si="11" xml:space="preserve"> ((($B$3 *($B$2-B137))/($B$4*B137)))*100</f>
        <v>7.9883307229260794</v>
      </c>
      <c r="G137">
        <v>6.2794406910962204</v>
      </c>
      <c r="H137">
        <v>96.202809999960195</v>
      </c>
    </row>
    <row r="138" spans="1:8" x14ac:dyDescent="0.35">
      <c r="A138" t="s">
        <v>143</v>
      </c>
      <c r="B138">
        <f t="shared" si="8"/>
        <v>102.89287859427695</v>
      </c>
      <c r="C138">
        <f t="shared" si="9"/>
        <v>100.08378342418659</v>
      </c>
      <c r="D138">
        <v>13.2012271610472</v>
      </c>
      <c r="E138">
        <f t="shared" si="10"/>
        <v>18.779815710739346</v>
      </c>
      <c r="F138">
        <f t="shared" si="11"/>
        <v>7.5053240127493659</v>
      </c>
      <c r="G138">
        <v>6.2794406910962204</v>
      </c>
      <c r="H138">
        <v>96.431781307587698</v>
      </c>
    </row>
    <row r="139" spans="1:8" x14ac:dyDescent="0.35">
      <c r="A139" t="s">
        <v>144</v>
      </c>
      <c r="B139">
        <f t="shared" si="8"/>
        <v>103.0385523093374</v>
      </c>
      <c r="C139">
        <f t="shared" si="9"/>
        <v>100.16274274191419</v>
      </c>
      <c r="D139">
        <v>13.0367602107941</v>
      </c>
      <c r="E139">
        <f t="shared" si="10"/>
        <v>18.588868384667183</v>
      </c>
      <c r="F139">
        <f t="shared" si="11"/>
        <v>7.218416906454789</v>
      </c>
      <c r="G139">
        <v>6.2794406910962204</v>
      </c>
      <c r="H139">
        <v>96.568307528108406</v>
      </c>
    </row>
    <row r="140" spans="1:8" x14ac:dyDescent="0.35">
      <c r="A140" t="s">
        <v>145</v>
      </c>
      <c r="B140">
        <f t="shared" si="8"/>
        <v>103.72081397011308</v>
      </c>
      <c r="C140">
        <f t="shared" si="9"/>
        <v>100.24546575268646</v>
      </c>
      <c r="D140">
        <v>12.8647316479148</v>
      </c>
      <c r="E140">
        <f t="shared" si="10"/>
        <v>17.69456813460075</v>
      </c>
      <c r="F140">
        <f t="shared" si="11"/>
        <v>5.8854158994821208</v>
      </c>
      <c r="G140">
        <v>6.2794406910962204</v>
      </c>
      <c r="H140">
        <v>97.2077269725376</v>
      </c>
    </row>
    <row r="141" spans="1:8" x14ac:dyDescent="0.35">
      <c r="A141" t="s">
        <v>146</v>
      </c>
      <c r="B141">
        <f t="shared" si="8"/>
        <v>103.95715577798653</v>
      </c>
      <c r="C141">
        <f t="shared" si="9"/>
        <v>100.31017844142683</v>
      </c>
      <c r="D141">
        <v>12.7303546672451</v>
      </c>
      <c r="E141">
        <f t="shared" si="10"/>
        <v>17.384774180119898</v>
      </c>
      <c r="F141">
        <f t="shared" si="11"/>
        <v>5.4277322233512395</v>
      </c>
      <c r="G141">
        <v>6.2706133616852098</v>
      </c>
      <c r="H141">
        <v>97.438404477344207</v>
      </c>
    </row>
    <row r="142" spans="1:8" x14ac:dyDescent="0.35">
      <c r="A142" t="s">
        <v>147</v>
      </c>
      <c r="B142">
        <f t="shared" si="8"/>
        <v>103.92351193554259</v>
      </c>
      <c r="C142">
        <f t="shared" si="9"/>
        <v>100.33021530222823</v>
      </c>
      <c r="D142">
        <v>12.688782936202999</v>
      </c>
      <c r="E142">
        <f t="shared" si="10"/>
        <v>17.428874117783991</v>
      </c>
      <c r="F142">
        <f t="shared" si="11"/>
        <v>5.4927575529058625</v>
      </c>
      <c r="G142">
        <v>6.2065052941237697</v>
      </c>
      <c r="H142">
        <v>97.473493665423803</v>
      </c>
    </row>
    <row r="143" spans="1:8" x14ac:dyDescent="0.35">
      <c r="A143" t="s">
        <v>148</v>
      </c>
      <c r="B143">
        <f t="shared" si="8"/>
        <v>103.20646417704005</v>
      </c>
      <c r="C143">
        <f t="shared" si="9"/>
        <v>100.36915426384006</v>
      </c>
      <c r="D143">
        <v>12.6080413025986</v>
      </c>
      <c r="E143">
        <f t="shared" si="10"/>
        <v>18.368771559784967</v>
      </c>
      <c r="F143">
        <f t="shared" si="11"/>
        <v>6.8887161682160416</v>
      </c>
      <c r="G143">
        <v>5.9943393673826098</v>
      </c>
      <c r="H143">
        <v>97.019918465192106</v>
      </c>
    </row>
    <row r="144" spans="1:8" x14ac:dyDescent="0.35">
      <c r="A144" t="s">
        <v>149</v>
      </c>
      <c r="B144">
        <f t="shared" si="8"/>
        <v>102.48292054169369</v>
      </c>
      <c r="C144">
        <f t="shared" si="9"/>
        <v>100.4044895380942</v>
      </c>
      <c r="D144">
        <v>12.534826272679499</v>
      </c>
      <c r="E144">
        <f t="shared" si="10"/>
        <v>19.317183717795661</v>
      </c>
      <c r="F144">
        <f t="shared" si="11"/>
        <v>8.3171216548295455</v>
      </c>
      <c r="G144">
        <v>5.3467549503807499</v>
      </c>
      <c r="H144">
        <v>97.003409914335904</v>
      </c>
    </row>
    <row r="145" spans="1:8" x14ac:dyDescent="0.35">
      <c r="A145" t="s">
        <v>150</v>
      </c>
      <c r="B145">
        <f t="shared" si="8"/>
        <v>99.104155416677997</v>
      </c>
      <c r="C145">
        <f t="shared" si="9"/>
        <v>99.670885012942605</v>
      </c>
      <c r="D145">
        <v>14.065510931278901</v>
      </c>
      <c r="E145">
        <f t="shared" si="10"/>
        <v>23.746027766839692</v>
      </c>
      <c r="F145">
        <f t="shared" si="11"/>
        <v>15.263522161100854</v>
      </c>
      <c r="G145">
        <v>4.88373154621212</v>
      </c>
      <c r="H145">
        <v>94.264174514986607</v>
      </c>
    </row>
    <row r="146" spans="1:8" x14ac:dyDescent="0.35">
      <c r="A146" t="s">
        <v>151</v>
      </c>
      <c r="B146">
        <f t="shared" si="8"/>
        <v>96.866849614595338</v>
      </c>
      <c r="C146">
        <f t="shared" si="9"/>
        <v>97.196822237088426</v>
      </c>
      <c r="D146">
        <v>19.3980679660086</v>
      </c>
      <c r="E146">
        <f t="shared" si="10"/>
        <v>26.678660880069025</v>
      </c>
      <c r="F146">
        <f t="shared" si="11"/>
        <v>20.129873756506413</v>
      </c>
      <c r="G146">
        <v>4.4355489561466603</v>
      </c>
      <c r="H146">
        <v>92.570273077663003</v>
      </c>
    </row>
    <row r="147" spans="1:8" x14ac:dyDescent="0.35">
      <c r="A147" t="s">
        <v>152</v>
      </c>
      <c r="B147">
        <f t="shared" si="8"/>
        <v>95.475153189233282</v>
      </c>
      <c r="C147">
        <f t="shared" si="9"/>
        <v>97.632210012771438</v>
      </c>
      <c r="D147">
        <v>18.4400443392759</v>
      </c>
      <c r="E147">
        <f t="shared" si="10"/>
        <v>28.50287955271558</v>
      </c>
      <c r="F147">
        <f t="shared" si="11"/>
        <v>23.272003742834279</v>
      </c>
      <c r="G147">
        <v>4.3622396555282599</v>
      </c>
      <c r="H147">
        <v>91.310298195636193</v>
      </c>
    </row>
    <row r="148" spans="1:8" x14ac:dyDescent="0.35">
      <c r="A148" t="s">
        <v>153</v>
      </c>
      <c r="B148">
        <f t="shared" si="8"/>
        <v>96.676325000244731</v>
      </c>
      <c r="C148">
        <f t="shared" si="9"/>
        <v>98.116575777733914</v>
      </c>
      <c r="D148">
        <v>17.384240805547901</v>
      </c>
      <c r="E148">
        <f t="shared" si="10"/>
        <v>26.928398217007821</v>
      </c>
      <c r="F148">
        <f t="shared" si="11"/>
        <v>20.554689846798365</v>
      </c>
      <c r="G148">
        <v>4.1741336789591701</v>
      </c>
      <c r="H148">
        <v>92.640925958829499</v>
      </c>
    </row>
    <row r="149" spans="1:8" x14ac:dyDescent="0.35">
      <c r="A149" t="s">
        <v>154</v>
      </c>
      <c r="B149">
        <f t="shared" si="8"/>
        <v>97.135877544746876</v>
      </c>
      <c r="C149">
        <f t="shared" si="9"/>
        <v>98.573220418358119</v>
      </c>
      <c r="D149">
        <v>16.398364993737701</v>
      </c>
      <c r="E149">
        <f t="shared" si="10"/>
        <v>26.326022355817436</v>
      </c>
      <c r="F149">
        <f t="shared" si="11"/>
        <v>19.532855376442733</v>
      </c>
      <c r="G149">
        <v>3.92600522735877</v>
      </c>
      <c r="H149">
        <v>93.322317914699298</v>
      </c>
    </row>
    <row r="150" spans="1:8" x14ac:dyDescent="0.35">
      <c r="A150" t="s">
        <v>155</v>
      </c>
      <c r="B150">
        <f t="shared" si="8"/>
        <v>97.072552743472698</v>
      </c>
      <c r="C150">
        <f t="shared" si="9"/>
        <v>98.920194423582558</v>
      </c>
      <c r="D150">
        <v>15.6553489222811</v>
      </c>
      <c r="E150">
        <f t="shared" si="10"/>
        <v>26.409027731717526</v>
      </c>
      <c r="F150">
        <f t="shared" si="11"/>
        <v>19.673086008637284</v>
      </c>
      <c r="G150">
        <v>3.8266997562682201</v>
      </c>
      <c r="H150">
        <v>93.357877604234901</v>
      </c>
    </row>
    <row r="151" spans="1:8" x14ac:dyDescent="0.35">
      <c r="A151" t="s">
        <v>156</v>
      </c>
      <c r="B151">
        <f t="shared" si="8"/>
        <v>97.719651484405574</v>
      </c>
      <c r="C151">
        <f t="shared" si="9"/>
        <v>99.049281004924921</v>
      </c>
      <c r="D151">
        <v>15.380249305344799</v>
      </c>
      <c r="E151">
        <f t="shared" si="10"/>
        <v>25.56081860741175</v>
      </c>
      <c r="F151">
        <f t="shared" si="11"/>
        <v>18.248668281766612</v>
      </c>
      <c r="G151">
        <v>3.6799000200486098</v>
      </c>
      <c r="H151">
        <v>94.123666009839496</v>
      </c>
    </row>
    <row r="152" spans="1:8" x14ac:dyDescent="0.35">
      <c r="A152" t="s">
        <v>157</v>
      </c>
      <c r="B152">
        <f t="shared" si="8"/>
        <v>96.868260300093681</v>
      </c>
      <c r="C152">
        <f t="shared" si="9"/>
        <v>99.100320609740564</v>
      </c>
      <c r="D152">
        <v>15.2716752420641</v>
      </c>
      <c r="E152">
        <f t="shared" si="10"/>
        <v>26.676811770751499</v>
      </c>
      <c r="F152">
        <f t="shared" si="11"/>
        <v>20.126734558562614</v>
      </c>
      <c r="G152">
        <v>3.56866874909442</v>
      </c>
      <c r="H152">
        <v>93.4113529669728</v>
      </c>
    </row>
    <row r="153" spans="1:8" x14ac:dyDescent="0.35">
      <c r="A153" t="s">
        <v>158</v>
      </c>
      <c r="B153">
        <f t="shared" si="8"/>
        <v>97.133576712452992</v>
      </c>
      <c r="C153">
        <f t="shared" si="9"/>
        <v>98.44302554324338</v>
      </c>
      <c r="D153">
        <v>16.6785179219513</v>
      </c>
      <c r="E153">
        <f t="shared" si="10"/>
        <v>26.329038258680043</v>
      </c>
      <c r="F153">
        <f t="shared" si="11"/>
        <v>19.537947290799206</v>
      </c>
      <c r="G153">
        <v>3.5344594005796002</v>
      </c>
      <c r="H153">
        <v>93.700429879220493</v>
      </c>
    </row>
    <row r="154" spans="1:8" x14ac:dyDescent="0.35">
      <c r="A154" t="s">
        <v>159</v>
      </c>
      <c r="B154">
        <f t="shared" si="8"/>
        <v>96.239560524926517</v>
      </c>
      <c r="C154">
        <f t="shared" si="9"/>
        <v>98.507021635395688</v>
      </c>
      <c r="D154">
        <v>16.540718787753001</v>
      </c>
      <c r="E154">
        <f t="shared" si="10"/>
        <v>27.500903755503316</v>
      </c>
      <c r="F154">
        <f t="shared" si="11"/>
        <v>21.534898919866468</v>
      </c>
      <c r="G154">
        <v>3.5033183552187501</v>
      </c>
      <c r="H154">
        <v>92.867982336074903</v>
      </c>
    </row>
    <row r="155" spans="1:8" x14ac:dyDescent="0.35">
      <c r="A155" t="s">
        <v>160</v>
      </c>
      <c r="B155">
        <f t="shared" si="8"/>
        <v>97.017639236466394</v>
      </c>
      <c r="C155">
        <f t="shared" si="9"/>
        <v>98.642921891717307</v>
      </c>
      <c r="D155">
        <v>16.248685515698298</v>
      </c>
      <c r="E155">
        <f t="shared" si="10"/>
        <v>26.481007685848216</v>
      </c>
      <c r="F155">
        <f t="shared" si="11"/>
        <v>19.794838316529585</v>
      </c>
      <c r="G155">
        <v>3.3578544034788398</v>
      </c>
      <c r="H155">
        <v>93.759928165213495</v>
      </c>
    </row>
    <row r="156" spans="1:8" x14ac:dyDescent="0.35">
      <c r="A156" t="s">
        <v>161</v>
      </c>
      <c r="B156">
        <f t="shared" si="8"/>
        <v>96.942459088147729</v>
      </c>
      <c r="C156">
        <f t="shared" si="9"/>
        <v>98.950847019834342</v>
      </c>
      <c r="D156">
        <v>15.589959430437</v>
      </c>
      <c r="E156">
        <f t="shared" si="10"/>
        <v>26.579552905822872</v>
      </c>
      <c r="F156">
        <f t="shared" si="11"/>
        <v>19.961748801301564</v>
      </c>
      <c r="G156">
        <v>3.2155050955001401</v>
      </c>
      <c r="H156">
        <v>93.825269376465201</v>
      </c>
    </row>
    <row r="157" spans="1:8" x14ac:dyDescent="0.35">
      <c r="A157" t="s">
        <v>162</v>
      </c>
      <c r="B157">
        <f t="shared" si="8"/>
        <v>97.146852110359745</v>
      </c>
      <c r="C157">
        <f t="shared" si="9"/>
        <v>99.233067465767363</v>
      </c>
      <c r="D157">
        <v>14.9898123244141</v>
      </c>
      <c r="E157">
        <f t="shared" si="10"/>
        <v>26.311637029283332</v>
      </c>
      <c r="F157">
        <f t="shared" si="11"/>
        <v>19.508571158955984</v>
      </c>
      <c r="G157">
        <v>3.0372881569654999</v>
      </c>
      <c r="H157">
        <v>94.196222276347001</v>
      </c>
    </row>
    <row r="158" spans="1:8" x14ac:dyDescent="0.35">
      <c r="A158" t="s">
        <v>163</v>
      </c>
      <c r="B158">
        <f t="shared" si="8"/>
        <v>97.052946254904924</v>
      </c>
      <c r="C158">
        <f t="shared" si="9"/>
        <v>99.325706700822664</v>
      </c>
      <c r="D158">
        <v>14.793556725618901</v>
      </c>
      <c r="E158">
        <f t="shared" si="10"/>
        <v>26.43472767740867</v>
      </c>
      <c r="F158">
        <f t="shared" si="11"/>
        <v>19.716541015316487</v>
      </c>
      <c r="G158">
        <v>2.70598710165843</v>
      </c>
      <c r="H158">
        <v>94.426706047467704</v>
      </c>
    </row>
    <row r="159" spans="1:8" x14ac:dyDescent="0.35">
      <c r="A159" t="s">
        <v>164</v>
      </c>
      <c r="B159">
        <f t="shared" si="8"/>
        <v>97.787250708674634</v>
      </c>
      <c r="C159">
        <f t="shared" si="9"/>
        <v>99.349673336332344</v>
      </c>
      <c r="D159">
        <v>14.742843160888899</v>
      </c>
      <c r="E159">
        <f t="shared" si="10"/>
        <v>25.472210370068638</v>
      </c>
      <c r="F159">
        <f t="shared" si="11"/>
        <v>18.100953913415911</v>
      </c>
      <c r="G159">
        <v>2.6794694020058101</v>
      </c>
      <c r="H159">
        <v>95.167071246872993</v>
      </c>
    </row>
    <row r="160" spans="1:8" x14ac:dyDescent="0.35">
      <c r="A160" t="s">
        <v>165</v>
      </c>
      <c r="B160">
        <f t="shared" si="8"/>
        <v>99.378536989128591</v>
      </c>
      <c r="C160">
        <f t="shared" si="9"/>
        <v>99.464756640753848</v>
      </c>
      <c r="D160">
        <v>14.499666533743699</v>
      </c>
      <c r="E160">
        <f t="shared" si="10"/>
        <v>23.386371753665497</v>
      </c>
      <c r="F160">
        <f t="shared" si="11"/>
        <v>14.681799942312267</v>
      </c>
      <c r="G160">
        <v>2.6750190911249798</v>
      </c>
      <c r="H160">
        <v>96.7201421521887</v>
      </c>
    </row>
    <row r="161" spans="1:8" x14ac:dyDescent="0.35">
      <c r="A161" t="s">
        <v>166</v>
      </c>
      <c r="B161">
        <f t="shared" si="8"/>
        <v>100.9454452561538</v>
      </c>
      <c r="C161">
        <f t="shared" si="9"/>
        <v>99.622236150523378</v>
      </c>
      <c r="D161">
        <v>14.1678150842577</v>
      </c>
      <c r="E161">
        <f t="shared" si="10"/>
        <v>21.332487539449726</v>
      </c>
      <c r="F161">
        <f t="shared" si="11"/>
        <v>11.420359742475872</v>
      </c>
      <c r="G161">
        <v>2.6170914227989401</v>
      </c>
      <c r="H161">
        <v>98.303610666648794</v>
      </c>
    </row>
    <row r="162" spans="1:8" x14ac:dyDescent="0.35">
      <c r="A162" t="s">
        <v>167</v>
      </c>
      <c r="B162">
        <f t="shared" si="8"/>
        <v>100.79110862680787</v>
      </c>
      <c r="C162">
        <f t="shared" si="9"/>
        <v>99.72517527707754</v>
      </c>
      <c r="D162">
        <v>13.951461268176899</v>
      </c>
      <c r="E162">
        <f t="shared" si="10"/>
        <v>21.534790107736438</v>
      </c>
      <c r="F162">
        <f t="shared" si="11"/>
        <v>11.737101437148873</v>
      </c>
      <c r="G162">
        <v>2.61318024140289</v>
      </c>
      <c r="H162">
        <v>98.157255291081199</v>
      </c>
    </row>
    <row r="163" spans="1:8" x14ac:dyDescent="0.35">
      <c r="A163" t="s">
        <v>168</v>
      </c>
      <c r="B163">
        <f t="shared" si="8"/>
        <v>100.74228104689347</v>
      </c>
      <c r="C163">
        <f t="shared" si="9"/>
        <v>99.697756877842409</v>
      </c>
      <c r="D163">
        <v>14.0090446378438</v>
      </c>
      <c r="E163">
        <f t="shared" si="10"/>
        <v>21.598792702984049</v>
      </c>
      <c r="F163">
        <f t="shared" si="11"/>
        <v>11.837511299610238</v>
      </c>
      <c r="G163">
        <v>2.5679905156167102</v>
      </c>
      <c r="H163">
        <v>98.155228824393305</v>
      </c>
    </row>
    <row r="164" spans="1:8" x14ac:dyDescent="0.35">
      <c r="A164" t="s">
        <v>169</v>
      </c>
      <c r="B164">
        <f t="shared" si="8"/>
        <v>99.381208702141365</v>
      </c>
      <c r="C164">
        <f t="shared" si="9"/>
        <v>99.75958051237302</v>
      </c>
      <c r="D164">
        <v>13.8792491166662</v>
      </c>
      <c r="E164">
        <f t="shared" si="10"/>
        <v>23.382869704887447</v>
      </c>
      <c r="F164">
        <f t="shared" si="11"/>
        <v>14.676151377616886</v>
      </c>
      <c r="G164">
        <v>2.3916775915104802</v>
      </c>
      <c r="H164">
        <v>97.004330603439996</v>
      </c>
    </row>
    <row r="165" spans="1:8" x14ac:dyDescent="0.35">
      <c r="A165" t="s">
        <v>170</v>
      </c>
      <c r="B165">
        <f t="shared" si="8"/>
        <v>99.57315372093548</v>
      </c>
      <c r="C165">
        <f t="shared" si="9"/>
        <v>99.870156240072902</v>
      </c>
      <c r="D165">
        <v>13.6475018409566</v>
      </c>
      <c r="E165">
        <f t="shared" si="10"/>
        <v>23.131270519156534</v>
      </c>
      <c r="F165">
        <f t="shared" si="11"/>
        <v>14.271132296398614</v>
      </c>
      <c r="G165">
        <v>2.37275814744596</v>
      </c>
      <c r="H165">
        <v>97.210523603353096</v>
      </c>
    </row>
    <row r="166" spans="1:8" x14ac:dyDescent="0.35">
      <c r="A166" t="s">
        <v>171</v>
      </c>
      <c r="B166">
        <f t="shared" si="8"/>
        <v>99.280180384579552</v>
      </c>
      <c r="C166">
        <f t="shared" si="9"/>
        <v>99.981452842144591</v>
      </c>
      <c r="D166">
        <v>13.414761370551</v>
      </c>
      <c r="E166">
        <f t="shared" si="10"/>
        <v>23.515296389330771</v>
      </c>
      <c r="F166">
        <f t="shared" si="11"/>
        <v>14.889958153020167</v>
      </c>
      <c r="G166">
        <v>2.3302334199972599</v>
      </c>
      <c r="H166">
        <v>96.966720441824506</v>
      </c>
    </row>
    <row r="167" spans="1:8" x14ac:dyDescent="0.35">
      <c r="A167" t="s">
        <v>172</v>
      </c>
      <c r="B167">
        <f t="shared" si="8"/>
        <v>99.96638035016511</v>
      </c>
      <c r="C167">
        <f t="shared" si="9"/>
        <v>100.05107869638547</v>
      </c>
      <c r="D167">
        <v>13.269424938927299</v>
      </c>
      <c r="E167">
        <f t="shared" si="10"/>
        <v>22.615833857432019</v>
      </c>
      <c r="F167">
        <f t="shared" si="11"/>
        <v>13.446250222425887</v>
      </c>
      <c r="G167">
        <v>2.2372797208974098</v>
      </c>
      <c r="H167">
        <v>97.729852794875697</v>
      </c>
    </row>
    <row r="168" spans="1:8" x14ac:dyDescent="0.35">
      <c r="A168" t="s">
        <v>173</v>
      </c>
      <c r="B168">
        <f t="shared" si="8"/>
        <v>99.697432632626004</v>
      </c>
      <c r="C168">
        <f t="shared" si="9"/>
        <v>100.08186568064089</v>
      </c>
      <c r="D168">
        <v>13.2052249199362</v>
      </c>
      <c r="E168">
        <f t="shared" si="10"/>
        <v>22.968367239971155</v>
      </c>
      <c r="F168">
        <f t="shared" si="11"/>
        <v>14.009725798242128</v>
      </c>
      <c r="G168">
        <v>2.21323066386317</v>
      </c>
      <c r="H168">
        <v>97.4908984825164</v>
      </c>
    </row>
    <row r="169" spans="1:8" x14ac:dyDescent="0.35">
      <c r="A169" t="s">
        <v>174</v>
      </c>
      <c r="B169">
        <f t="shared" si="8"/>
        <v>99.510327103562474</v>
      </c>
      <c r="C169">
        <f t="shared" si="9"/>
        <v>100.00973207589534</v>
      </c>
      <c r="D169">
        <v>13.3557071277103</v>
      </c>
      <c r="E169">
        <f t="shared" si="10"/>
        <v>23.213622881685048</v>
      </c>
      <c r="F169">
        <f t="shared" si="11"/>
        <v>14.403529385352204</v>
      </c>
      <c r="G169">
        <v>2.1282093162910201</v>
      </c>
      <c r="H169">
        <v>97.392539051472795</v>
      </c>
    </row>
    <row r="170" spans="1:8" x14ac:dyDescent="0.35">
      <c r="A170" t="s">
        <v>175</v>
      </c>
      <c r="B170">
        <f t="shared" si="8"/>
        <v>99.574856841870087</v>
      </c>
      <c r="C170">
        <f t="shared" si="9"/>
        <v>100.01790980011039</v>
      </c>
      <c r="D170">
        <v>13.3386361813712</v>
      </c>
      <c r="E170">
        <f t="shared" si="10"/>
        <v>23.129038089041696</v>
      </c>
      <c r="F170">
        <f t="shared" si="11"/>
        <v>14.267545566202621</v>
      </c>
      <c r="G170">
        <v>2.0178199305020001</v>
      </c>
      <c r="H170">
        <v>97.565615534746001</v>
      </c>
    </row>
    <row r="171" spans="1:8" x14ac:dyDescent="0.35">
      <c r="A171" t="s">
        <v>176</v>
      </c>
      <c r="B171">
        <f t="shared" si="8"/>
        <v>100.78012369816393</v>
      </c>
      <c r="C171">
        <f t="shared" si="9"/>
        <v>100.09120934187631</v>
      </c>
      <c r="D171">
        <v>13.1857484192771</v>
      </c>
      <c r="E171">
        <f t="shared" si="10"/>
        <v>21.549189018005066</v>
      </c>
      <c r="F171">
        <f t="shared" si="11"/>
        <v>11.759682548165468</v>
      </c>
      <c r="G171">
        <v>2.0107710061486599</v>
      </c>
      <c r="H171">
        <v>98.753666190880494</v>
      </c>
    </row>
    <row r="172" spans="1:8" x14ac:dyDescent="0.35">
      <c r="A172" t="s">
        <v>177</v>
      </c>
      <c r="B172">
        <f t="shared" si="8"/>
        <v>101.32750370163377</v>
      </c>
      <c r="C172">
        <f t="shared" si="9"/>
        <v>100.14275770678179</v>
      </c>
      <c r="D172">
        <v>13.0783631808319</v>
      </c>
      <c r="E172">
        <f t="shared" si="10"/>
        <v>20.831689996547681</v>
      </c>
      <c r="F172">
        <f t="shared" si="11"/>
        <v>10.64042025683333</v>
      </c>
      <c r="G172">
        <v>1.9353984686718899</v>
      </c>
      <c r="H172">
        <v>99.366412746648905</v>
      </c>
    </row>
    <row r="173" spans="1:8" x14ac:dyDescent="0.35">
      <c r="A173" t="s">
        <v>178</v>
      </c>
      <c r="B173">
        <f t="shared" si="8"/>
        <v>100.82924270420857</v>
      </c>
      <c r="C173">
        <f t="shared" si="9"/>
        <v>100.19096652817693</v>
      </c>
      <c r="D173">
        <v>12.978034852513099</v>
      </c>
      <c r="E173">
        <f t="shared" si="10"/>
        <v>21.484804424946166</v>
      </c>
      <c r="F173">
        <f t="shared" si="11"/>
        <v>11.658749508502178</v>
      </c>
      <c r="G173">
        <v>1.87067141999098</v>
      </c>
      <c r="H173">
        <v>98.943058877947607</v>
      </c>
    </row>
    <row r="174" spans="1:8" x14ac:dyDescent="0.35">
      <c r="A174" t="s">
        <v>179</v>
      </c>
      <c r="B174">
        <f t="shared" si="8"/>
        <v>100.37875839579017</v>
      </c>
      <c r="C174">
        <f t="shared" si="9"/>
        <v>100.22708001889143</v>
      </c>
      <c r="D174">
        <v>12.9029415853653</v>
      </c>
      <c r="E174">
        <f t="shared" si="10"/>
        <v>22.075293753060464</v>
      </c>
      <c r="F174">
        <f t="shared" si="11"/>
        <v>12.588136347194665</v>
      </c>
      <c r="G174">
        <v>1.83129219951945</v>
      </c>
      <c r="H174">
        <v>98.540530023313593</v>
      </c>
    </row>
    <row r="175" spans="1:8" x14ac:dyDescent="0.35">
      <c r="A175" t="s">
        <v>180</v>
      </c>
      <c r="B175">
        <f t="shared" si="8"/>
        <v>100.30941748529597</v>
      </c>
      <c r="C175">
        <f t="shared" si="9"/>
        <v>100.27669280231331</v>
      </c>
      <c r="D175">
        <v>12.799866503661001</v>
      </c>
      <c r="E175">
        <f t="shared" si="10"/>
        <v>22.166184971430109</v>
      </c>
      <c r="F175">
        <f t="shared" si="11"/>
        <v>12.731933797971326</v>
      </c>
      <c r="G175">
        <v>1.7989624900968999</v>
      </c>
      <c r="H175">
        <v>98.504888690700795</v>
      </c>
    </row>
    <row r="176" spans="1:8" x14ac:dyDescent="0.35">
      <c r="A176" t="s">
        <v>181</v>
      </c>
      <c r="B176">
        <f t="shared" si="8"/>
        <v>99.575954678361583</v>
      </c>
      <c r="C176">
        <f t="shared" si="9"/>
        <v>100.35854053744156</v>
      </c>
      <c r="D176">
        <v>12.630043115208199</v>
      </c>
      <c r="E176">
        <f t="shared" si="10"/>
        <v>23.127599058380412</v>
      </c>
      <c r="F176">
        <f t="shared" si="11"/>
        <v>14.26523361497655</v>
      </c>
      <c r="G176">
        <v>1.7436433878242099</v>
      </c>
      <c r="H176">
        <v>97.8397051287495</v>
      </c>
    </row>
    <row r="177" spans="1:8" x14ac:dyDescent="0.35">
      <c r="A177" t="s">
        <v>182</v>
      </c>
      <c r="B177">
        <f t="shared" si="8"/>
        <v>98.386736629411274</v>
      </c>
      <c r="C177">
        <f t="shared" si="9"/>
        <v>100.10561702528001</v>
      </c>
      <c r="D177">
        <v>13.155723285701299</v>
      </c>
      <c r="E177">
        <f t="shared" si="10"/>
        <v>24.686411548812064</v>
      </c>
      <c r="F177">
        <f t="shared" si="11"/>
        <v>16.799869809200523</v>
      </c>
      <c r="G177">
        <v>1.7267148112433901</v>
      </c>
      <c r="H177">
        <v>96.687878275732203</v>
      </c>
    </row>
    <row r="178" spans="1:8" x14ac:dyDescent="0.35">
      <c r="A178" t="s">
        <v>183</v>
      </c>
      <c r="B178">
        <f t="shared" si="8"/>
        <v>97.292184889320566</v>
      </c>
      <c r="C178">
        <f t="shared" si="9"/>
        <v>99.72269151544829</v>
      </c>
      <c r="D178">
        <v>13.956676291902699</v>
      </c>
      <c r="E178">
        <f t="shared" si="10"/>
        <v>26.121136598085506</v>
      </c>
      <c r="F178">
        <f t="shared" si="11"/>
        <v>19.187499432074119</v>
      </c>
      <c r="G178">
        <v>1.7097862346625701</v>
      </c>
      <c r="H178">
        <v>95.628696504680505</v>
      </c>
    </row>
    <row r="179" spans="1:8" x14ac:dyDescent="0.35">
      <c r="A179" t="s">
        <v>184</v>
      </c>
      <c r="B179">
        <f t="shared" si="8"/>
        <v>97.237164917429652</v>
      </c>
      <c r="C179">
        <f t="shared" si="9"/>
        <v>99.624045984459187</v>
      </c>
      <c r="D179">
        <v>14.1640073779721</v>
      </c>
      <c r="E179">
        <f t="shared" si="10"/>
        <v>26.193256105086309</v>
      </c>
      <c r="F179">
        <f t="shared" si="11"/>
        <v>19.308937624648166</v>
      </c>
      <c r="G179">
        <v>1.7097862346625701</v>
      </c>
      <c r="H179">
        <v>95.574617256695305</v>
      </c>
    </row>
    <row r="180" spans="1:8" x14ac:dyDescent="0.35">
      <c r="A180" t="s">
        <v>185</v>
      </c>
      <c r="B180">
        <f t="shared" si="8"/>
        <v>97.698848176840414</v>
      </c>
      <c r="C180">
        <f t="shared" si="9"/>
        <v>99.353553259437987</v>
      </c>
      <c r="D180">
        <v>14.734635518111</v>
      </c>
      <c r="E180">
        <f t="shared" si="10"/>
        <v>25.588087328823679</v>
      </c>
      <c r="F180">
        <f t="shared" si="11"/>
        <v>18.294167738569797</v>
      </c>
      <c r="G180">
        <v>1.69285765808176</v>
      </c>
      <c r="H180">
        <v>96.044945743621099</v>
      </c>
    </row>
    <row r="181" spans="1:8" x14ac:dyDescent="0.35">
      <c r="A181" t="s">
        <v>186</v>
      </c>
      <c r="B181">
        <f t="shared" si="8"/>
        <v>95.163718106590039</v>
      </c>
      <c r="C181">
        <f t="shared" si="9"/>
        <v>98.180338630615466</v>
      </c>
      <c r="D181">
        <v>17.246028724485999</v>
      </c>
      <c r="E181">
        <f t="shared" si="10"/>
        <v>28.911104854384533</v>
      </c>
      <c r="F181">
        <f t="shared" si="11"/>
        <v>23.987736580100645</v>
      </c>
      <c r="G181">
        <v>1.69285765808176</v>
      </c>
      <c r="H181">
        <v>93.552731816907297</v>
      </c>
    </row>
    <row r="182" spans="1:8" x14ac:dyDescent="0.35">
      <c r="A182" t="s">
        <v>187</v>
      </c>
      <c r="B182">
        <f t="shared" si="8"/>
        <v>92.628588036339579</v>
      </c>
      <c r="C182">
        <f t="shared" si="9"/>
        <v>97.49514419947117</v>
      </c>
      <c r="D182">
        <v>18.7407199599999</v>
      </c>
      <c r="E182">
        <f t="shared" si="10"/>
        <v>32.234122379945497</v>
      </c>
      <c r="F182">
        <f t="shared" si="11"/>
        <v>29.992957318377506</v>
      </c>
      <c r="G182">
        <v>1.69285765808176</v>
      </c>
      <c r="H182">
        <v>91.060517890193395</v>
      </c>
    </row>
    <row r="183" spans="1:8" x14ac:dyDescent="0.35">
      <c r="A183" t="s">
        <v>188</v>
      </c>
      <c r="B183">
        <f t="shared" si="8"/>
        <v>92.708081084403986</v>
      </c>
      <c r="C183">
        <f t="shared" si="9"/>
        <v>96.82309593602983</v>
      </c>
      <c r="D183">
        <v>20.227284219208201</v>
      </c>
      <c r="E183">
        <f t="shared" si="10"/>
        <v>32.129923863672843</v>
      </c>
      <c r="F183">
        <f t="shared" si="11"/>
        <v>29.799666293512157</v>
      </c>
      <c r="G183">
        <v>1.69285765808176</v>
      </c>
      <c r="H183">
        <v>91.138665234106</v>
      </c>
    </row>
    <row r="184" spans="1:8" x14ac:dyDescent="0.35">
      <c r="A184" t="s">
        <v>189</v>
      </c>
      <c r="B184">
        <f t="shared" si="8"/>
        <v>92.369434992538643</v>
      </c>
      <c r="C184">
        <f t="shared" si="9"/>
        <v>96.389626771874958</v>
      </c>
      <c r="D184">
        <v>21.197110881493</v>
      </c>
      <c r="E184">
        <f t="shared" si="10"/>
        <v>32.573817023805681</v>
      </c>
      <c r="F184">
        <f t="shared" si="11"/>
        <v>30.625410174068762</v>
      </c>
      <c r="G184">
        <v>1.69285765808176</v>
      </c>
      <c r="H184">
        <v>90.805751938540595</v>
      </c>
    </row>
    <row r="185" spans="1:8" x14ac:dyDescent="0.35">
      <c r="A185" t="s">
        <v>190</v>
      </c>
      <c r="B185">
        <f t="shared" si="8"/>
        <v>92.272724295932051</v>
      </c>
      <c r="C185">
        <f t="shared" si="9"/>
        <v>94.541163965998365</v>
      </c>
      <c r="D185">
        <v>25.432610506773901</v>
      </c>
      <c r="E185">
        <f t="shared" si="10"/>
        <v>32.700584223447301</v>
      </c>
      <c r="F185">
        <f t="shared" si="11"/>
        <v>30.862339083968195</v>
      </c>
      <c r="G185">
        <v>1.69285765808176</v>
      </c>
      <c r="H185">
        <v>90.710678416367699</v>
      </c>
    </row>
    <row r="186" spans="1:8" x14ac:dyDescent="0.35">
      <c r="A186" t="s">
        <v>191</v>
      </c>
      <c r="B186">
        <f t="shared" si="8"/>
        <v>92.015299377663837</v>
      </c>
      <c r="C186">
        <f t="shared" si="9"/>
        <v>94.204824720980554</v>
      </c>
      <c r="D186">
        <v>26.221159404808901</v>
      </c>
      <c r="E186">
        <f t="shared" si="10"/>
        <v>33.038013661470913</v>
      </c>
      <c r="F186">
        <f t="shared" si="11"/>
        <v>31.495424591619493</v>
      </c>
      <c r="G186">
        <v>1.69285765808176</v>
      </c>
      <c r="H186">
        <v>90.457611335542197</v>
      </c>
    </row>
    <row r="187" spans="1:8" x14ac:dyDescent="0.35">
      <c r="A187" t="s">
        <v>192</v>
      </c>
      <c r="B187">
        <f t="shared" si="8"/>
        <v>91.960502133512719</v>
      </c>
      <c r="C187">
        <f t="shared" si="9"/>
        <v>93.906392818750064</v>
      </c>
      <c r="D187">
        <v>26.9255638983179</v>
      </c>
      <c r="E187">
        <f t="shared" si="10"/>
        <v>33.10984121967136</v>
      </c>
      <c r="F187">
        <f t="shared" si="11"/>
        <v>31.630645084653704</v>
      </c>
      <c r="G187">
        <v>1.69285765808176</v>
      </c>
      <c r="H187">
        <v>90.403741730735106</v>
      </c>
    </row>
    <row r="188" spans="1:8" x14ac:dyDescent="0.35">
      <c r="A188" t="s">
        <v>193</v>
      </c>
      <c r="B188">
        <f t="shared" si="8"/>
        <v>92.82209469642045</v>
      </c>
      <c r="C188">
        <f t="shared" si="9"/>
        <v>93.811815897016359</v>
      </c>
      <c r="D188">
        <v>27.149733979157901</v>
      </c>
      <c r="E188">
        <f t="shared" si="10"/>
        <v>31.980476213893759</v>
      </c>
      <c r="F188">
        <f t="shared" si="11"/>
        <v>29.523014861364384</v>
      </c>
      <c r="G188">
        <v>1.69285765808176</v>
      </c>
      <c r="H188">
        <v>91.250748757960196</v>
      </c>
    </row>
    <row r="189" spans="1:8" x14ac:dyDescent="0.35">
      <c r="A189" t="s">
        <v>194</v>
      </c>
      <c r="B189">
        <f t="shared" si="8"/>
        <v>92.82209469642045</v>
      </c>
      <c r="C189">
        <f t="shared" si="9"/>
        <v>94.15711323250062</v>
      </c>
      <c r="D189">
        <v>26.333475464708201</v>
      </c>
      <c r="E189">
        <f t="shared" si="10"/>
        <v>31.980476213893759</v>
      </c>
      <c r="F189">
        <f t="shared" si="11"/>
        <v>29.523014861364384</v>
      </c>
      <c r="G189">
        <v>1.69285765808176</v>
      </c>
      <c r="H189">
        <v>91.250748757960196</v>
      </c>
    </row>
    <row r="190" spans="1:8" x14ac:dyDescent="0.35">
      <c r="A190" t="s">
        <v>195</v>
      </c>
      <c r="B190">
        <f t="shared" si="8"/>
        <v>92.496148003634971</v>
      </c>
      <c r="C190">
        <f t="shared" si="9"/>
        <v>92.559642457619248</v>
      </c>
      <c r="D190">
        <v>30.1608705360416</v>
      </c>
      <c r="E190">
        <f t="shared" si="10"/>
        <v>32.407723156855454</v>
      </c>
      <c r="F190">
        <f t="shared" si="11"/>
        <v>30.315729251508621</v>
      </c>
      <c r="G190">
        <v>1.69285765808176</v>
      </c>
      <c r="H190">
        <v>90.930319878724802</v>
      </c>
    </row>
    <row r="191" spans="1:8" x14ac:dyDescent="0.35">
      <c r="A191" t="s">
        <v>196</v>
      </c>
      <c r="B191">
        <f t="shared" si="8"/>
        <v>91.181390019328305</v>
      </c>
      <c r="C191">
        <f t="shared" si="9"/>
        <v>92.377646463312971</v>
      </c>
      <c r="D191">
        <v>30.605315963638802</v>
      </c>
      <c r="E191">
        <f t="shared" si="10"/>
        <v>34.131091860888311</v>
      </c>
      <c r="F191">
        <f t="shared" si="11"/>
        <v>33.570805276683863</v>
      </c>
      <c r="G191">
        <v>1.69285765808176</v>
      </c>
      <c r="H191">
        <v>89.637818875640704</v>
      </c>
    </row>
    <row r="192" spans="1:8" x14ac:dyDescent="0.35">
      <c r="A192" t="s">
        <v>197</v>
      </c>
      <c r="B192">
        <f t="shared" si="8"/>
        <v>91.007432509002939</v>
      </c>
      <c r="C192">
        <f t="shared" si="9"/>
        <v>93.025909610084582</v>
      </c>
      <c r="D192">
        <v>29.030152283597101</v>
      </c>
      <c r="E192">
        <f t="shared" si="10"/>
        <v>34.359113240263547</v>
      </c>
      <c r="F192">
        <f t="shared" si="11"/>
        <v>34.008534243965151</v>
      </c>
      <c r="G192">
        <v>1.69285765808176</v>
      </c>
      <c r="H192">
        <v>89.466806218350698</v>
      </c>
    </row>
    <row r="193" spans="1:8" x14ac:dyDescent="0.35">
      <c r="A193" t="s">
        <v>198</v>
      </c>
      <c r="B193">
        <f t="shared" si="8"/>
        <v>90.882646775415921</v>
      </c>
      <c r="C193">
        <f t="shared" si="9"/>
        <v>92.675621600409428</v>
      </c>
      <c r="D193">
        <v>29.878552974986</v>
      </c>
      <c r="E193">
        <f t="shared" si="10"/>
        <v>34.522680855399237</v>
      </c>
      <c r="F193">
        <f t="shared" si="11"/>
        <v>34.323564511955695</v>
      </c>
      <c r="G193">
        <v>1.69285765808176</v>
      </c>
      <c r="H193">
        <v>89.344132929610893</v>
      </c>
    </row>
    <row r="194" spans="1:8" x14ac:dyDescent="0.35">
      <c r="A194" t="s">
        <v>199</v>
      </c>
      <c r="B194">
        <f t="shared" si="8"/>
        <v>91.808941135296038</v>
      </c>
      <c r="C194">
        <f t="shared" si="9"/>
        <v>93.167599106104774</v>
      </c>
      <c r="D194">
        <v>28.6887912056944</v>
      </c>
      <c r="E194">
        <f t="shared" si="10"/>
        <v>33.308505524582465</v>
      </c>
      <c r="F194">
        <f t="shared" si="11"/>
        <v>32.005485421421909</v>
      </c>
      <c r="G194">
        <v>1.69285765808176</v>
      </c>
      <c r="H194">
        <v>90.254746444483402</v>
      </c>
    </row>
    <row r="195" spans="1:8" x14ac:dyDescent="0.35">
      <c r="A195" t="s">
        <v>200</v>
      </c>
      <c r="B195">
        <f t="shared" si="8"/>
        <v>92.077099867773285</v>
      </c>
      <c r="C195">
        <f t="shared" si="9"/>
        <v>93.6881555177617</v>
      </c>
      <c r="D195">
        <v>27.443521617152701</v>
      </c>
      <c r="E195">
        <f t="shared" si="10"/>
        <v>32.957006334023745</v>
      </c>
      <c r="F195">
        <f t="shared" si="11"/>
        <v>31.343115643496212</v>
      </c>
      <c r="G195">
        <v>1.69285765808176</v>
      </c>
      <c r="H195">
        <v>90.518365631322098</v>
      </c>
    </row>
    <row r="196" spans="1:8" x14ac:dyDescent="0.35">
      <c r="A196" t="s">
        <v>201</v>
      </c>
      <c r="B196">
        <f t="shared" si="8"/>
        <v>92.322599316099939</v>
      </c>
      <c r="C196">
        <f t="shared" si="9"/>
        <v>92.292540301594144</v>
      </c>
      <c r="D196">
        <v>30.813751942416602</v>
      </c>
      <c r="E196">
        <f t="shared" si="10"/>
        <v>32.635208656311519</v>
      </c>
      <c r="F196">
        <f t="shared" si="11"/>
        <v>30.740089639921251</v>
      </c>
      <c r="G196">
        <v>1.69285765808176</v>
      </c>
      <c r="H196">
        <v>90.759709123437204</v>
      </c>
    </row>
    <row r="197" spans="1:8" x14ac:dyDescent="0.35">
      <c r="A197" t="s">
        <v>202</v>
      </c>
      <c r="B197">
        <f t="shared" si="8"/>
        <v>92.263963317120428</v>
      </c>
      <c r="C197">
        <f t="shared" si="9"/>
        <v>92.732492777289025</v>
      </c>
      <c r="D197">
        <v>29.740374642152702</v>
      </c>
      <c r="E197">
        <f t="shared" si="10"/>
        <v>32.712068007444714</v>
      </c>
      <c r="F197">
        <f t="shared" si="11"/>
        <v>30.883826903878752</v>
      </c>
      <c r="G197">
        <v>1.69285765808176</v>
      </c>
      <c r="H197">
        <v>90.702065748456803</v>
      </c>
    </row>
    <row r="198" spans="1:8" x14ac:dyDescent="0.35">
      <c r="A198" t="s">
        <v>203</v>
      </c>
      <c r="B198">
        <f t="shared" si="8"/>
        <v>92.491228342168682</v>
      </c>
      <c r="C198">
        <f t="shared" si="9"/>
        <v>93.243573847419995</v>
      </c>
      <c r="D198">
        <v>28.506178668680398</v>
      </c>
      <c r="E198">
        <f t="shared" si="10"/>
        <v>32.414171789004214</v>
      </c>
      <c r="F198">
        <f t="shared" si="11"/>
        <v>30.327736851165955</v>
      </c>
      <c r="G198">
        <v>1.69285765808176</v>
      </c>
      <c r="H198">
        <v>90.9254835001244</v>
      </c>
    </row>
    <row r="199" spans="1:8" x14ac:dyDescent="0.35">
      <c r="A199" t="s">
        <v>204</v>
      </c>
      <c r="B199">
        <f t="shared" si="8"/>
        <v>93.090444473676285</v>
      </c>
      <c r="C199">
        <f t="shared" si="9"/>
        <v>93.158801489074307</v>
      </c>
      <c r="D199">
        <v>28.709956359611098</v>
      </c>
      <c r="E199">
        <f t="shared" si="10"/>
        <v>31.628726604173171</v>
      </c>
      <c r="F199">
        <f t="shared" si="11"/>
        <v>28.874544777565607</v>
      </c>
      <c r="G199">
        <v>1.69285765808176</v>
      </c>
      <c r="H199">
        <v>91.514555755461302</v>
      </c>
    </row>
    <row r="200" spans="1:8" x14ac:dyDescent="0.35">
      <c r="A200" t="s">
        <v>205</v>
      </c>
      <c r="B200">
        <f t="shared" si="8"/>
        <v>90.807182505726573</v>
      </c>
      <c r="C200">
        <f t="shared" si="9"/>
        <v>93.071761392364479</v>
      </c>
      <c r="D200">
        <v>28.919571531805499</v>
      </c>
      <c r="E200">
        <f t="shared" si="10"/>
        <v>34.621598498195603</v>
      </c>
      <c r="F200">
        <f t="shared" si="11"/>
        <v>34.514499439612877</v>
      </c>
      <c r="G200">
        <v>1.69285765808176</v>
      </c>
      <c r="H200">
        <v>89.269946162590102</v>
      </c>
    </row>
    <row r="201" spans="1:8" x14ac:dyDescent="0.35">
      <c r="A201" t="s">
        <v>206</v>
      </c>
      <c r="B201">
        <f t="shared" ref="B201:B264" si="12" xml:space="preserve"> H201/(1-$B$5*G201)</f>
        <v>90.904632326596953</v>
      </c>
      <c r="C201">
        <f t="shared" ref="C201:C264" si="13">$B$2/(1+$B$4*((D201/100)/$B$3))</f>
        <v>92.032259400786558</v>
      </c>
      <c r="D201">
        <v>31.453605799236001</v>
      </c>
      <c r="E201">
        <f t="shared" ref="E201:E264" si="14" xml:space="preserve"> (117.22 - B201)/0.7629</f>
        <v>34.493862463498552</v>
      </c>
      <c r="F201">
        <f t="shared" ref="F201:F264" si="15" xml:space="preserve"> ((($B$3 *($B$2-B201))/($B$4*B201)))*100</f>
        <v>34.26799769090173</v>
      </c>
      <c r="G201">
        <v>1.69285765808176</v>
      </c>
      <c r="H201">
        <v>89.365746296705098</v>
      </c>
    </row>
    <row r="202" spans="1:8" x14ac:dyDescent="0.35">
      <c r="A202" t="s">
        <v>207</v>
      </c>
      <c r="B202">
        <f t="shared" si="12"/>
        <v>92.001424497321011</v>
      </c>
      <c r="C202">
        <f t="shared" si="13"/>
        <v>92.618754704945388</v>
      </c>
      <c r="D202">
        <v>30.016890578944299</v>
      </c>
      <c r="E202">
        <f t="shared" si="14"/>
        <v>33.056200685121233</v>
      </c>
      <c r="F202">
        <f t="shared" si="15"/>
        <v>31.529647729435016</v>
      </c>
      <c r="G202">
        <v>1.69285765808176</v>
      </c>
      <c r="H202">
        <v>90.443971337173807</v>
      </c>
    </row>
    <row r="203" spans="1:8" x14ac:dyDescent="0.35">
      <c r="A203" t="s">
        <v>208</v>
      </c>
      <c r="B203">
        <f t="shared" si="12"/>
        <v>93.175061518180613</v>
      </c>
      <c r="C203">
        <f t="shared" si="13"/>
        <v>93.071827128080756</v>
      </c>
      <c r="D203">
        <v>28.919413075180501</v>
      </c>
      <c r="E203">
        <f t="shared" si="14"/>
        <v>31.51781161596459</v>
      </c>
      <c r="F203">
        <f t="shared" si="15"/>
        <v>28.670841397593605</v>
      </c>
      <c r="G203">
        <v>1.69285765808176</v>
      </c>
      <c r="H203">
        <v>91.597740353847698</v>
      </c>
    </row>
    <row r="204" spans="1:8" x14ac:dyDescent="0.35">
      <c r="A204" t="s">
        <v>209</v>
      </c>
      <c r="B204">
        <f t="shared" si="12"/>
        <v>93.793273630393401</v>
      </c>
      <c r="C204">
        <f t="shared" si="13"/>
        <v>93.462212345957084</v>
      </c>
      <c r="D204">
        <v>27.982316732972102</v>
      </c>
      <c r="E204">
        <f t="shared" si="14"/>
        <v>30.707466731690388</v>
      </c>
      <c r="F204">
        <f t="shared" si="15"/>
        <v>27.193736621836486</v>
      </c>
      <c r="G204">
        <v>1.69285765808176</v>
      </c>
      <c r="H204">
        <v>92.205487014975702</v>
      </c>
    </row>
    <row r="205" spans="1:8" x14ac:dyDescent="0.35">
      <c r="A205" t="s">
        <v>210</v>
      </c>
      <c r="B205">
        <f t="shared" si="12"/>
        <v>92.566447197078702</v>
      </c>
      <c r="C205">
        <f t="shared" si="13"/>
        <v>93.991830200179436</v>
      </c>
      <c r="D205">
        <v>26.7234445732221</v>
      </c>
      <c r="E205">
        <f t="shared" si="14"/>
        <v>32.315575832902475</v>
      </c>
      <c r="F205">
        <f t="shared" si="15"/>
        <v>30.144286836802753</v>
      </c>
      <c r="G205">
        <v>0</v>
      </c>
      <c r="H205">
        <v>92.566447197078702</v>
      </c>
    </row>
    <row r="206" spans="1:8" x14ac:dyDescent="0.35">
      <c r="A206" t="s">
        <v>211</v>
      </c>
      <c r="B206">
        <f t="shared" si="12"/>
        <v>93.750543132629204</v>
      </c>
      <c r="C206">
        <f t="shared" si="13"/>
        <v>94.446302240042598</v>
      </c>
      <c r="D206">
        <v>25.654445621735999</v>
      </c>
      <c r="E206">
        <f t="shared" si="14"/>
        <v>30.763477346140771</v>
      </c>
      <c r="F206">
        <f t="shared" si="15"/>
        <v>27.295206617142302</v>
      </c>
      <c r="G206">
        <v>0</v>
      </c>
      <c r="H206">
        <v>93.750543132629204</v>
      </c>
    </row>
    <row r="207" spans="1:8" x14ac:dyDescent="0.35">
      <c r="A207" t="s">
        <v>212</v>
      </c>
      <c r="B207">
        <f t="shared" si="12"/>
        <v>94.120033129113196</v>
      </c>
      <c r="C207">
        <f t="shared" si="13"/>
        <v>94.929454875626348</v>
      </c>
      <c r="D207">
        <v>24.529209716069399</v>
      </c>
      <c r="E207">
        <f t="shared" si="14"/>
        <v>30.279154372639667</v>
      </c>
      <c r="F207">
        <f t="shared" si="15"/>
        <v>26.420843165139612</v>
      </c>
      <c r="G207">
        <v>0</v>
      </c>
      <c r="H207">
        <v>94.120033129113196</v>
      </c>
    </row>
    <row r="208" spans="1:8" x14ac:dyDescent="0.35">
      <c r="A208" t="s">
        <v>213</v>
      </c>
      <c r="B208">
        <f t="shared" si="12"/>
        <v>93.1098543209459</v>
      </c>
      <c r="C208">
        <f t="shared" si="13"/>
        <v>95.249512328831557</v>
      </c>
      <c r="D208">
        <v>23.790099215638801</v>
      </c>
      <c r="E208">
        <f t="shared" si="14"/>
        <v>31.60328441349338</v>
      </c>
      <c r="F208">
        <f t="shared" si="15"/>
        <v>28.827785634659818</v>
      </c>
      <c r="G208">
        <v>0</v>
      </c>
      <c r="H208">
        <v>93.1098543209459</v>
      </c>
    </row>
    <row r="209" spans="1:8" x14ac:dyDescent="0.35">
      <c r="A209" t="s">
        <v>214</v>
      </c>
      <c r="B209">
        <f t="shared" si="12"/>
        <v>91.082009602965101</v>
      </c>
      <c r="C209">
        <f t="shared" si="13"/>
        <v>93.929578723484582</v>
      </c>
      <c r="D209">
        <v>26.870676620888801</v>
      </c>
      <c r="E209">
        <f t="shared" si="14"/>
        <v>34.261358496572157</v>
      </c>
      <c r="F209">
        <f t="shared" si="15"/>
        <v>33.820671282288409</v>
      </c>
      <c r="G209">
        <v>0</v>
      </c>
      <c r="H209">
        <v>91.082009602965101</v>
      </c>
    </row>
    <row r="210" spans="1:8" x14ac:dyDescent="0.35">
      <c r="A210" t="s">
        <v>215</v>
      </c>
      <c r="B210">
        <f t="shared" si="12"/>
        <v>89.768413424269696</v>
      </c>
      <c r="C210">
        <f t="shared" si="13"/>
        <v>93.151713056809243</v>
      </c>
      <c r="D210">
        <v>28.727012494819299</v>
      </c>
      <c r="E210">
        <f t="shared" si="14"/>
        <v>35.983204320003018</v>
      </c>
      <c r="F210">
        <f t="shared" si="15"/>
        <v>37.175349723302922</v>
      </c>
      <c r="G210">
        <v>0</v>
      </c>
      <c r="H210">
        <v>89.768413424269696</v>
      </c>
    </row>
    <row r="211" spans="1:8" x14ac:dyDescent="0.35">
      <c r="A211" t="s">
        <v>216</v>
      </c>
      <c r="B211">
        <f t="shared" si="12"/>
        <v>90.2293218302528</v>
      </c>
      <c r="C211">
        <f t="shared" si="13"/>
        <v>93.705254459629145</v>
      </c>
      <c r="D211">
        <v>27.4028524032916</v>
      </c>
      <c r="E211">
        <f t="shared" si="14"/>
        <v>35.379051212147331</v>
      </c>
      <c r="F211">
        <f t="shared" si="15"/>
        <v>35.987152423585691</v>
      </c>
      <c r="G211">
        <v>0</v>
      </c>
      <c r="H211">
        <v>90.2293218302528</v>
      </c>
    </row>
    <row r="212" spans="1:8" x14ac:dyDescent="0.35">
      <c r="A212" t="s">
        <v>217</v>
      </c>
      <c r="B212">
        <f t="shared" si="12"/>
        <v>91.700804979837898</v>
      </c>
      <c r="C212">
        <f t="shared" si="13"/>
        <v>94.036136659939871</v>
      </c>
      <c r="D212">
        <v>26.6187733402259</v>
      </c>
      <c r="E212">
        <f t="shared" si="14"/>
        <v>33.450249076107092</v>
      </c>
      <c r="F212">
        <f t="shared" si="15"/>
        <v>32.273684927350978</v>
      </c>
      <c r="G212">
        <v>0</v>
      </c>
      <c r="H212">
        <v>91.700804979837898</v>
      </c>
    </row>
    <row r="213" spans="1:8" x14ac:dyDescent="0.35">
      <c r="A213" t="s">
        <v>218</v>
      </c>
      <c r="B213">
        <f t="shared" si="12"/>
        <v>91.715807056327094</v>
      </c>
      <c r="C213">
        <f t="shared" si="13"/>
        <v>94.29960084474277</v>
      </c>
      <c r="D213">
        <v>25.998387141483601</v>
      </c>
      <c r="E213">
        <f t="shared" si="14"/>
        <v>33.430584537518556</v>
      </c>
      <c r="F213">
        <f t="shared" si="15"/>
        <v>32.236438964111528</v>
      </c>
      <c r="G213">
        <v>0</v>
      </c>
      <c r="H213">
        <v>91.715807056327094</v>
      </c>
    </row>
    <row r="214" spans="1:8" x14ac:dyDescent="0.35">
      <c r="A214" t="s">
        <v>219</v>
      </c>
      <c r="B214">
        <f t="shared" si="12"/>
        <v>91.495251187564506</v>
      </c>
      <c r="C214">
        <f t="shared" si="13"/>
        <v>94.278701180988023</v>
      </c>
      <c r="D214">
        <v>26.047473524138798</v>
      </c>
      <c r="E214">
        <f t="shared" si="14"/>
        <v>33.719686475862488</v>
      </c>
      <c r="F214">
        <f t="shared" si="15"/>
        <v>32.785247740123339</v>
      </c>
      <c r="G214">
        <v>0</v>
      </c>
      <c r="H214">
        <v>91.495251187564506</v>
      </c>
    </row>
    <row r="215" spans="1:8" x14ac:dyDescent="0.35">
      <c r="A215" t="s">
        <v>220</v>
      </c>
      <c r="B215">
        <f t="shared" si="12"/>
        <v>91.329362977450998</v>
      </c>
      <c r="C215">
        <f t="shared" si="13"/>
        <v>93.834755323881737</v>
      </c>
      <c r="D215">
        <v>27.095320503236</v>
      </c>
      <c r="E215">
        <f t="shared" si="14"/>
        <v>33.937130715098967</v>
      </c>
      <c r="F215">
        <f t="shared" si="15"/>
        <v>33.199773681247926</v>
      </c>
      <c r="G215">
        <v>0</v>
      </c>
      <c r="H215">
        <v>91.329362977450998</v>
      </c>
    </row>
    <row r="216" spans="1:8" x14ac:dyDescent="0.35">
      <c r="A216" t="s">
        <v>221</v>
      </c>
      <c r="B216">
        <f t="shared" si="12"/>
        <v>91.054007384346605</v>
      </c>
      <c r="C216">
        <f t="shared" si="13"/>
        <v>92.360737414278375</v>
      </c>
      <c r="D216">
        <v>30.6466978299582</v>
      </c>
      <c r="E216">
        <f t="shared" si="14"/>
        <v>34.298063462646994</v>
      </c>
      <c r="F216">
        <f t="shared" si="15"/>
        <v>33.891174014614862</v>
      </c>
      <c r="G216">
        <v>0</v>
      </c>
      <c r="H216">
        <v>91.054007384346605</v>
      </c>
    </row>
    <row r="217" spans="1:8" x14ac:dyDescent="0.35">
      <c r="A217" t="s">
        <v>222</v>
      </c>
      <c r="B217">
        <f t="shared" si="12"/>
        <v>91.410734442009698</v>
      </c>
      <c r="C217">
        <f t="shared" si="13"/>
        <v>91.974575319932683</v>
      </c>
      <c r="D217">
        <v>31.595901990735999</v>
      </c>
      <c r="E217">
        <f t="shared" si="14"/>
        <v>33.830469993433347</v>
      </c>
      <c r="F217">
        <f t="shared" si="15"/>
        <v>32.996252468961927</v>
      </c>
      <c r="G217">
        <v>0</v>
      </c>
      <c r="H217">
        <v>91.410734442009698</v>
      </c>
    </row>
    <row r="218" spans="1:8" x14ac:dyDescent="0.35">
      <c r="A218" t="s">
        <v>223</v>
      </c>
      <c r="B218">
        <f t="shared" si="12"/>
        <v>91.975721483910704</v>
      </c>
      <c r="C218">
        <f t="shared" si="13"/>
        <v>92.460400343685379</v>
      </c>
      <c r="D218">
        <v>30.4030089779721</v>
      </c>
      <c r="E218">
        <f t="shared" si="14"/>
        <v>33.089891881097515</v>
      </c>
      <c r="F218">
        <f t="shared" si="15"/>
        <v>31.593072873557976</v>
      </c>
      <c r="G218">
        <v>0</v>
      </c>
      <c r="H218">
        <v>91.975721483910704</v>
      </c>
    </row>
    <row r="219" spans="1:8" x14ac:dyDescent="0.35">
      <c r="A219" t="s">
        <v>224</v>
      </c>
      <c r="B219">
        <f t="shared" si="12"/>
        <v>92.355064156218702</v>
      </c>
      <c r="C219">
        <f t="shared" si="13"/>
        <v>92.939268383268669</v>
      </c>
      <c r="D219">
        <v>29.239402826499902</v>
      </c>
      <c r="E219">
        <f t="shared" si="14"/>
        <v>32.592654140491931</v>
      </c>
      <c r="F219">
        <f t="shared" si="15"/>
        <v>30.660585506976879</v>
      </c>
      <c r="G219">
        <v>0</v>
      </c>
      <c r="H219">
        <v>92.355064156218702</v>
      </c>
    </row>
    <row r="220" spans="1:8" x14ac:dyDescent="0.35">
      <c r="A220" t="s">
        <v>225</v>
      </c>
      <c r="B220">
        <f t="shared" si="12"/>
        <v>93.458569631857998</v>
      </c>
      <c r="C220">
        <f t="shared" si="13"/>
        <v>93.493390283832809</v>
      </c>
      <c r="D220">
        <v>27.907813418013799</v>
      </c>
      <c r="E220">
        <f t="shared" si="14"/>
        <v>31.14619264404509</v>
      </c>
      <c r="F220">
        <f t="shared" si="15"/>
        <v>27.991024665888521</v>
      </c>
      <c r="G220">
        <v>0</v>
      </c>
      <c r="H220">
        <v>93.458569631857998</v>
      </c>
    </row>
    <row r="221" spans="1:8" x14ac:dyDescent="0.35">
      <c r="A221" t="s">
        <v>226</v>
      </c>
      <c r="B221">
        <f t="shared" si="12"/>
        <v>95.015618191101098</v>
      </c>
      <c r="C221">
        <f t="shared" si="13"/>
        <v>93.995006207359339</v>
      </c>
      <c r="D221">
        <v>26.7159381721839</v>
      </c>
      <c r="E221">
        <f t="shared" si="14"/>
        <v>29.105232414338577</v>
      </c>
      <c r="F221">
        <f t="shared" si="15"/>
        <v>24.329742470083211</v>
      </c>
      <c r="G221">
        <v>0</v>
      </c>
      <c r="H221">
        <v>95.015618191101098</v>
      </c>
    </row>
    <row r="222" spans="1:8" x14ac:dyDescent="0.35">
      <c r="A222" t="s">
        <v>227</v>
      </c>
      <c r="B222">
        <f t="shared" si="12"/>
        <v>97.384275108232004</v>
      </c>
      <c r="C222">
        <f t="shared" si="13"/>
        <v>95.160271142337081</v>
      </c>
      <c r="D222">
        <v>23.995684525626</v>
      </c>
      <c r="E222">
        <f t="shared" si="14"/>
        <v>26.000425864160434</v>
      </c>
      <c r="F222">
        <f t="shared" si="15"/>
        <v>18.984548108499901</v>
      </c>
      <c r="G222">
        <v>0</v>
      </c>
      <c r="H222">
        <v>97.384275108232004</v>
      </c>
    </row>
    <row r="223" spans="1:8" x14ac:dyDescent="0.35">
      <c r="A223" t="s">
        <v>228</v>
      </c>
      <c r="B223">
        <f t="shared" si="12"/>
        <v>99.042906602458004</v>
      </c>
      <c r="C223">
        <f t="shared" si="13"/>
        <v>95.262540541044714</v>
      </c>
      <c r="D223">
        <v>23.7601182871337</v>
      </c>
      <c r="E223">
        <f t="shared" si="14"/>
        <v>23.826311964270538</v>
      </c>
      <c r="F223">
        <f t="shared" si="15"/>
        <v>15.393817121524394</v>
      </c>
      <c r="G223">
        <v>0</v>
      </c>
      <c r="H223">
        <v>99.042906602458004</v>
      </c>
    </row>
    <row r="224" spans="1:8" x14ac:dyDescent="0.35">
      <c r="A224" t="s">
        <v>229</v>
      </c>
      <c r="B224">
        <f t="shared" si="12"/>
        <v>99.494081823690195</v>
      </c>
      <c r="C224">
        <f t="shared" si="13"/>
        <v>95.375883862052731</v>
      </c>
      <c r="D224">
        <v>23.499634694358502</v>
      </c>
      <c r="E224">
        <f t="shared" si="14"/>
        <v>23.234916996080486</v>
      </c>
      <c r="F224">
        <f t="shared" si="15"/>
        <v>14.437790932488662</v>
      </c>
      <c r="G224">
        <v>0</v>
      </c>
      <c r="H224">
        <v>99.494081823690195</v>
      </c>
    </row>
    <row r="225" spans="1:8" x14ac:dyDescent="0.35">
      <c r="A225" t="s">
        <v>230</v>
      </c>
      <c r="B225">
        <f t="shared" si="12"/>
        <v>99.211957202066699</v>
      </c>
      <c r="C225">
        <f t="shared" si="13"/>
        <v>95.486965930151939</v>
      </c>
      <c r="D225">
        <v>23.244947879529199</v>
      </c>
      <c r="E225">
        <f t="shared" si="14"/>
        <v>23.604722503517234</v>
      </c>
      <c r="F225">
        <f t="shared" si="15"/>
        <v>15.034585551694182</v>
      </c>
      <c r="G225">
        <v>0</v>
      </c>
      <c r="H225">
        <v>99.211957202066699</v>
      </c>
    </row>
    <row r="226" spans="1:8" x14ac:dyDescent="0.35">
      <c r="A226" t="s">
        <v>231</v>
      </c>
      <c r="B226">
        <f t="shared" si="12"/>
        <v>98.861545917840601</v>
      </c>
      <c r="C226">
        <f t="shared" si="13"/>
        <v>95.617763688252325</v>
      </c>
      <c r="D226">
        <v>22.945815931696501</v>
      </c>
      <c r="E226">
        <f t="shared" si="14"/>
        <v>24.064037334066583</v>
      </c>
      <c r="F226">
        <f t="shared" si="15"/>
        <v>15.780573555378172</v>
      </c>
      <c r="G226">
        <v>0</v>
      </c>
      <c r="H226">
        <v>98.861545917840601</v>
      </c>
    </row>
    <row r="227" spans="1:8" x14ac:dyDescent="0.35">
      <c r="A227" t="s">
        <v>232</v>
      </c>
      <c r="B227">
        <f t="shared" si="12"/>
        <v>94.399364938032903</v>
      </c>
      <c r="C227">
        <f t="shared" si="13"/>
        <v>95.143720770707716</v>
      </c>
      <c r="D227">
        <v>24.033854082923799</v>
      </c>
      <c r="E227">
        <f t="shared" si="14"/>
        <v>29.91300964997653</v>
      </c>
      <c r="F227">
        <f t="shared" si="15"/>
        <v>25.764373859420857</v>
      </c>
      <c r="G227">
        <v>0</v>
      </c>
      <c r="H227">
        <v>94.399364938032903</v>
      </c>
    </row>
    <row r="228" spans="1:8" x14ac:dyDescent="0.35">
      <c r="A228" t="s">
        <v>233</v>
      </c>
      <c r="B228">
        <f t="shared" si="12"/>
        <v>91.065741562152894</v>
      </c>
      <c r="C228">
        <f t="shared" si="13"/>
        <v>92.829972638373192</v>
      </c>
      <c r="D228">
        <v>29.503924314726401</v>
      </c>
      <c r="E228">
        <f t="shared" si="14"/>
        <v>34.282682445729591</v>
      </c>
      <c r="F228">
        <f t="shared" si="15"/>
        <v>33.861624949374445</v>
      </c>
      <c r="G228">
        <v>0</v>
      </c>
      <c r="H228">
        <v>91.065741562152894</v>
      </c>
    </row>
    <row r="229" spans="1:8" x14ac:dyDescent="0.35">
      <c r="A229" t="s">
        <v>234</v>
      </c>
      <c r="B229">
        <f t="shared" si="12"/>
        <v>92.094807690881098</v>
      </c>
      <c r="C229">
        <f t="shared" si="13"/>
        <v>93.14576609721189</v>
      </c>
      <c r="D229">
        <v>28.741324029191901</v>
      </c>
      <c r="E229">
        <f t="shared" si="14"/>
        <v>32.933795135822386</v>
      </c>
      <c r="F229">
        <f t="shared" si="15"/>
        <v>31.29951192044182</v>
      </c>
      <c r="G229">
        <v>0</v>
      </c>
      <c r="H229">
        <v>92.094807690881098</v>
      </c>
    </row>
    <row r="230" spans="1:8" x14ac:dyDescent="0.35">
      <c r="A230" t="s">
        <v>235</v>
      </c>
      <c r="B230">
        <f t="shared" si="12"/>
        <v>94.0729122122532</v>
      </c>
      <c r="C230">
        <f t="shared" si="13"/>
        <v>93.488495503376214</v>
      </c>
      <c r="D230">
        <v>27.9195067778133</v>
      </c>
      <c r="E230">
        <f t="shared" si="14"/>
        <v>30.340919894805083</v>
      </c>
      <c r="F230">
        <f t="shared" si="15"/>
        <v>26.531968286198865</v>
      </c>
      <c r="G230">
        <v>0</v>
      </c>
      <c r="H230">
        <v>94.0729122122532</v>
      </c>
    </row>
    <row r="231" spans="1:8" x14ac:dyDescent="0.35">
      <c r="A231" t="s">
        <v>236</v>
      </c>
      <c r="B231">
        <f t="shared" si="12"/>
        <v>94.8296353492359</v>
      </c>
      <c r="C231">
        <f t="shared" si="13"/>
        <v>93.648248330156875</v>
      </c>
      <c r="D231">
        <v>27.538497196261599</v>
      </c>
      <c r="E231">
        <f t="shared" si="14"/>
        <v>29.349016451388252</v>
      </c>
      <c r="F231">
        <f t="shared" si="15"/>
        <v>24.760744162630687</v>
      </c>
      <c r="G231">
        <v>0</v>
      </c>
      <c r="H231">
        <v>94.8296353492359</v>
      </c>
    </row>
    <row r="232" spans="1:8" x14ac:dyDescent="0.35">
      <c r="A232" t="s">
        <v>237</v>
      </c>
      <c r="B232">
        <f t="shared" si="12"/>
        <v>94.630571696917201</v>
      </c>
      <c r="C232">
        <f t="shared" si="13"/>
        <v>93.668332276749936</v>
      </c>
      <c r="D232">
        <v>27.4906890629847</v>
      </c>
      <c r="E232">
        <f t="shared" si="14"/>
        <v>29.609946654978106</v>
      </c>
      <c r="F232">
        <f t="shared" si="15"/>
        <v>25.223936747841748</v>
      </c>
      <c r="G232">
        <v>0</v>
      </c>
      <c r="H232">
        <v>94.630571696917201</v>
      </c>
    </row>
    <row r="233" spans="1:8" x14ac:dyDescent="0.35">
      <c r="A233" t="s">
        <v>238</v>
      </c>
      <c r="B233">
        <f t="shared" si="12"/>
        <v>93.499750458538898</v>
      </c>
      <c r="C233">
        <f t="shared" si="13"/>
        <v>93.811946256347525</v>
      </c>
      <c r="D233">
        <v>27.149424685076301</v>
      </c>
      <c r="E233">
        <f t="shared" si="14"/>
        <v>31.092213319519072</v>
      </c>
      <c r="F233">
        <f t="shared" si="15"/>
        <v>27.892621141375457</v>
      </c>
      <c r="G233">
        <v>0</v>
      </c>
      <c r="H233">
        <v>93.499750458538898</v>
      </c>
    </row>
    <row r="234" spans="1:8" x14ac:dyDescent="0.35">
      <c r="A234" t="s">
        <v>239</v>
      </c>
      <c r="B234">
        <f t="shared" si="12"/>
        <v>93.631058640012</v>
      </c>
      <c r="C234">
        <f t="shared" si="13"/>
        <v>94.016350463087178</v>
      </c>
      <c r="D234">
        <v>26.665504798477802</v>
      </c>
      <c r="E234">
        <f t="shared" si="14"/>
        <v>30.920096159376062</v>
      </c>
      <c r="F234">
        <f t="shared" si="15"/>
        <v>27.579432086583072</v>
      </c>
      <c r="G234">
        <v>0</v>
      </c>
      <c r="H234">
        <v>93.631058640012</v>
      </c>
    </row>
    <row r="235" spans="1:8" x14ac:dyDescent="0.35">
      <c r="A235" t="s">
        <v>240</v>
      </c>
      <c r="B235">
        <f t="shared" si="12"/>
        <v>94.235032184145695</v>
      </c>
      <c r="C235">
        <f t="shared" si="13"/>
        <v>94.280974922123647</v>
      </c>
      <c r="D235">
        <v>26.0421322048668</v>
      </c>
      <c r="E235">
        <f t="shared" si="14"/>
        <v>30.12841501619387</v>
      </c>
      <c r="F235">
        <f t="shared" si="15"/>
        <v>26.150107798546145</v>
      </c>
      <c r="G235">
        <v>0</v>
      </c>
      <c r="H235">
        <v>94.235032184145695</v>
      </c>
    </row>
    <row r="236" spans="1:8" x14ac:dyDescent="0.35">
      <c r="A236" t="s">
        <v>241</v>
      </c>
      <c r="B236">
        <f t="shared" si="12"/>
        <v>93.476710704175801</v>
      </c>
      <c r="C236">
        <f t="shared" si="13"/>
        <v>94.23530130287827</v>
      </c>
      <c r="D236">
        <v>26.1494750034615</v>
      </c>
      <c r="E236">
        <f t="shared" si="14"/>
        <v>31.122413548072089</v>
      </c>
      <c r="F236">
        <f t="shared" si="15"/>
        <v>27.94766503487266</v>
      </c>
      <c r="G236">
        <v>0</v>
      </c>
      <c r="H236">
        <v>93.476710704175801</v>
      </c>
    </row>
    <row r="237" spans="1:8" x14ac:dyDescent="0.35">
      <c r="A237" t="s">
        <v>242</v>
      </c>
      <c r="B237">
        <f t="shared" si="12"/>
        <v>92.423559398581503</v>
      </c>
      <c r="C237">
        <f t="shared" si="13"/>
        <v>93.41796599909749</v>
      </c>
      <c r="D237">
        <v>28.088133900033</v>
      </c>
      <c r="E237">
        <f t="shared" si="14"/>
        <v>32.502871413577786</v>
      </c>
      <c r="F237">
        <f t="shared" si="15"/>
        <v>30.493028660778037</v>
      </c>
      <c r="G237">
        <v>0</v>
      </c>
      <c r="H237">
        <v>92.423559398581503</v>
      </c>
    </row>
    <row r="238" spans="1:8" x14ac:dyDescent="0.35">
      <c r="A238" t="s">
        <v>243</v>
      </c>
      <c r="B238">
        <f t="shared" si="12"/>
        <v>91.818452009586906</v>
      </c>
      <c r="C238">
        <f t="shared" si="13"/>
        <v>93.227032908320183</v>
      </c>
      <c r="D238">
        <v>28.5459110472178</v>
      </c>
      <c r="E238">
        <f t="shared" si="14"/>
        <v>33.296038786751986</v>
      </c>
      <c r="F238">
        <f t="shared" si="15"/>
        <v>31.981926756713346</v>
      </c>
      <c r="G238">
        <v>0</v>
      </c>
      <c r="H238">
        <v>91.818452009586906</v>
      </c>
    </row>
    <row r="239" spans="1:8" x14ac:dyDescent="0.35">
      <c r="A239" t="s">
        <v>244</v>
      </c>
      <c r="B239">
        <f t="shared" si="12"/>
        <v>93.416173028360205</v>
      </c>
      <c r="C239">
        <f t="shared" si="13"/>
        <v>93.597283209965198</v>
      </c>
      <c r="D239">
        <v>27.6599074387107</v>
      </c>
      <c r="E239">
        <f t="shared" si="14"/>
        <v>31.201765593970105</v>
      </c>
      <c r="F239">
        <f t="shared" si="15"/>
        <v>28.092423985041044</v>
      </c>
      <c r="G239">
        <v>0</v>
      </c>
      <c r="H239">
        <v>93.416173028360205</v>
      </c>
    </row>
    <row r="240" spans="1:8" x14ac:dyDescent="0.35">
      <c r="A240" t="s">
        <v>245</v>
      </c>
      <c r="B240">
        <f t="shared" si="12"/>
        <v>95.377044136511103</v>
      </c>
      <c r="C240">
        <f t="shared" si="13"/>
        <v>93.918955258514558</v>
      </c>
      <c r="D240">
        <v>26.895821858144199</v>
      </c>
      <c r="E240">
        <f t="shared" si="14"/>
        <v>28.631479700470436</v>
      </c>
      <c r="F240">
        <f t="shared" si="15"/>
        <v>23.496971373610322</v>
      </c>
      <c r="G240">
        <v>0</v>
      </c>
      <c r="H240">
        <v>95.377044136511103</v>
      </c>
    </row>
    <row r="241" spans="1:8" x14ac:dyDescent="0.35">
      <c r="A241" t="s">
        <v>246</v>
      </c>
      <c r="B241">
        <f t="shared" si="12"/>
        <v>97.206213402678003</v>
      </c>
      <c r="C241">
        <f t="shared" si="13"/>
        <v>94.15542671703011</v>
      </c>
      <c r="D241">
        <v>26.3374477187295</v>
      </c>
      <c r="E241">
        <f t="shared" si="14"/>
        <v>26.233826972502289</v>
      </c>
      <c r="F241">
        <f t="shared" si="15"/>
        <v>19.377313164651309</v>
      </c>
      <c r="G241">
        <v>0</v>
      </c>
      <c r="H241">
        <v>97.206213402678003</v>
      </c>
    </row>
    <row r="242" spans="1:8" x14ac:dyDescent="0.35">
      <c r="A242" t="s">
        <v>247</v>
      </c>
      <c r="B242">
        <f t="shared" si="12"/>
        <v>98.076501453805506</v>
      </c>
      <c r="C242">
        <f t="shared" si="13"/>
        <v>94.346994700358735</v>
      </c>
      <c r="D242">
        <v>25.8871552580908</v>
      </c>
      <c r="E242">
        <f t="shared" si="14"/>
        <v>25.093064026995009</v>
      </c>
      <c r="F242">
        <f t="shared" si="15"/>
        <v>17.471197701919905</v>
      </c>
      <c r="G242">
        <v>0</v>
      </c>
      <c r="H242">
        <v>98.076501453805506</v>
      </c>
    </row>
    <row r="243" spans="1:8" x14ac:dyDescent="0.35">
      <c r="A243" t="s">
        <v>248</v>
      </c>
      <c r="B243">
        <f t="shared" si="12"/>
        <v>97.576059962204297</v>
      </c>
      <c r="C243">
        <f t="shared" si="13"/>
        <v>94.509470255897909</v>
      </c>
      <c r="D243">
        <v>25.506677034009101</v>
      </c>
      <c r="E243">
        <f t="shared" si="14"/>
        <v>25.749036620521302</v>
      </c>
      <c r="F243">
        <f t="shared" si="15"/>
        <v>18.563116245927162</v>
      </c>
      <c r="G243">
        <v>0</v>
      </c>
      <c r="H243">
        <v>97.576059962204297</v>
      </c>
    </row>
    <row r="244" spans="1:8" x14ac:dyDescent="0.35">
      <c r="A244" t="s">
        <v>249</v>
      </c>
      <c r="B244">
        <f t="shared" si="12"/>
        <v>96.659002544510301</v>
      </c>
      <c r="C244">
        <f t="shared" si="13"/>
        <v>94.644659576328834</v>
      </c>
      <c r="D244">
        <v>25.191092204862301</v>
      </c>
      <c r="E244">
        <f t="shared" si="14"/>
        <v>26.951104280364003</v>
      </c>
      <c r="F244">
        <f t="shared" si="15"/>
        <v>20.593397085699348</v>
      </c>
      <c r="G244">
        <v>0</v>
      </c>
      <c r="H244">
        <v>96.659002544510301</v>
      </c>
    </row>
    <row r="245" spans="1:8" x14ac:dyDescent="0.35">
      <c r="A245" t="s">
        <v>250</v>
      </c>
      <c r="B245">
        <f t="shared" si="12"/>
        <v>96.113161711141004</v>
      </c>
      <c r="C245">
        <f t="shared" si="13"/>
        <v>94.764713460188318</v>
      </c>
      <c r="D245">
        <v>24.911594257879599</v>
      </c>
      <c r="E245">
        <f t="shared" si="14"/>
        <v>27.666585776456934</v>
      </c>
      <c r="F245">
        <f t="shared" si="15"/>
        <v>21.820231706691583</v>
      </c>
      <c r="G245">
        <v>0</v>
      </c>
      <c r="H245">
        <v>96.113161711141004</v>
      </c>
    </row>
    <row r="246" spans="1:8" x14ac:dyDescent="0.35">
      <c r="A246" t="s">
        <v>251</v>
      </c>
      <c r="B246">
        <f t="shared" si="12"/>
        <v>96.975281159957305</v>
      </c>
      <c r="C246">
        <f t="shared" si="13"/>
        <v>94.895455869856718</v>
      </c>
      <c r="D246">
        <v>24.608016751176201</v>
      </c>
      <c r="E246">
        <f t="shared" si="14"/>
        <v>26.536530135067103</v>
      </c>
      <c r="F246">
        <f t="shared" si="15"/>
        <v>19.888847364674099</v>
      </c>
      <c r="G246">
        <v>0</v>
      </c>
      <c r="H246">
        <v>96.975281159957305</v>
      </c>
    </row>
    <row r="247" spans="1:8" x14ac:dyDescent="0.35">
      <c r="A247" t="s">
        <v>252</v>
      </c>
      <c r="B247">
        <f t="shared" si="12"/>
        <v>97.017747919760296</v>
      </c>
      <c r="C247">
        <f t="shared" si="13"/>
        <v>95.032573333531658</v>
      </c>
      <c r="D247">
        <v>24.290534069230699</v>
      </c>
      <c r="E247">
        <f t="shared" si="14"/>
        <v>26.480865225114304</v>
      </c>
      <c r="F247">
        <f t="shared" si="15"/>
        <v>19.794597211608018</v>
      </c>
      <c r="G247">
        <v>0</v>
      </c>
      <c r="H247">
        <v>97.017747919760296</v>
      </c>
    </row>
    <row r="248" spans="1:8" x14ac:dyDescent="0.35">
      <c r="A248" t="s">
        <v>253</v>
      </c>
      <c r="B248">
        <f t="shared" si="12"/>
        <v>96.394397570364106</v>
      </c>
      <c r="C248">
        <f t="shared" si="13"/>
        <v>95.133008755156496</v>
      </c>
      <c r="D248">
        <v>24.058565918509199</v>
      </c>
      <c r="E248">
        <f t="shared" si="14"/>
        <v>27.297945247917017</v>
      </c>
      <c r="F248">
        <f t="shared" si="15"/>
        <v>21.186389415908742</v>
      </c>
      <c r="G248">
        <v>0</v>
      </c>
      <c r="H248">
        <v>96.394397570364106</v>
      </c>
    </row>
    <row r="249" spans="1:8" x14ac:dyDescent="0.35">
      <c r="A249" t="s">
        <v>254</v>
      </c>
      <c r="B249">
        <f t="shared" si="12"/>
        <v>94.922803602643299</v>
      </c>
      <c r="C249">
        <f t="shared" si="13"/>
        <v>95.142129537303006</v>
      </c>
      <c r="D249">
        <v>24.037524589978499</v>
      </c>
      <c r="E249">
        <f t="shared" si="14"/>
        <v>29.226892643015727</v>
      </c>
      <c r="F249">
        <f t="shared" si="15"/>
        <v>24.544622404660231</v>
      </c>
      <c r="G249">
        <v>0</v>
      </c>
      <c r="H249">
        <v>94.922803602643299</v>
      </c>
    </row>
    <row r="250" spans="1:8" x14ac:dyDescent="0.35">
      <c r="A250" t="s">
        <v>255</v>
      </c>
      <c r="B250">
        <f t="shared" si="12"/>
        <v>94.384435568187797</v>
      </c>
      <c r="C250">
        <f t="shared" si="13"/>
        <v>95.225997521179991</v>
      </c>
      <c r="D250">
        <v>23.8442329907048</v>
      </c>
      <c r="E250">
        <f t="shared" si="14"/>
        <v>29.932578885584221</v>
      </c>
      <c r="F250">
        <f t="shared" si="15"/>
        <v>25.799361704610007</v>
      </c>
      <c r="G250">
        <v>0</v>
      </c>
      <c r="H250">
        <v>94.384435568187797</v>
      </c>
    </row>
    <row r="251" spans="1:8" x14ac:dyDescent="0.35">
      <c r="A251" t="s">
        <v>256</v>
      </c>
      <c r="B251">
        <f t="shared" si="12"/>
        <v>95.020113137866005</v>
      </c>
      <c r="C251">
        <f t="shared" si="13"/>
        <v>95.376022541076054</v>
      </c>
      <c r="D251">
        <v>23.499316363920698</v>
      </c>
      <c r="E251">
        <f t="shared" si="14"/>
        <v>29.099340493031843</v>
      </c>
      <c r="F251">
        <f t="shared" si="15"/>
        <v>24.319346639674492</v>
      </c>
      <c r="G251">
        <v>0</v>
      </c>
      <c r="H251">
        <v>95.020113137866005</v>
      </c>
    </row>
    <row r="252" spans="1:8" x14ac:dyDescent="0.35">
      <c r="A252" t="s">
        <v>257</v>
      </c>
      <c r="B252">
        <f t="shared" si="12"/>
        <v>96.315618137055694</v>
      </c>
      <c r="C252">
        <f t="shared" si="13"/>
        <v>95.590753383395366</v>
      </c>
      <c r="D252">
        <v>23.0075209086279</v>
      </c>
      <c r="E252">
        <f t="shared" si="14"/>
        <v>27.401208366685417</v>
      </c>
      <c r="F252">
        <f t="shared" si="15"/>
        <v>21.36356730276032</v>
      </c>
      <c r="G252">
        <v>0</v>
      </c>
      <c r="H252">
        <v>96.315618137055694</v>
      </c>
    </row>
    <row r="253" spans="1:8" x14ac:dyDescent="0.35">
      <c r="A253" t="s">
        <v>258</v>
      </c>
      <c r="B253">
        <f t="shared" si="12"/>
        <v>97.258049580656404</v>
      </c>
      <c r="C253">
        <f t="shared" si="13"/>
        <v>95.812591477489278</v>
      </c>
      <c r="D253">
        <v>22.5017628295058</v>
      </c>
      <c r="E253">
        <f t="shared" si="14"/>
        <v>26.165880743667053</v>
      </c>
      <c r="F253">
        <f t="shared" si="15"/>
        <v>19.262825534561951</v>
      </c>
      <c r="G253">
        <v>0</v>
      </c>
      <c r="H253">
        <v>97.258049580656404</v>
      </c>
    </row>
    <row r="254" spans="1:8" x14ac:dyDescent="0.35">
      <c r="A254" t="s">
        <v>259</v>
      </c>
      <c r="B254">
        <f t="shared" si="12"/>
        <v>97.832042227328202</v>
      </c>
      <c r="C254">
        <f t="shared" si="13"/>
        <v>95.996845474983147</v>
      </c>
      <c r="D254">
        <v>22.083467953183</v>
      </c>
      <c r="E254">
        <f t="shared" si="14"/>
        <v>25.413498194615016</v>
      </c>
      <c r="F254">
        <f t="shared" si="15"/>
        <v>18.003190218558306</v>
      </c>
      <c r="G254">
        <v>0</v>
      </c>
      <c r="H254">
        <v>97.832042227328202</v>
      </c>
    </row>
    <row r="255" spans="1:8" x14ac:dyDescent="0.35">
      <c r="A255" t="s">
        <v>260</v>
      </c>
      <c r="B255">
        <f t="shared" si="12"/>
        <v>97.898419865526606</v>
      </c>
      <c r="C255">
        <f t="shared" si="13"/>
        <v>96.206368734841647</v>
      </c>
      <c r="D255">
        <v>21.609753503034899</v>
      </c>
      <c r="E255">
        <f t="shared" si="14"/>
        <v>25.326491197369762</v>
      </c>
      <c r="F255">
        <f t="shared" si="15"/>
        <v>17.858476344817429</v>
      </c>
      <c r="G255">
        <v>0</v>
      </c>
      <c r="H255">
        <v>97.898419865526606</v>
      </c>
    </row>
    <row r="256" spans="1:8" x14ac:dyDescent="0.35">
      <c r="A256" t="s">
        <v>261</v>
      </c>
      <c r="B256">
        <f t="shared" si="12"/>
        <v>98.234976448962001</v>
      </c>
      <c r="C256">
        <f t="shared" si="13"/>
        <v>96.457005645054124</v>
      </c>
      <c r="D256">
        <v>21.0457879157969</v>
      </c>
      <c r="E256">
        <f t="shared" si="14"/>
        <v>24.885336939360332</v>
      </c>
      <c r="F256">
        <f t="shared" si="15"/>
        <v>17.127738772959724</v>
      </c>
      <c r="G256">
        <v>0</v>
      </c>
      <c r="H256">
        <v>98.234976448962001</v>
      </c>
    </row>
    <row r="257" spans="1:8" x14ac:dyDescent="0.35">
      <c r="A257" t="s">
        <v>262</v>
      </c>
      <c r="B257">
        <f t="shared" si="12"/>
        <v>98.250446014751802</v>
      </c>
      <c r="C257">
        <f t="shared" si="13"/>
        <v>96.731067844200581</v>
      </c>
      <c r="D257">
        <v>20.4324574252689</v>
      </c>
      <c r="E257">
        <f t="shared" si="14"/>
        <v>24.865059621507665</v>
      </c>
      <c r="F257">
        <f t="shared" si="15"/>
        <v>17.094271322990995</v>
      </c>
      <c r="G257">
        <v>0</v>
      </c>
      <c r="H257">
        <v>98.250446014751802</v>
      </c>
    </row>
    <row r="258" spans="1:8" x14ac:dyDescent="0.35">
      <c r="A258" t="s">
        <v>263</v>
      </c>
      <c r="B258">
        <f t="shared" si="12"/>
        <v>96.877085535032194</v>
      </c>
      <c r="C258">
        <f t="shared" si="13"/>
        <v>96.798814394541395</v>
      </c>
      <c r="D258">
        <v>20.281381125061799</v>
      </c>
      <c r="E258">
        <f t="shared" si="14"/>
        <v>26.66524376060795</v>
      </c>
      <c r="F258">
        <f t="shared" si="15"/>
        <v>20.107097841366791</v>
      </c>
      <c r="G258">
        <v>0</v>
      </c>
      <c r="H258">
        <v>96.877085535032194</v>
      </c>
    </row>
    <row r="259" spans="1:8" x14ac:dyDescent="0.35">
      <c r="A259" t="s">
        <v>264</v>
      </c>
      <c r="B259">
        <f t="shared" si="12"/>
        <v>95.364328834056806</v>
      </c>
      <c r="C259">
        <f t="shared" si="13"/>
        <v>96.716108596345833</v>
      </c>
      <c r="D259">
        <v>20.465845404642501</v>
      </c>
      <c r="E259">
        <f t="shared" si="14"/>
        <v>28.6481467635905</v>
      </c>
      <c r="F259">
        <f t="shared" si="15"/>
        <v>23.526161908591082</v>
      </c>
      <c r="G259">
        <v>0</v>
      </c>
      <c r="H259">
        <v>95.364328834056806</v>
      </c>
    </row>
    <row r="260" spans="1:8" x14ac:dyDescent="0.35">
      <c r="A260" t="s">
        <v>265</v>
      </c>
      <c r="B260">
        <f t="shared" si="12"/>
        <v>94.317387533320499</v>
      </c>
      <c r="C260">
        <f t="shared" si="13"/>
        <v>96.567025598299224</v>
      </c>
      <c r="D260">
        <v>20.799153317267098</v>
      </c>
      <c r="E260">
        <f t="shared" si="14"/>
        <v>30.020464630593132</v>
      </c>
      <c r="F260">
        <f t="shared" si="15"/>
        <v>25.956629240627631</v>
      </c>
      <c r="G260">
        <v>0</v>
      </c>
      <c r="H260">
        <v>94.317387533320499</v>
      </c>
    </row>
    <row r="261" spans="1:8" x14ac:dyDescent="0.35">
      <c r="A261" t="s">
        <v>266</v>
      </c>
      <c r="B261">
        <f t="shared" si="12"/>
        <v>95.145112336871705</v>
      </c>
      <c r="C261">
        <f t="shared" si="13"/>
        <v>96.506118664100995</v>
      </c>
      <c r="D261">
        <v>20.9356204951224</v>
      </c>
      <c r="E261">
        <f t="shared" si="14"/>
        <v>28.935493070033154</v>
      </c>
      <c r="F261">
        <f t="shared" si="15"/>
        <v>24.03064425004905</v>
      </c>
      <c r="G261">
        <v>0</v>
      </c>
      <c r="H261">
        <v>95.145112336871705</v>
      </c>
    </row>
    <row r="262" spans="1:8" x14ac:dyDescent="0.35">
      <c r="A262" t="s">
        <v>267</v>
      </c>
      <c r="B262">
        <f t="shared" si="12"/>
        <v>96.981183610423997</v>
      </c>
      <c r="C262">
        <f t="shared" si="13"/>
        <v>96.534171265717404</v>
      </c>
      <c r="D262">
        <v>20.872744858217601</v>
      </c>
      <c r="E262">
        <f t="shared" si="14"/>
        <v>26.528793275102899</v>
      </c>
      <c r="F262">
        <f t="shared" si="15"/>
        <v>19.875742606882277</v>
      </c>
      <c r="G262">
        <v>0</v>
      </c>
      <c r="H262">
        <v>96.981183610423997</v>
      </c>
    </row>
    <row r="263" spans="1:8" x14ac:dyDescent="0.35">
      <c r="A263" t="s">
        <v>268</v>
      </c>
      <c r="B263">
        <f t="shared" si="12"/>
        <v>96.760019144796402</v>
      </c>
      <c r="C263">
        <f t="shared" si="13"/>
        <v>96.436010779119542</v>
      </c>
      <c r="D263">
        <v>21.0929165949312</v>
      </c>
      <c r="E263">
        <f t="shared" si="14"/>
        <v>26.818692954782534</v>
      </c>
      <c r="F263">
        <f t="shared" si="15"/>
        <v>20.367869501237831</v>
      </c>
      <c r="G263">
        <v>0</v>
      </c>
      <c r="H263">
        <v>96.760019144796402</v>
      </c>
    </row>
    <row r="264" spans="1:8" x14ac:dyDescent="0.35">
      <c r="A264" t="s">
        <v>269</v>
      </c>
      <c r="B264">
        <f t="shared" si="12"/>
        <v>96.924166522213397</v>
      </c>
      <c r="C264">
        <f t="shared" si="13"/>
        <v>95.067231321045966</v>
      </c>
      <c r="D264">
        <v>24.210431733414801</v>
      </c>
      <c r="E264">
        <f t="shared" si="14"/>
        <v>26.60353057777769</v>
      </c>
      <c r="F264">
        <f t="shared" si="15"/>
        <v>20.002400031879876</v>
      </c>
      <c r="G264">
        <v>0</v>
      </c>
      <c r="H264">
        <v>96.924166522213397</v>
      </c>
    </row>
    <row r="265" spans="1:8" x14ac:dyDescent="0.35">
      <c r="A265" t="s">
        <v>270</v>
      </c>
      <c r="B265">
        <f t="shared" ref="B265:B281" si="16" xml:space="preserve"> H265/(1-$B$5*G265)</f>
        <v>92.035587652251195</v>
      </c>
      <c r="C265">
        <f t="shared" ref="C265:C328" si="17">$B$2/(1+$B$4*((D265/100)/$B$3))</f>
        <v>92.867638000913004</v>
      </c>
      <c r="D265">
        <v>29.412694938656099</v>
      </c>
      <c r="E265">
        <f t="shared" ref="E265:E328" si="18" xml:space="preserve"> (117.22 - B265)/0.7629</f>
        <v>33.011420038994366</v>
      </c>
      <c r="F265">
        <f t="shared" ref="F265:F328" si="19" xml:space="preserve"> ((($B$3 *($B$2-B265))/($B$4*B265)))*100</f>
        <v>31.44540104771723</v>
      </c>
      <c r="G265">
        <v>0</v>
      </c>
      <c r="H265">
        <v>92.035587652251195</v>
      </c>
    </row>
    <row r="266" spans="1:8" x14ac:dyDescent="0.35">
      <c r="A266" t="s">
        <v>271</v>
      </c>
      <c r="B266">
        <f t="shared" si="16"/>
        <v>89.830729237174594</v>
      </c>
      <c r="C266">
        <f t="shared" si="17"/>
        <v>91.44001692746258</v>
      </c>
      <c r="D266">
        <v>32.923101578848701</v>
      </c>
      <c r="E266">
        <f t="shared" si="18"/>
        <v>35.901521513731034</v>
      </c>
      <c r="F266">
        <f t="shared" si="19"/>
        <v>37.013990065222551</v>
      </c>
      <c r="G266">
        <v>0</v>
      </c>
      <c r="H266">
        <v>89.830729237174594</v>
      </c>
    </row>
    <row r="267" spans="1:8" x14ac:dyDescent="0.35">
      <c r="A267" t="s">
        <v>272</v>
      </c>
      <c r="B267">
        <f t="shared" si="16"/>
        <v>89.830729237174594</v>
      </c>
      <c r="C267">
        <f t="shared" si="17"/>
        <v>91.753782775830928</v>
      </c>
      <c r="D267">
        <v>32.142210303991497</v>
      </c>
      <c r="E267">
        <f t="shared" si="18"/>
        <v>35.901521513731034</v>
      </c>
      <c r="F267">
        <f t="shared" si="19"/>
        <v>37.013990065222551</v>
      </c>
      <c r="G267">
        <v>0</v>
      </c>
      <c r="H267">
        <v>89.830729237174594</v>
      </c>
    </row>
    <row r="268" spans="1:8" x14ac:dyDescent="0.35">
      <c r="A268" t="s">
        <v>273</v>
      </c>
      <c r="B268">
        <f t="shared" si="16"/>
        <v>91.972532974476195</v>
      </c>
      <c r="C268">
        <f t="shared" si="17"/>
        <v>91.556978341954078</v>
      </c>
      <c r="D268">
        <v>32.631385721304099</v>
      </c>
      <c r="E268">
        <f t="shared" si="18"/>
        <v>33.094071340311707</v>
      </c>
      <c r="F268">
        <f t="shared" si="19"/>
        <v>31.600943359195071</v>
      </c>
      <c r="G268">
        <v>0</v>
      </c>
      <c r="H268">
        <v>91.972532974476195</v>
      </c>
    </row>
    <row r="269" spans="1:8" x14ac:dyDescent="0.35">
      <c r="A269" t="s">
        <v>274</v>
      </c>
      <c r="B269">
        <f t="shared" si="16"/>
        <v>91.972532974476195</v>
      </c>
      <c r="C269">
        <f t="shared" si="17"/>
        <v>91.179512252189298</v>
      </c>
      <c r="D269">
        <v>33.575521381364801</v>
      </c>
      <c r="E269">
        <f t="shared" si="18"/>
        <v>33.094071340311707</v>
      </c>
      <c r="F269">
        <f t="shared" si="19"/>
        <v>31.600943359195071</v>
      </c>
      <c r="G269">
        <v>0</v>
      </c>
      <c r="H269">
        <v>91.972532974476195</v>
      </c>
    </row>
    <row r="270" spans="1:8" x14ac:dyDescent="0.35">
      <c r="A270" t="s">
        <v>275</v>
      </c>
      <c r="B270">
        <f t="shared" si="16"/>
        <v>91.972532974476195</v>
      </c>
      <c r="C270">
        <f t="shared" si="17"/>
        <v>90.828472496367169</v>
      </c>
      <c r="D270">
        <v>34.460600721793199</v>
      </c>
      <c r="E270">
        <f t="shared" si="18"/>
        <v>33.094071340311707</v>
      </c>
      <c r="F270">
        <f t="shared" si="19"/>
        <v>31.600943359195071</v>
      </c>
      <c r="G270">
        <v>0</v>
      </c>
      <c r="H270">
        <v>91.972532974476195</v>
      </c>
    </row>
    <row r="271" spans="1:8" x14ac:dyDescent="0.35">
      <c r="A271" t="s">
        <v>276</v>
      </c>
      <c r="B271">
        <f t="shared" si="16"/>
        <v>91.517469022951005</v>
      </c>
      <c r="C271">
        <f t="shared" si="17"/>
        <v>91.003156527215765</v>
      </c>
      <c r="D271">
        <v>34.0193149623856</v>
      </c>
      <c r="E271">
        <f t="shared" si="18"/>
        <v>33.690563608662991</v>
      </c>
      <c r="F271">
        <f t="shared" si="19"/>
        <v>32.729843326226622</v>
      </c>
      <c r="G271">
        <v>0</v>
      </c>
      <c r="H271">
        <v>91.517469022951005</v>
      </c>
    </row>
    <row r="272" spans="1:8" x14ac:dyDescent="0.35">
      <c r="A272" t="s">
        <v>277</v>
      </c>
      <c r="B272">
        <f t="shared" si="16"/>
        <v>91.0624050714258</v>
      </c>
      <c r="C272">
        <f t="shared" si="17"/>
        <v>90.478283249163113</v>
      </c>
      <c r="D272">
        <v>35.350378631574301</v>
      </c>
      <c r="E272">
        <f t="shared" si="18"/>
        <v>34.287055877014282</v>
      </c>
      <c r="F272">
        <f t="shared" si="19"/>
        <v>33.870026142189566</v>
      </c>
      <c r="G272">
        <v>0</v>
      </c>
      <c r="H272">
        <v>91.0624050714258</v>
      </c>
    </row>
    <row r="273" spans="1:8" x14ac:dyDescent="0.35">
      <c r="A273" t="s">
        <v>278</v>
      </c>
      <c r="B273">
        <f t="shared" si="16"/>
        <v>90.607341119900596</v>
      </c>
      <c r="C273">
        <f t="shared" si="17"/>
        <v>90.786150712667236</v>
      </c>
      <c r="D273">
        <v>34.567769313829501</v>
      </c>
      <c r="E273">
        <f t="shared" si="18"/>
        <v>34.88354814536558</v>
      </c>
      <c r="F273">
        <f t="shared" si="19"/>
        <v>35.02166180714422</v>
      </c>
      <c r="G273">
        <v>0</v>
      </c>
      <c r="H273">
        <v>90.607341119900596</v>
      </c>
    </row>
    <row r="274" spans="1:8" x14ac:dyDescent="0.35">
      <c r="A274" t="s">
        <v>279</v>
      </c>
      <c r="B274">
        <f t="shared" si="16"/>
        <v>90.607341119900596</v>
      </c>
      <c r="C274">
        <f t="shared" si="17"/>
        <v>91.141009887611986</v>
      </c>
      <c r="D274">
        <v>33.672264810191301</v>
      </c>
      <c r="E274">
        <f t="shared" si="18"/>
        <v>34.88354814536558</v>
      </c>
      <c r="F274">
        <f t="shared" si="19"/>
        <v>35.02166180714422</v>
      </c>
      <c r="G274">
        <v>0</v>
      </c>
      <c r="H274">
        <v>90.607341119900596</v>
      </c>
    </row>
    <row r="275" spans="1:8" x14ac:dyDescent="0.35">
      <c r="A275" t="s">
        <v>280</v>
      </c>
      <c r="B275">
        <f t="shared" si="16"/>
        <v>90.244455677829706</v>
      </c>
      <c r="C275">
        <f t="shared" si="17"/>
        <v>90.9877120362477</v>
      </c>
      <c r="D275">
        <v>34.058262461225901</v>
      </c>
      <c r="E275">
        <f t="shared" si="18"/>
        <v>35.359213949626806</v>
      </c>
      <c r="F275">
        <f t="shared" si="19"/>
        <v>35.948343972683446</v>
      </c>
      <c r="G275">
        <v>0</v>
      </c>
      <c r="H275">
        <v>90.244455677829706</v>
      </c>
    </row>
    <row r="276" spans="1:8" x14ac:dyDescent="0.35">
      <c r="A276" t="s">
        <v>281</v>
      </c>
      <c r="B276">
        <f t="shared" si="16"/>
        <v>89.881570235758801</v>
      </c>
      <c r="C276">
        <f t="shared" si="17"/>
        <v>90.644225733610057</v>
      </c>
      <c r="D276">
        <v>34.927886847788798</v>
      </c>
      <c r="E276">
        <f t="shared" si="18"/>
        <v>35.834879753888053</v>
      </c>
      <c r="F276">
        <f t="shared" si="19"/>
        <v>36.882508861686908</v>
      </c>
      <c r="G276">
        <v>0</v>
      </c>
      <c r="H276">
        <v>89.881570235758801</v>
      </c>
    </row>
    <row r="277" spans="1:8" x14ac:dyDescent="0.35">
      <c r="A277" t="s">
        <v>282</v>
      </c>
      <c r="B277">
        <f t="shared" si="16"/>
        <v>91.005583452012701</v>
      </c>
      <c r="C277">
        <f t="shared" si="17"/>
        <v>90.56953894473169</v>
      </c>
      <c r="D277">
        <v>35.117848816544999</v>
      </c>
      <c r="E277">
        <f t="shared" si="18"/>
        <v>34.361536961577265</v>
      </c>
      <c r="F277">
        <f t="shared" si="19"/>
        <v>34.01319601105061</v>
      </c>
      <c r="G277">
        <v>0</v>
      </c>
      <c r="H277">
        <v>91.005583452012701</v>
      </c>
    </row>
    <row r="278" spans="1:8" x14ac:dyDescent="0.35">
      <c r="A278" t="s">
        <v>283</v>
      </c>
      <c r="B278">
        <f t="shared" si="16"/>
        <v>91.339803604534794</v>
      </c>
      <c r="C278">
        <f t="shared" si="17"/>
        <v>90.765217738586131</v>
      </c>
      <c r="D278">
        <v>34.620813410053501</v>
      </c>
      <c r="E278">
        <f t="shared" si="18"/>
        <v>33.923445268665887</v>
      </c>
      <c r="F278">
        <f t="shared" si="19"/>
        <v>33.17363995984438</v>
      </c>
      <c r="G278">
        <v>0</v>
      </c>
      <c r="H278">
        <v>91.339803604534794</v>
      </c>
    </row>
    <row r="279" spans="1:8" x14ac:dyDescent="0.35">
      <c r="A279" t="s">
        <v>284</v>
      </c>
      <c r="B279">
        <f t="shared" si="16"/>
        <v>91.505824583556503</v>
      </c>
      <c r="C279">
        <f t="shared" si="17"/>
        <v>91.914849681549839</v>
      </c>
      <c r="D279">
        <v>31.7434225339444</v>
      </c>
      <c r="E279">
        <f t="shared" si="18"/>
        <v>33.705826997566518</v>
      </c>
      <c r="F279">
        <f t="shared" si="19"/>
        <v>32.758877603501503</v>
      </c>
      <c r="G279">
        <v>0</v>
      </c>
      <c r="H279">
        <v>91.505824583556503</v>
      </c>
    </row>
    <row r="280" spans="1:8" x14ac:dyDescent="0.35">
      <c r="A280" t="s">
        <v>285</v>
      </c>
      <c r="B280">
        <f t="shared" si="16"/>
        <v>90.933770447962701</v>
      </c>
      <c r="C280">
        <f t="shared" si="17"/>
        <v>92.120808301515382</v>
      </c>
      <c r="D280">
        <v>31.2355184243332</v>
      </c>
      <c r="E280">
        <f t="shared" si="18"/>
        <v>34.455668569979416</v>
      </c>
      <c r="F280">
        <f t="shared" si="19"/>
        <v>34.19439469206548</v>
      </c>
      <c r="G280">
        <v>0</v>
      </c>
      <c r="H280">
        <v>90.933770447962701</v>
      </c>
    </row>
    <row r="281" spans="1:8" x14ac:dyDescent="0.35">
      <c r="A281" t="s">
        <v>286</v>
      </c>
      <c r="B281">
        <f t="shared" si="16"/>
        <v>90.667362827212102</v>
      </c>
      <c r="C281">
        <f t="shared" si="17"/>
        <v>91.976104804542103</v>
      </c>
      <c r="D281">
        <v>31.592126725388798</v>
      </c>
      <c r="E281">
        <f t="shared" si="18"/>
        <v>34.804872424679374</v>
      </c>
      <c r="F281">
        <f t="shared" si="19"/>
        <v>34.86910234476742</v>
      </c>
      <c r="G281">
        <v>0</v>
      </c>
      <c r="H281">
        <v>90.667362827212102</v>
      </c>
    </row>
    <row r="282" spans="1:8" x14ac:dyDescent="0.35">
      <c r="A282" t="s">
        <v>287</v>
      </c>
      <c r="B282">
        <f xml:space="preserve"> H282/(1-$B$5*G282)</f>
        <v>90.080000950559693</v>
      </c>
      <c r="C282">
        <f t="shared" si="17"/>
        <v>91.849283827515052</v>
      </c>
      <c r="D282">
        <v>31.905589145333199</v>
      </c>
      <c r="E282">
        <f t="shared" si="18"/>
        <v>35.574779197064238</v>
      </c>
      <c r="F282">
        <f t="shared" si="19"/>
        <v>36.370762175901177</v>
      </c>
      <c r="G282">
        <v>0</v>
      </c>
      <c r="H282">
        <v>90.080000950559693</v>
      </c>
    </row>
    <row r="283" spans="1:8" x14ac:dyDescent="0.35">
      <c r="A283" t="s">
        <v>288</v>
      </c>
      <c r="B283">
        <f t="shared" ref="B283:B346" si="20" xml:space="preserve"> H283/(1-$B$5*G283)</f>
        <v>90.371735268587699</v>
      </c>
      <c r="C283">
        <f t="shared" si="17"/>
        <v>91.950816783977501</v>
      </c>
      <c r="D283">
        <v>31.654561910888798</v>
      </c>
      <c r="E283">
        <f t="shared" si="18"/>
        <v>35.192377416977713</v>
      </c>
      <c r="F283">
        <f t="shared" si="19"/>
        <v>35.622469160415434</v>
      </c>
      <c r="G283">
        <v>0</v>
      </c>
      <c r="H283">
        <v>90.371735268587699</v>
      </c>
    </row>
    <row r="284" spans="1:8" x14ac:dyDescent="0.35">
      <c r="A284" t="s">
        <v>289</v>
      </c>
      <c r="B284">
        <f t="shared" si="20"/>
        <v>90.682209063605896</v>
      </c>
      <c r="C284">
        <f t="shared" si="17"/>
        <v>92.022167616823069</v>
      </c>
      <c r="D284">
        <v>31.478487529444301</v>
      </c>
      <c r="E284">
        <f t="shared" si="18"/>
        <v>34.785412159384066</v>
      </c>
      <c r="F284">
        <f t="shared" si="19"/>
        <v>34.83139825408486</v>
      </c>
      <c r="G284">
        <v>0</v>
      </c>
      <c r="H284">
        <v>90.682209063605896</v>
      </c>
    </row>
    <row r="285" spans="1:8" x14ac:dyDescent="0.35">
      <c r="A285" t="s">
        <v>290</v>
      </c>
      <c r="B285">
        <f t="shared" si="20"/>
        <v>91.288637215569295</v>
      </c>
      <c r="C285">
        <f t="shared" si="17"/>
        <v>91.518330116839721</v>
      </c>
      <c r="D285">
        <v>32.727696565735997</v>
      </c>
      <c r="E285">
        <f t="shared" si="18"/>
        <v>33.990513546245516</v>
      </c>
      <c r="F285">
        <f t="shared" si="19"/>
        <v>33.301770644167192</v>
      </c>
      <c r="G285">
        <v>0</v>
      </c>
      <c r="H285">
        <v>91.288637215569295</v>
      </c>
    </row>
    <row r="286" spans="1:8" x14ac:dyDescent="0.35">
      <c r="A286" t="s">
        <v>291</v>
      </c>
      <c r="B286">
        <f t="shared" si="20"/>
        <v>88.940882412275599</v>
      </c>
      <c r="C286">
        <f t="shared" si="17"/>
        <v>90.62155941442478</v>
      </c>
      <c r="D286">
        <v>34.985504359694303</v>
      </c>
      <c r="E286">
        <f t="shared" si="18"/>
        <v>37.067921860957398</v>
      </c>
      <c r="F286">
        <f t="shared" si="19"/>
        <v>39.339584989715114</v>
      </c>
      <c r="G286">
        <v>0</v>
      </c>
      <c r="H286">
        <v>88.940882412275599</v>
      </c>
    </row>
    <row r="287" spans="1:8" x14ac:dyDescent="0.35">
      <c r="A287" t="s">
        <v>292</v>
      </c>
      <c r="B287">
        <f t="shared" si="20"/>
        <v>89.794067552010503</v>
      </c>
      <c r="C287">
        <f t="shared" si="17"/>
        <v>90.178499669933061</v>
      </c>
      <c r="D287">
        <v>36.117573445284599</v>
      </c>
      <c r="E287">
        <f t="shared" si="18"/>
        <v>35.949577202765099</v>
      </c>
      <c r="F287">
        <f t="shared" si="19"/>
        <v>37.108894176862286</v>
      </c>
      <c r="G287">
        <v>0</v>
      </c>
      <c r="H287">
        <v>89.794067552010503</v>
      </c>
    </row>
    <row r="288" spans="1:8" x14ac:dyDescent="0.35">
      <c r="A288" t="s">
        <v>293</v>
      </c>
      <c r="B288">
        <f t="shared" si="20"/>
        <v>89.794067552010503</v>
      </c>
      <c r="C288">
        <f t="shared" si="17"/>
        <v>90.672672634787432</v>
      </c>
      <c r="D288">
        <v>34.855615928611002</v>
      </c>
      <c r="E288">
        <f t="shared" si="18"/>
        <v>35.949577202765099</v>
      </c>
      <c r="F288">
        <f t="shared" si="19"/>
        <v>37.108894176862286</v>
      </c>
      <c r="G288">
        <v>0</v>
      </c>
      <c r="H288">
        <v>89.794067552010503</v>
      </c>
    </row>
    <row r="289" spans="1:8" x14ac:dyDescent="0.35">
      <c r="A289" t="s">
        <v>294</v>
      </c>
      <c r="B289">
        <f t="shared" si="20"/>
        <v>90.647252691745507</v>
      </c>
      <c r="C289">
        <f t="shared" si="17"/>
        <v>90.461430862141896</v>
      </c>
      <c r="D289">
        <v>35.393371734930398</v>
      </c>
      <c r="E289">
        <f t="shared" si="18"/>
        <v>34.831232544572671</v>
      </c>
      <c r="F289">
        <f t="shared" si="19"/>
        <v>34.920194537406175</v>
      </c>
      <c r="G289">
        <v>0</v>
      </c>
      <c r="H289">
        <v>90.647252691745507</v>
      </c>
    </row>
    <row r="290" spans="1:8" x14ac:dyDescent="0.35">
      <c r="A290" t="s">
        <v>295</v>
      </c>
      <c r="B290">
        <f t="shared" si="20"/>
        <v>88.997056995398097</v>
      </c>
      <c r="C290">
        <f t="shared" si="17"/>
        <v>89.868841791567519</v>
      </c>
      <c r="D290">
        <v>36.915412255999399</v>
      </c>
      <c r="E290">
        <f t="shared" si="18"/>
        <v>36.994288903659587</v>
      </c>
      <c r="F290">
        <f t="shared" si="19"/>
        <v>39.191398724058523</v>
      </c>
      <c r="G290">
        <v>0</v>
      </c>
      <c r="H290">
        <v>88.997056995398097</v>
      </c>
    </row>
    <row r="291" spans="1:8" x14ac:dyDescent="0.35">
      <c r="A291" t="s">
        <v>296</v>
      </c>
      <c r="B291">
        <f t="shared" si="20"/>
        <v>89.289277592101101</v>
      </c>
      <c r="C291">
        <f t="shared" si="17"/>
        <v>90.006921378325586</v>
      </c>
      <c r="D291">
        <v>36.5589696569632</v>
      </c>
      <c r="E291">
        <f t="shared" si="18"/>
        <v>36.611249715426524</v>
      </c>
      <c r="F291">
        <f t="shared" si="19"/>
        <v>38.423540493908348</v>
      </c>
      <c r="G291">
        <v>0</v>
      </c>
      <c r="H291">
        <v>89.289277592101101</v>
      </c>
    </row>
    <row r="292" spans="1:8" x14ac:dyDescent="0.35">
      <c r="A292" t="s">
        <v>297</v>
      </c>
      <c r="B292">
        <f t="shared" si="20"/>
        <v>89.899021328055696</v>
      </c>
      <c r="C292">
        <f t="shared" si="17"/>
        <v>90.412510935092598</v>
      </c>
      <c r="D292">
        <v>35.518264992157199</v>
      </c>
      <c r="E292">
        <f t="shared" si="18"/>
        <v>35.812005075297293</v>
      </c>
      <c r="F292">
        <f t="shared" si="19"/>
        <v>36.837412430369334</v>
      </c>
      <c r="G292">
        <v>0</v>
      </c>
      <c r="H292">
        <v>89.899021328055696</v>
      </c>
    </row>
    <row r="293" spans="1:8" x14ac:dyDescent="0.35">
      <c r="A293" t="s">
        <v>298</v>
      </c>
      <c r="B293">
        <f t="shared" si="20"/>
        <v>90.327491650394506</v>
      </c>
      <c r="C293">
        <f t="shared" si="17"/>
        <v>89.914709576487752</v>
      </c>
      <c r="D293">
        <v>36.796886413280298</v>
      </c>
      <c r="E293">
        <f t="shared" si="18"/>
        <v>35.250371411201328</v>
      </c>
      <c r="F293">
        <f t="shared" si="19"/>
        <v>35.735642267453791</v>
      </c>
      <c r="G293">
        <v>0</v>
      </c>
      <c r="H293">
        <v>90.327491650394506</v>
      </c>
    </row>
    <row r="294" spans="1:8" x14ac:dyDescent="0.35">
      <c r="A294" t="s">
        <v>299</v>
      </c>
      <c r="B294">
        <f t="shared" si="20"/>
        <v>90.195765692442606</v>
      </c>
      <c r="C294">
        <f t="shared" si="17"/>
        <v>89.744056078347796</v>
      </c>
      <c r="D294">
        <v>37.2384811923638</v>
      </c>
      <c r="E294">
        <f t="shared" si="18"/>
        <v>35.423036187648961</v>
      </c>
      <c r="F294">
        <f t="shared" si="19"/>
        <v>36.073248488337363</v>
      </c>
      <c r="G294">
        <v>0</v>
      </c>
      <c r="H294">
        <v>90.195765692442606</v>
      </c>
    </row>
    <row r="295" spans="1:8" x14ac:dyDescent="0.35">
      <c r="A295" t="s">
        <v>300</v>
      </c>
      <c r="B295">
        <f t="shared" si="20"/>
        <v>89.555255527380396</v>
      </c>
      <c r="C295">
        <f t="shared" si="17"/>
        <v>89.787692438573714</v>
      </c>
      <c r="D295">
        <v>37.1254049966279</v>
      </c>
      <c r="E295">
        <f t="shared" si="18"/>
        <v>36.262609087193084</v>
      </c>
      <c r="F295">
        <f t="shared" si="19"/>
        <v>37.728995478741183</v>
      </c>
      <c r="G295">
        <v>0</v>
      </c>
      <c r="H295">
        <v>89.555255527380396</v>
      </c>
    </row>
    <row r="296" spans="1:8" x14ac:dyDescent="0.35">
      <c r="A296" t="s">
        <v>301</v>
      </c>
      <c r="B296">
        <f t="shared" si="20"/>
        <v>89.161740558062306</v>
      </c>
      <c r="C296">
        <f t="shared" si="17"/>
        <v>89.862776193012323</v>
      </c>
      <c r="D296">
        <v>36.931095282001898</v>
      </c>
      <c r="E296">
        <f t="shared" si="18"/>
        <v>36.77842370158303</v>
      </c>
      <c r="F296">
        <f t="shared" si="19"/>
        <v>38.758046284922671</v>
      </c>
      <c r="G296">
        <v>0</v>
      </c>
      <c r="H296">
        <v>89.161740558062306</v>
      </c>
    </row>
    <row r="297" spans="1:8" x14ac:dyDescent="0.35">
      <c r="A297" t="s">
        <v>302</v>
      </c>
      <c r="B297">
        <f t="shared" si="20"/>
        <v>89.216171175610995</v>
      </c>
      <c r="C297">
        <f t="shared" si="17"/>
        <v>89.700321767090543</v>
      </c>
      <c r="D297">
        <v>37.351921598185697</v>
      </c>
      <c r="E297">
        <f t="shared" si="18"/>
        <v>36.707076713054143</v>
      </c>
      <c r="F297">
        <f t="shared" si="19"/>
        <v>38.615167970618671</v>
      </c>
      <c r="G297">
        <v>0</v>
      </c>
      <c r="H297">
        <v>89.216171175610995</v>
      </c>
    </row>
    <row r="298" spans="1:8" x14ac:dyDescent="0.35">
      <c r="A298" t="s">
        <v>303</v>
      </c>
      <c r="B298">
        <f t="shared" si="20"/>
        <v>89.231262260970198</v>
      </c>
      <c r="C298">
        <f t="shared" si="17"/>
        <v>90.060247874752562</v>
      </c>
      <c r="D298">
        <v>36.421603679425097</v>
      </c>
      <c r="E298">
        <f t="shared" si="18"/>
        <v>36.68729550272618</v>
      </c>
      <c r="F298">
        <f t="shared" si="19"/>
        <v>38.575585305417647</v>
      </c>
      <c r="G298">
        <v>0</v>
      </c>
      <c r="H298">
        <v>89.231262260970198</v>
      </c>
    </row>
    <row r="299" spans="1:8" x14ac:dyDescent="0.35">
      <c r="A299" t="s">
        <v>304</v>
      </c>
      <c r="B299">
        <f t="shared" si="20"/>
        <v>89.295931864225295</v>
      </c>
      <c r="C299">
        <f t="shared" si="17"/>
        <v>90.280566702121703</v>
      </c>
      <c r="D299">
        <v>35.855795303946202</v>
      </c>
      <c r="E299">
        <f t="shared" si="18"/>
        <v>36.60252737681833</v>
      </c>
      <c r="F299">
        <f t="shared" si="19"/>
        <v>38.406113810190526</v>
      </c>
      <c r="G299">
        <v>0</v>
      </c>
      <c r="H299">
        <v>89.295931864225295</v>
      </c>
    </row>
    <row r="300" spans="1:8" x14ac:dyDescent="0.35">
      <c r="A300" t="s">
        <v>305</v>
      </c>
      <c r="B300">
        <f t="shared" si="20"/>
        <v>88.950729600581099</v>
      </c>
      <c r="C300">
        <f t="shared" si="17"/>
        <v>89.69172323621865</v>
      </c>
      <c r="D300">
        <v>37.374237942877102</v>
      </c>
      <c r="E300">
        <f t="shared" si="18"/>
        <v>37.055014286825141</v>
      </c>
      <c r="F300">
        <f t="shared" si="19"/>
        <v>39.313594978356761</v>
      </c>
      <c r="G300">
        <v>0</v>
      </c>
      <c r="H300">
        <v>88.950729600581099</v>
      </c>
    </row>
    <row r="301" spans="1:8" x14ac:dyDescent="0.35">
      <c r="A301" t="s">
        <v>306</v>
      </c>
      <c r="B301">
        <f t="shared" si="20"/>
        <v>88.822729750777</v>
      </c>
      <c r="C301">
        <f t="shared" si="17"/>
        <v>89.5725617057264</v>
      </c>
      <c r="D301">
        <v>37.683946984656302</v>
      </c>
      <c r="E301">
        <f t="shared" si="18"/>
        <v>37.222794926232794</v>
      </c>
      <c r="F301">
        <f t="shared" si="19"/>
        <v>39.65187862558416</v>
      </c>
      <c r="G301">
        <v>0</v>
      </c>
      <c r="H301">
        <v>88.822729750777</v>
      </c>
    </row>
    <row r="302" spans="1:8" x14ac:dyDescent="0.35">
      <c r="A302" t="s">
        <v>307</v>
      </c>
      <c r="B302">
        <f t="shared" si="20"/>
        <v>88.822729750777</v>
      </c>
      <c r="C302">
        <f t="shared" si="17"/>
        <v>89.58718570370371</v>
      </c>
      <c r="D302">
        <v>37.645893852925099</v>
      </c>
      <c r="E302">
        <f t="shared" si="18"/>
        <v>37.222794926232794</v>
      </c>
      <c r="F302">
        <f t="shared" si="19"/>
        <v>39.65187862558416</v>
      </c>
      <c r="G302">
        <v>0</v>
      </c>
      <c r="H302">
        <v>88.822729750777</v>
      </c>
    </row>
    <row r="303" spans="1:8" x14ac:dyDescent="0.35">
      <c r="A303" t="s">
        <v>308</v>
      </c>
      <c r="B303">
        <f t="shared" si="20"/>
        <v>89.194430847857305</v>
      </c>
      <c r="C303">
        <f t="shared" si="17"/>
        <v>88.991030847111944</v>
      </c>
      <c r="D303">
        <v>39.207286499989003</v>
      </c>
      <c r="E303">
        <f t="shared" si="18"/>
        <v>36.735573669082044</v>
      </c>
      <c r="F303">
        <f t="shared" si="19"/>
        <v>38.672214593881058</v>
      </c>
      <c r="G303">
        <v>0</v>
      </c>
      <c r="H303">
        <v>89.194430847857305</v>
      </c>
    </row>
    <row r="304" spans="1:8" x14ac:dyDescent="0.35">
      <c r="A304" t="s">
        <v>309</v>
      </c>
      <c r="B304">
        <f t="shared" si="20"/>
        <v>89.701099698088598</v>
      </c>
      <c r="C304">
        <f t="shared" si="17"/>
        <v>89.182186038950448</v>
      </c>
      <c r="D304">
        <v>38.704357218372998</v>
      </c>
      <c r="E304">
        <f t="shared" si="18"/>
        <v>36.071438329940229</v>
      </c>
      <c r="F304">
        <f t="shared" si="19"/>
        <v>37.349902792664729</v>
      </c>
      <c r="G304">
        <v>0</v>
      </c>
      <c r="H304">
        <v>89.701099698088598</v>
      </c>
    </row>
    <row r="305" spans="1:8" x14ac:dyDescent="0.35">
      <c r="A305" t="s">
        <v>310</v>
      </c>
      <c r="B305">
        <f t="shared" si="20"/>
        <v>90.218519675452796</v>
      </c>
      <c r="C305">
        <f t="shared" si="17"/>
        <v>89.629986874134488</v>
      </c>
      <c r="D305">
        <v>37.534592205244998</v>
      </c>
      <c r="E305">
        <f t="shared" si="18"/>
        <v>35.393210544694192</v>
      </c>
      <c r="F305">
        <f t="shared" si="19"/>
        <v>36.014860870355697</v>
      </c>
      <c r="G305">
        <v>0</v>
      </c>
      <c r="H305">
        <v>90.218519675452796</v>
      </c>
    </row>
    <row r="306" spans="1:8" x14ac:dyDescent="0.35">
      <c r="A306" t="s">
        <v>311</v>
      </c>
      <c r="B306">
        <f t="shared" si="20"/>
        <v>90.674413834479793</v>
      </c>
      <c r="C306">
        <f t="shared" si="17"/>
        <v>89.754985881304691</v>
      </c>
      <c r="D306">
        <v>37.210148148726198</v>
      </c>
      <c r="E306">
        <f t="shared" si="18"/>
        <v>34.795630050491816</v>
      </c>
      <c r="F306">
        <f t="shared" si="19"/>
        <v>34.851193787641861</v>
      </c>
      <c r="G306">
        <v>0</v>
      </c>
      <c r="H306">
        <v>90.674413834479793</v>
      </c>
    </row>
    <row r="307" spans="1:8" x14ac:dyDescent="0.35">
      <c r="A307" t="s">
        <v>312</v>
      </c>
      <c r="B307">
        <f t="shared" si="20"/>
        <v>90.781662750219098</v>
      </c>
      <c r="C307">
        <f t="shared" si="17"/>
        <v>89.855436485958592</v>
      </c>
      <c r="D307">
        <v>36.950075435126202</v>
      </c>
      <c r="E307">
        <f t="shared" si="18"/>
        <v>34.655049481951629</v>
      </c>
      <c r="F307">
        <f t="shared" si="19"/>
        <v>34.579139737673728</v>
      </c>
      <c r="G307">
        <v>0</v>
      </c>
      <c r="H307">
        <v>90.781662750219098</v>
      </c>
    </row>
    <row r="308" spans="1:8" x14ac:dyDescent="0.35">
      <c r="A308" t="s">
        <v>313</v>
      </c>
      <c r="B308">
        <f t="shared" si="20"/>
        <v>90.687071282894493</v>
      </c>
      <c r="C308">
        <f t="shared" si="17"/>
        <v>90.042124114191921</v>
      </c>
      <c r="D308">
        <v>36.4682711885836</v>
      </c>
      <c r="E308">
        <f t="shared" si="18"/>
        <v>34.77903882174008</v>
      </c>
      <c r="F308">
        <f t="shared" si="19"/>
        <v>34.819052652740922</v>
      </c>
      <c r="G308">
        <v>0</v>
      </c>
      <c r="H308">
        <v>90.687071282894493</v>
      </c>
    </row>
    <row r="309" spans="1:8" x14ac:dyDescent="0.35">
      <c r="A309" t="s">
        <v>314</v>
      </c>
      <c r="B309">
        <f t="shared" si="20"/>
        <v>91.061416307607303</v>
      </c>
      <c r="C309">
        <f t="shared" si="17"/>
        <v>90.297322635501033</v>
      </c>
      <c r="D309">
        <v>35.812876792585598</v>
      </c>
      <c r="E309">
        <f t="shared" si="18"/>
        <v>34.288351936548295</v>
      </c>
      <c r="F309">
        <f t="shared" si="19"/>
        <v>33.87251594082089</v>
      </c>
      <c r="G309">
        <v>0</v>
      </c>
      <c r="H309">
        <v>91.061416307607303</v>
      </c>
    </row>
    <row r="310" spans="1:8" x14ac:dyDescent="0.35">
      <c r="A310" t="s">
        <v>315</v>
      </c>
      <c r="B310">
        <f t="shared" si="20"/>
        <v>91.4314563069466</v>
      </c>
      <c r="C310">
        <f t="shared" si="17"/>
        <v>90.112759536408277</v>
      </c>
      <c r="D310">
        <v>36.286495541424202</v>
      </c>
      <c r="E310">
        <f t="shared" si="18"/>
        <v>33.803308026023593</v>
      </c>
      <c r="F310">
        <f t="shared" si="19"/>
        <v>32.944482109778974</v>
      </c>
      <c r="G310">
        <v>0</v>
      </c>
      <c r="H310">
        <v>91.4314563069466</v>
      </c>
    </row>
    <row r="311" spans="1:8" x14ac:dyDescent="0.35">
      <c r="A311" t="s">
        <v>316</v>
      </c>
      <c r="B311">
        <f t="shared" si="20"/>
        <v>91.485121932787493</v>
      </c>
      <c r="C311">
        <f t="shared" si="17"/>
        <v>89.193993773730384</v>
      </c>
      <c r="D311">
        <v>38.6733617616187</v>
      </c>
      <c r="E311">
        <f t="shared" si="18"/>
        <v>33.732963779279729</v>
      </c>
      <c r="F311">
        <f t="shared" si="19"/>
        <v>32.810515901671664</v>
      </c>
      <c r="G311">
        <v>0</v>
      </c>
      <c r="H311">
        <v>91.485121932787493</v>
      </c>
    </row>
    <row r="312" spans="1:8" x14ac:dyDescent="0.35">
      <c r="A312" t="s">
        <v>317</v>
      </c>
      <c r="B312">
        <f t="shared" si="20"/>
        <v>91.013532174922503</v>
      </c>
      <c r="C312">
        <f t="shared" si="17"/>
        <v>89.384812051938852</v>
      </c>
      <c r="D312">
        <v>38.173596798364102</v>
      </c>
      <c r="E312">
        <f t="shared" si="18"/>
        <v>34.35111787269301</v>
      </c>
      <c r="F312">
        <f t="shared" si="19"/>
        <v>33.993157358039724</v>
      </c>
      <c r="G312">
        <v>0</v>
      </c>
      <c r="H312">
        <v>91.013532174922503</v>
      </c>
    </row>
    <row r="313" spans="1:8" x14ac:dyDescent="0.35">
      <c r="A313" t="s">
        <v>318</v>
      </c>
      <c r="B313">
        <f t="shared" si="20"/>
        <v>90.634028250552007</v>
      </c>
      <c r="C313">
        <f t="shared" si="17"/>
        <v>89.677643555126892</v>
      </c>
      <c r="D313">
        <v>37.410789125817097</v>
      </c>
      <c r="E313">
        <f t="shared" si="18"/>
        <v>34.848566980532169</v>
      </c>
      <c r="F313">
        <f t="shared" si="19"/>
        <v>34.953805161429585</v>
      </c>
      <c r="G313">
        <v>0</v>
      </c>
      <c r="H313">
        <v>90.634028250552007</v>
      </c>
    </row>
    <row r="314" spans="1:8" x14ac:dyDescent="0.35">
      <c r="A314" t="s">
        <v>319</v>
      </c>
      <c r="B314">
        <f t="shared" si="20"/>
        <v>90.109500636474394</v>
      </c>
      <c r="C314">
        <f t="shared" si="17"/>
        <v>89.620907866315449</v>
      </c>
      <c r="D314">
        <v>37.5581926883549</v>
      </c>
      <c r="E314">
        <f t="shared" si="18"/>
        <v>35.536111369151399</v>
      </c>
      <c r="F314">
        <f t="shared" si="19"/>
        <v>36.294875836835608</v>
      </c>
      <c r="G314">
        <v>0</v>
      </c>
      <c r="H314">
        <v>90.109500636474394</v>
      </c>
    </row>
    <row r="315" spans="1:8" x14ac:dyDescent="0.35">
      <c r="A315" t="s">
        <v>320</v>
      </c>
      <c r="B315">
        <f t="shared" si="20"/>
        <v>89.490174400322402</v>
      </c>
      <c r="C315">
        <f t="shared" si="17"/>
        <v>89.59590581572958</v>
      </c>
      <c r="D315">
        <v>37.623209145579402</v>
      </c>
      <c r="E315">
        <f t="shared" si="18"/>
        <v>36.34791663347437</v>
      </c>
      <c r="F315">
        <f t="shared" si="19"/>
        <v>37.898559539436484</v>
      </c>
      <c r="G315">
        <v>0</v>
      </c>
      <c r="H315">
        <v>89.490174400322402</v>
      </c>
    </row>
    <row r="316" spans="1:8" x14ac:dyDescent="0.35">
      <c r="A316" t="s">
        <v>321</v>
      </c>
      <c r="B316">
        <f t="shared" si="20"/>
        <v>89.199831296045602</v>
      </c>
      <c r="C316">
        <f t="shared" si="17"/>
        <v>89.555402577401239</v>
      </c>
      <c r="D316">
        <v>37.728612629846602</v>
      </c>
      <c r="E316">
        <f t="shared" si="18"/>
        <v>36.72849482757163</v>
      </c>
      <c r="F316">
        <f t="shared" si="19"/>
        <v>38.658041221187617</v>
      </c>
      <c r="G316">
        <v>0</v>
      </c>
      <c r="H316">
        <v>89.199831296045602</v>
      </c>
    </row>
    <row r="317" spans="1:8" x14ac:dyDescent="0.35">
      <c r="A317" t="s">
        <v>322</v>
      </c>
      <c r="B317">
        <f t="shared" si="20"/>
        <v>89.184466033502403</v>
      </c>
      <c r="C317">
        <f t="shared" si="17"/>
        <v>89.561381559931959</v>
      </c>
      <c r="D317">
        <v>37.71304724422</v>
      </c>
      <c r="E317">
        <f t="shared" si="18"/>
        <v>36.748635426002878</v>
      </c>
      <c r="F317">
        <f t="shared" si="19"/>
        <v>38.698371563748999</v>
      </c>
      <c r="G317">
        <v>0</v>
      </c>
      <c r="H317">
        <v>89.184466033502403</v>
      </c>
    </row>
    <row r="318" spans="1:8" x14ac:dyDescent="0.35">
      <c r="A318" t="s">
        <v>323</v>
      </c>
      <c r="B318">
        <f t="shared" si="20"/>
        <v>89.126221299111293</v>
      </c>
      <c r="C318">
        <f t="shared" si="17"/>
        <v>89.311431297727225</v>
      </c>
      <c r="D318">
        <v>38.3655328539027</v>
      </c>
      <c r="E318">
        <f t="shared" si="18"/>
        <v>36.824981912293495</v>
      </c>
      <c r="F318">
        <f t="shared" si="19"/>
        <v>38.851377095863022</v>
      </c>
      <c r="G318">
        <v>0</v>
      </c>
      <c r="H318">
        <v>89.126221299111293</v>
      </c>
    </row>
    <row r="319" spans="1:8" x14ac:dyDescent="0.35">
      <c r="A319" t="s">
        <v>324</v>
      </c>
      <c r="B319">
        <f t="shared" si="20"/>
        <v>89.733677954188806</v>
      </c>
      <c r="C319">
        <f t="shared" si="17"/>
        <v>89.152968934559283</v>
      </c>
      <c r="D319">
        <v>38.781087788155801</v>
      </c>
      <c r="E319">
        <f t="shared" si="18"/>
        <v>36.028735149837715</v>
      </c>
      <c r="F319">
        <f t="shared" si="19"/>
        <v>37.265390521719837</v>
      </c>
      <c r="G319">
        <v>0</v>
      </c>
      <c r="H319">
        <v>89.733677954188806</v>
      </c>
    </row>
    <row r="320" spans="1:8" x14ac:dyDescent="0.35">
      <c r="A320" t="s">
        <v>325</v>
      </c>
      <c r="B320">
        <f t="shared" si="20"/>
        <v>89.666710369644306</v>
      </c>
      <c r="C320">
        <f t="shared" si="17"/>
        <v>89.394067820603681</v>
      </c>
      <c r="D320">
        <v>38.149409618447699</v>
      </c>
      <c r="E320">
        <f t="shared" si="18"/>
        <v>36.116515441546326</v>
      </c>
      <c r="F320">
        <f t="shared" si="19"/>
        <v>37.439179849714243</v>
      </c>
      <c r="G320">
        <v>0</v>
      </c>
      <c r="H320">
        <v>89.666710369644306</v>
      </c>
    </row>
    <row r="321" spans="1:8" x14ac:dyDescent="0.35">
      <c r="A321" t="s">
        <v>326</v>
      </c>
      <c r="B321">
        <f t="shared" si="20"/>
        <v>90.041201073340602</v>
      </c>
      <c r="C321">
        <f t="shared" si="17"/>
        <v>89.466308706972242</v>
      </c>
      <c r="D321">
        <v>37.960801656700298</v>
      </c>
      <c r="E321">
        <f t="shared" si="18"/>
        <v>35.625637602122687</v>
      </c>
      <c r="F321">
        <f t="shared" si="19"/>
        <v>36.470648461738001</v>
      </c>
      <c r="G321">
        <v>0</v>
      </c>
      <c r="H321">
        <v>90.041201073340602</v>
      </c>
    </row>
    <row r="322" spans="1:8" x14ac:dyDescent="0.35">
      <c r="A322" t="s">
        <v>327</v>
      </c>
      <c r="B322">
        <f t="shared" si="20"/>
        <v>90.013821772626898</v>
      </c>
      <c r="C322">
        <f t="shared" si="17"/>
        <v>89.604780844289238</v>
      </c>
      <c r="D322">
        <v>37.600125968260897</v>
      </c>
      <c r="E322">
        <f t="shared" si="18"/>
        <v>35.661526055017831</v>
      </c>
      <c r="F322">
        <f t="shared" si="19"/>
        <v>36.541185471680762</v>
      </c>
      <c r="G322">
        <v>0</v>
      </c>
      <c r="H322">
        <v>90.013821772626898</v>
      </c>
    </row>
    <row r="323" spans="1:8" x14ac:dyDescent="0.35">
      <c r="A323" t="s">
        <v>328</v>
      </c>
      <c r="B323">
        <f t="shared" si="20"/>
        <v>91.399110910666394</v>
      </c>
      <c r="C323">
        <f t="shared" si="17"/>
        <v>89.744617179977098</v>
      </c>
      <c r="D323">
        <v>37.237026495168998</v>
      </c>
      <c r="E323">
        <f t="shared" si="18"/>
        <v>33.84570597631879</v>
      </c>
      <c r="F323">
        <f t="shared" si="19"/>
        <v>33.025302332494874</v>
      </c>
      <c r="G323">
        <v>0</v>
      </c>
      <c r="H323">
        <v>91.399110910666394</v>
      </c>
    </row>
    <row r="324" spans="1:8" x14ac:dyDescent="0.35">
      <c r="A324" t="s">
        <v>329</v>
      </c>
      <c r="B324">
        <f t="shared" si="20"/>
        <v>91.4512834564635</v>
      </c>
      <c r="C324">
        <f t="shared" si="17"/>
        <v>89.885540771401836</v>
      </c>
      <c r="D324">
        <v>36.872246819696002</v>
      </c>
      <c r="E324">
        <f t="shared" si="18"/>
        <v>33.777318840656044</v>
      </c>
      <c r="F324">
        <f t="shared" si="19"/>
        <v>32.894969021605611</v>
      </c>
      <c r="G324">
        <v>0</v>
      </c>
      <c r="H324">
        <v>91.4512834564635</v>
      </c>
    </row>
    <row r="325" spans="1:8" x14ac:dyDescent="0.35">
      <c r="A325" t="s">
        <v>330</v>
      </c>
      <c r="B325">
        <f t="shared" si="20"/>
        <v>91.358136824205204</v>
      </c>
      <c r="C325">
        <f t="shared" si="17"/>
        <v>89.776159375276777</v>
      </c>
      <c r="D325">
        <v>37.155280278940801</v>
      </c>
      <c r="E325">
        <f t="shared" si="18"/>
        <v>33.89941430829046</v>
      </c>
      <c r="F325">
        <f t="shared" si="19"/>
        <v>33.12776490359078</v>
      </c>
      <c r="G325">
        <v>0</v>
      </c>
      <c r="H325">
        <v>91.358136824205204</v>
      </c>
    </row>
    <row r="326" spans="1:8" x14ac:dyDescent="0.35">
      <c r="A326" t="s">
        <v>331</v>
      </c>
      <c r="B326">
        <f t="shared" si="20"/>
        <v>90.331103981051697</v>
      </c>
      <c r="C326">
        <f t="shared" si="17"/>
        <v>89.15938745891215</v>
      </c>
      <c r="D326">
        <v>38.764227015145799</v>
      </c>
      <c r="E326">
        <f t="shared" si="18"/>
        <v>35.245636412306069</v>
      </c>
      <c r="F326">
        <f t="shared" si="19"/>
        <v>35.726397938235557</v>
      </c>
      <c r="G326">
        <v>0</v>
      </c>
      <c r="H326">
        <v>90.331103981051697</v>
      </c>
    </row>
    <row r="327" spans="1:8" x14ac:dyDescent="0.35">
      <c r="A327" t="s">
        <v>332</v>
      </c>
      <c r="B327">
        <f t="shared" si="20"/>
        <v>90.464783255296695</v>
      </c>
      <c r="C327">
        <f t="shared" si="17"/>
        <v>89.097344232012318</v>
      </c>
      <c r="D327">
        <v>38.927309649202897</v>
      </c>
      <c r="E327">
        <f t="shared" si="18"/>
        <v>35.070411252724213</v>
      </c>
      <c r="F327">
        <f t="shared" si="19"/>
        <v>35.384817973757187</v>
      </c>
      <c r="G327">
        <v>0</v>
      </c>
      <c r="H327">
        <v>90.464783255296695</v>
      </c>
    </row>
    <row r="328" spans="1:8" x14ac:dyDescent="0.35">
      <c r="A328" t="s">
        <v>333</v>
      </c>
      <c r="B328">
        <f t="shared" si="20"/>
        <v>89.718238002935905</v>
      </c>
      <c r="C328">
        <f t="shared" si="17"/>
        <v>88.656191926177499</v>
      </c>
      <c r="D328">
        <v>40.093474363694497</v>
      </c>
      <c r="E328">
        <f t="shared" si="18"/>
        <v>36.048973649317205</v>
      </c>
      <c r="F328">
        <f t="shared" si="19"/>
        <v>37.30543613003951</v>
      </c>
      <c r="G328">
        <v>0</v>
      </c>
      <c r="H328">
        <v>89.718238002935905</v>
      </c>
    </row>
    <row r="329" spans="1:8" x14ac:dyDescent="0.35">
      <c r="A329" t="s">
        <v>334</v>
      </c>
      <c r="B329">
        <f t="shared" si="20"/>
        <v>89.718238002935905</v>
      </c>
      <c r="C329">
        <f t="shared" ref="C329:C368" si="21">$B$2/(1+$B$4*((D329/100)/$B$3))</f>
        <v>88.840737607239745</v>
      </c>
      <c r="D329">
        <v>39.604227745787703</v>
      </c>
      <c r="E329">
        <f t="shared" ref="E329:E368" si="22" xml:space="preserve"> (117.22 - B329)/0.7629</f>
        <v>36.048973649317205</v>
      </c>
      <c r="F329">
        <f t="shared" ref="F329:F368" si="23" xml:space="preserve"> ((($B$3 *($B$2-B329))/($B$4*B329)))*100</f>
        <v>37.30543613003951</v>
      </c>
      <c r="G329">
        <v>0</v>
      </c>
      <c r="H329">
        <v>89.718238002935905</v>
      </c>
    </row>
    <row r="330" spans="1:8" x14ac:dyDescent="0.35">
      <c r="A330" t="s">
        <v>335</v>
      </c>
      <c r="B330">
        <f t="shared" si="20"/>
        <v>89.260825678489994</v>
      </c>
      <c r="C330">
        <f t="shared" si="21"/>
        <v>88.951095238475915</v>
      </c>
      <c r="D330">
        <v>39.312630048909398</v>
      </c>
      <c r="E330">
        <f t="shared" si="22"/>
        <v>36.648544136203967</v>
      </c>
      <c r="F330">
        <f t="shared" si="23"/>
        <v>38.498081705457906</v>
      </c>
      <c r="G330">
        <v>0</v>
      </c>
      <c r="H330">
        <v>89.260825678489994</v>
      </c>
    </row>
    <row r="331" spans="1:8" x14ac:dyDescent="0.35">
      <c r="A331" t="s">
        <v>336</v>
      </c>
      <c r="B331">
        <f t="shared" si="20"/>
        <v>88.622634855825495</v>
      </c>
      <c r="C331">
        <f t="shared" si="21"/>
        <v>88.86268856142182</v>
      </c>
      <c r="D331">
        <v>39.546169090370498</v>
      </c>
      <c r="E331">
        <f t="shared" si="22"/>
        <v>37.485076870067509</v>
      </c>
      <c r="F331">
        <f t="shared" si="23"/>
        <v>40.182656009417464</v>
      </c>
      <c r="G331">
        <v>0</v>
      </c>
      <c r="H331">
        <v>88.622634855825495</v>
      </c>
    </row>
    <row r="332" spans="1:8" x14ac:dyDescent="0.35">
      <c r="A332" t="s">
        <v>337</v>
      </c>
      <c r="B332">
        <f t="shared" si="20"/>
        <v>89.057086140197001</v>
      </c>
      <c r="C332">
        <f t="shared" si="21"/>
        <v>88.95794248551924</v>
      </c>
      <c r="D332">
        <v>39.294561422320299</v>
      </c>
      <c r="E332">
        <f t="shared" si="22"/>
        <v>36.915603434005767</v>
      </c>
      <c r="F332">
        <f t="shared" si="23"/>
        <v>39.03325090597211</v>
      </c>
      <c r="G332">
        <v>0</v>
      </c>
      <c r="H332">
        <v>89.057086140197001</v>
      </c>
    </row>
    <row r="333" spans="1:8" x14ac:dyDescent="0.35">
      <c r="A333" t="s">
        <v>338</v>
      </c>
      <c r="B333">
        <f t="shared" si="20"/>
        <v>89.655756300373596</v>
      </c>
      <c r="C333">
        <f t="shared" si="21"/>
        <v>89.193487345259015</v>
      </c>
      <c r="D333">
        <v>38.674690974476398</v>
      </c>
      <c r="E333">
        <f t="shared" si="22"/>
        <v>36.130873901725522</v>
      </c>
      <c r="F333">
        <f t="shared" si="23"/>
        <v>37.467631747677551</v>
      </c>
      <c r="G333">
        <v>0</v>
      </c>
      <c r="H333">
        <v>89.655756300373596</v>
      </c>
    </row>
    <row r="334" spans="1:8" x14ac:dyDescent="0.35">
      <c r="A334" t="s">
        <v>339</v>
      </c>
      <c r="B334">
        <f t="shared" si="20"/>
        <v>90.262706271756997</v>
      </c>
      <c r="C334">
        <f t="shared" si="21"/>
        <v>89.408779888667411</v>
      </c>
      <c r="D334">
        <v>38.110974339970902</v>
      </c>
      <c r="E334">
        <f t="shared" si="22"/>
        <v>35.335291294066067</v>
      </c>
      <c r="F334">
        <f t="shared" si="23"/>
        <v>35.901560409396097</v>
      </c>
      <c r="G334">
        <v>0</v>
      </c>
      <c r="H334">
        <v>90.262706271756997</v>
      </c>
    </row>
    <row r="335" spans="1:8" x14ac:dyDescent="0.35">
      <c r="A335" t="s">
        <v>340</v>
      </c>
      <c r="B335">
        <f t="shared" si="20"/>
        <v>90.202130066856697</v>
      </c>
      <c r="C335">
        <f t="shared" si="21"/>
        <v>89.400628901016503</v>
      </c>
      <c r="D335">
        <v>38.132267232782198</v>
      </c>
      <c r="E335">
        <f t="shared" si="22"/>
        <v>35.414693843417616</v>
      </c>
      <c r="F335">
        <f t="shared" si="23"/>
        <v>36.056914285170912</v>
      </c>
      <c r="G335">
        <v>0</v>
      </c>
      <c r="H335">
        <v>90.202130066856697</v>
      </c>
    </row>
    <row r="336" spans="1:8" x14ac:dyDescent="0.35">
      <c r="A336" t="s">
        <v>341</v>
      </c>
      <c r="B336">
        <f t="shared" si="20"/>
        <v>90.309842698260397</v>
      </c>
      <c r="C336">
        <f t="shared" si="21"/>
        <v>89.175456104341293</v>
      </c>
      <c r="D336">
        <v>38.722027056319199</v>
      </c>
      <c r="E336">
        <f t="shared" si="22"/>
        <v>35.273505442049547</v>
      </c>
      <c r="F336">
        <f t="shared" si="23"/>
        <v>35.780818401578976</v>
      </c>
      <c r="G336">
        <v>0</v>
      </c>
      <c r="H336">
        <v>90.309842698260397</v>
      </c>
    </row>
    <row r="337" spans="1:8" x14ac:dyDescent="0.35">
      <c r="A337" t="s">
        <v>342</v>
      </c>
      <c r="B337">
        <f t="shared" si="20"/>
        <v>90.029525801452493</v>
      </c>
      <c r="C337">
        <f t="shared" si="21"/>
        <v>89.376019445127795</v>
      </c>
      <c r="D337">
        <v>38.19657828335</v>
      </c>
      <c r="E337">
        <f t="shared" si="22"/>
        <v>35.640941405882167</v>
      </c>
      <c r="F337">
        <f t="shared" si="23"/>
        <v>36.500722097524559</v>
      </c>
      <c r="G337">
        <v>0</v>
      </c>
      <c r="H337">
        <v>90.029525801452493</v>
      </c>
    </row>
    <row r="338" spans="1:8" x14ac:dyDescent="0.35">
      <c r="A338" t="s">
        <v>343</v>
      </c>
      <c r="B338">
        <f t="shared" si="20"/>
        <v>90.141870552609106</v>
      </c>
      <c r="C338">
        <f t="shared" si="21"/>
        <v>89.543714888700322</v>
      </c>
      <c r="D338">
        <v>37.759045780243902</v>
      </c>
      <c r="E338">
        <f t="shared" si="22"/>
        <v>35.493681278530467</v>
      </c>
      <c r="F338">
        <f t="shared" si="23"/>
        <v>36.211663139426634</v>
      </c>
      <c r="G338">
        <v>0</v>
      </c>
      <c r="H338">
        <v>90.141870552609106</v>
      </c>
    </row>
    <row r="339" spans="1:8" x14ac:dyDescent="0.35">
      <c r="A339" t="s">
        <v>344</v>
      </c>
      <c r="B339">
        <f t="shared" si="20"/>
        <v>88.519923504600797</v>
      </c>
      <c r="C339">
        <f t="shared" si="21"/>
        <v>88.935025631751998</v>
      </c>
      <c r="D339">
        <v>39.355045714738502</v>
      </c>
      <c r="E339">
        <f t="shared" si="22"/>
        <v>37.619709654475294</v>
      </c>
      <c r="F339">
        <f t="shared" si="23"/>
        <v>40.45604305370437</v>
      </c>
      <c r="G339">
        <v>0</v>
      </c>
      <c r="H339">
        <v>88.519923504600797</v>
      </c>
    </row>
    <row r="340" spans="1:8" x14ac:dyDescent="0.35">
      <c r="A340" t="s">
        <v>345</v>
      </c>
      <c r="B340">
        <f t="shared" si="20"/>
        <v>88.144967063000706</v>
      </c>
      <c r="C340">
        <f t="shared" si="21"/>
        <v>88.8544480977624</v>
      </c>
      <c r="D340">
        <v>39.567961146104601</v>
      </c>
      <c r="E340">
        <f t="shared" si="22"/>
        <v>38.111197977453521</v>
      </c>
      <c r="F340">
        <f t="shared" si="23"/>
        <v>41.45947389239776</v>
      </c>
      <c r="G340">
        <v>0</v>
      </c>
      <c r="H340">
        <v>88.144967063000706</v>
      </c>
    </row>
    <row r="341" spans="1:8" x14ac:dyDescent="0.35">
      <c r="A341" t="s">
        <v>346</v>
      </c>
      <c r="B341">
        <f t="shared" si="20"/>
        <v>88.426851344901607</v>
      </c>
      <c r="C341">
        <f t="shared" si="21"/>
        <v>88.650972250610266</v>
      </c>
      <c r="D341">
        <v>40.107341797738101</v>
      </c>
      <c r="E341">
        <f t="shared" si="22"/>
        <v>37.741707504389034</v>
      </c>
      <c r="F341">
        <f t="shared" si="23"/>
        <v>40.704321932493102</v>
      </c>
      <c r="G341">
        <v>0</v>
      </c>
      <c r="H341">
        <v>88.426851344901607</v>
      </c>
    </row>
    <row r="342" spans="1:8" x14ac:dyDescent="0.35">
      <c r="A342" t="s">
        <v>347</v>
      </c>
      <c r="B342">
        <f t="shared" si="20"/>
        <v>88.920557219015706</v>
      </c>
      <c r="C342">
        <f t="shared" si="21"/>
        <v>88.983592330835663</v>
      </c>
      <c r="D342">
        <v>39.226900913212702</v>
      </c>
      <c r="E342">
        <f t="shared" si="22"/>
        <v>37.094563875978885</v>
      </c>
      <c r="F342">
        <f t="shared" si="23"/>
        <v>39.393248150499502</v>
      </c>
      <c r="G342">
        <v>0</v>
      </c>
      <c r="H342">
        <v>88.920557219015706</v>
      </c>
    </row>
    <row r="343" spans="1:8" x14ac:dyDescent="0.35">
      <c r="A343" t="s">
        <v>348</v>
      </c>
      <c r="B343">
        <f t="shared" si="20"/>
        <v>89.378375632163298</v>
      </c>
      <c r="C343">
        <f t="shared" si="21"/>
        <v>88.793799235999117</v>
      </c>
      <c r="D343">
        <v>39.728472595818097</v>
      </c>
      <c r="E343">
        <f t="shared" si="22"/>
        <v>36.494461092982959</v>
      </c>
      <c r="F343">
        <f t="shared" si="23"/>
        <v>38.190419407198512</v>
      </c>
      <c r="G343">
        <v>0</v>
      </c>
      <c r="H343">
        <v>89.378375632163298</v>
      </c>
    </row>
    <row r="344" spans="1:8" x14ac:dyDescent="0.35">
      <c r="A344" t="s">
        <v>349</v>
      </c>
      <c r="B344">
        <f t="shared" si="20"/>
        <v>89.667962604475093</v>
      </c>
      <c r="C344">
        <f t="shared" si="21"/>
        <v>88.840115077645009</v>
      </c>
      <c r="D344">
        <v>39.605874709040499</v>
      </c>
      <c r="E344">
        <f t="shared" si="22"/>
        <v>36.114874027428108</v>
      </c>
      <c r="F344">
        <f t="shared" si="23"/>
        <v>37.43592776076656</v>
      </c>
      <c r="G344">
        <v>0</v>
      </c>
      <c r="H344">
        <v>89.667962604475093</v>
      </c>
    </row>
    <row r="345" spans="1:8" x14ac:dyDescent="0.35">
      <c r="A345" t="s">
        <v>350</v>
      </c>
      <c r="B345">
        <f t="shared" si="20"/>
        <v>90.133110220009598</v>
      </c>
      <c r="C345">
        <f t="shared" si="21"/>
        <v>89.125023608129553</v>
      </c>
      <c r="D345">
        <v>38.854525458881803</v>
      </c>
      <c r="E345">
        <f t="shared" si="22"/>
        <v>35.505164215480924</v>
      </c>
      <c r="F345">
        <f t="shared" si="23"/>
        <v>36.234177252691225</v>
      </c>
      <c r="G345">
        <v>0</v>
      </c>
      <c r="H345">
        <v>90.133110220009598</v>
      </c>
    </row>
    <row r="346" spans="1:8" x14ac:dyDescent="0.35">
      <c r="A346" t="s">
        <v>351</v>
      </c>
      <c r="B346">
        <f t="shared" si="20"/>
        <v>90.642677136991793</v>
      </c>
      <c r="C346">
        <f t="shared" si="21"/>
        <v>89.168453411514164</v>
      </c>
      <c r="D346">
        <v>38.740415868543103</v>
      </c>
      <c r="E346">
        <f t="shared" si="22"/>
        <v>34.837230125846382</v>
      </c>
      <c r="F346">
        <f t="shared" si="23"/>
        <v>34.931822444725633</v>
      </c>
      <c r="G346">
        <v>0</v>
      </c>
      <c r="H346">
        <v>90.642677136991793</v>
      </c>
    </row>
    <row r="347" spans="1:8" x14ac:dyDescent="0.35">
      <c r="A347" t="s">
        <v>352</v>
      </c>
      <c r="B347">
        <f t="shared" ref="B347:B368" si="24" xml:space="preserve"> H347/(1-$B$5*G347)</f>
        <v>91.556626837590898</v>
      </c>
      <c r="C347">
        <f t="shared" si="21"/>
        <v>89.163174530639537</v>
      </c>
      <c r="D347">
        <v>38.754279923779698</v>
      </c>
      <c r="E347">
        <f t="shared" si="22"/>
        <v>33.639236023606109</v>
      </c>
      <c r="F347">
        <f t="shared" si="23"/>
        <v>32.632261298939738</v>
      </c>
      <c r="G347">
        <v>0</v>
      </c>
      <c r="H347">
        <v>91.556626837590898</v>
      </c>
    </row>
    <row r="348" spans="1:8" x14ac:dyDescent="0.35">
      <c r="A348" t="s">
        <v>353</v>
      </c>
      <c r="B348">
        <f t="shared" si="24"/>
        <v>91.416543114166799</v>
      </c>
      <c r="C348">
        <f t="shared" si="21"/>
        <v>89.158244473776222</v>
      </c>
      <c r="D348">
        <v>38.767229336483197</v>
      </c>
      <c r="E348">
        <f t="shared" si="22"/>
        <v>33.822856056931705</v>
      </c>
      <c r="F348">
        <f t="shared" si="23"/>
        <v>32.981738036878134</v>
      </c>
      <c r="G348">
        <v>0</v>
      </c>
      <c r="H348">
        <v>91.416543114166799</v>
      </c>
    </row>
    <row r="349" spans="1:8" x14ac:dyDescent="0.35">
      <c r="A349" t="s">
        <v>354</v>
      </c>
      <c r="B349">
        <f t="shared" si="24"/>
        <v>90.846934065669203</v>
      </c>
      <c r="C349">
        <f t="shared" si="21"/>
        <v>89.167420889757395</v>
      </c>
      <c r="D349">
        <v>38.743127476798399</v>
      </c>
      <c r="E349">
        <f t="shared" si="22"/>
        <v>34.569492639049408</v>
      </c>
      <c r="F349">
        <f t="shared" si="23"/>
        <v>34.413883016342858</v>
      </c>
      <c r="G349">
        <v>0</v>
      </c>
      <c r="H349">
        <v>90.846934065669203</v>
      </c>
    </row>
    <row r="350" spans="1:8" x14ac:dyDescent="0.35">
      <c r="A350" t="s">
        <v>355</v>
      </c>
      <c r="B350">
        <f t="shared" si="24"/>
        <v>90.285428146278406</v>
      </c>
      <c r="C350">
        <f t="shared" si="21"/>
        <v>89.176599194857758</v>
      </c>
      <c r="D350">
        <v>38.719025617113701</v>
      </c>
      <c r="E350">
        <f t="shared" si="22"/>
        <v>35.305507738526138</v>
      </c>
      <c r="F350">
        <f t="shared" si="23"/>
        <v>35.843341599982118</v>
      </c>
      <c r="G350">
        <v>0</v>
      </c>
      <c r="H350">
        <v>90.285428146278406</v>
      </c>
    </row>
    <row r="351" spans="1:8" x14ac:dyDescent="0.35">
      <c r="A351" t="s">
        <v>356</v>
      </c>
      <c r="B351">
        <f t="shared" si="24"/>
        <v>90.414510069398503</v>
      </c>
      <c r="C351">
        <f t="shared" si="21"/>
        <v>89.185779389660766</v>
      </c>
      <c r="D351">
        <v>38.694923757429002</v>
      </c>
      <c r="E351">
        <f t="shared" si="22"/>
        <v>35.136308730635072</v>
      </c>
      <c r="F351">
        <f t="shared" si="23"/>
        <v>35.513158525707361</v>
      </c>
      <c r="G351">
        <v>0</v>
      </c>
      <c r="H351">
        <v>90.414510069398503</v>
      </c>
    </row>
    <row r="352" spans="1:8" x14ac:dyDescent="0.35">
      <c r="A352" t="s">
        <v>357</v>
      </c>
      <c r="B352">
        <f t="shared" si="24"/>
        <v>90.916712169263704</v>
      </c>
      <c r="C352">
        <f t="shared" si="21"/>
        <v>89.19496147475013</v>
      </c>
      <c r="D352">
        <v>38.670821897744297</v>
      </c>
      <c r="E352">
        <f t="shared" si="22"/>
        <v>34.478028353304879</v>
      </c>
      <c r="F352">
        <f t="shared" si="23"/>
        <v>34.237478239951564</v>
      </c>
      <c r="G352">
        <v>0</v>
      </c>
      <c r="H352">
        <v>90.916712169263704</v>
      </c>
    </row>
    <row r="353" spans="1:8" x14ac:dyDescent="0.35">
      <c r="A353" t="s">
        <v>358</v>
      </c>
      <c r="B353">
        <f t="shared" si="24"/>
        <v>90.866223413350099</v>
      </c>
      <c r="C353">
        <f t="shared" si="21"/>
        <v>89.204145450709731</v>
      </c>
      <c r="D353">
        <v>38.646720038059598</v>
      </c>
      <c r="E353">
        <f t="shared" si="22"/>
        <v>34.544208397758418</v>
      </c>
      <c r="F353">
        <f t="shared" si="23"/>
        <v>34.365090865540679</v>
      </c>
      <c r="G353">
        <v>0</v>
      </c>
      <c r="H353">
        <v>90.866223413350099</v>
      </c>
    </row>
    <row r="354" spans="1:8" x14ac:dyDescent="0.35">
      <c r="A354" t="s">
        <v>359</v>
      </c>
      <c r="B354">
        <f t="shared" si="24"/>
        <v>90.815734657436593</v>
      </c>
      <c r="C354">
        <f t="shared" si="21"/>
        <v>89.213331318123721</v>
      </c>
      <c r="D354">
        <v>38.6226181783748</v>
      </c>
      <c r="E354">
        <f t="shared" si="22"/>
        <v>34.610388442211828</v>
      </c>
      <c r="F354">
        <f t="shared" si="23"/>
        <v>34.492845382900384</v>
      </c>
      <c r="G354">
        <v>0</v>
      </c>
      <c r="H354">
        <v>90.815734657436593</v>
      </c>
    </row>
    <row r="355" spans="1:8" x14ac:dyDescent="0.35">
      <c r="A355" t="s">
        <v>360</v>
      </c>
      <c r="B355">
        <f t="shared" si="24"/>
        <v>90.765245901523002</v>
      </c>
      <c r="C355">
        <f t="shared" si="21"/>
        <v>89.22251907757645</v>
      </c>
      <c r="D355">
        <v>38.598516318690102</v>
      </c>
      <c r="E355">
        <f t="shared" si="22"/>
        <v>34.676568486665353</v>
      </c>
      <c r="F355">
        <f t="shared" si="23"/>
        <v>34.620742028815776</v>
      </c>
      <c r="G355">
        <v>0</v>
      </c>
      <c r="H355">
        <v>90.765245901523002</v>
      </c>
    </row>
    <row r="356" spans="1:8" x14ac:dyDescent="0.35">
      <c r="A356" t="s">
        <v>361</v>
      </c>
      <c r="B356">
        <f t="shared" si="24"/>
        <v>90.714757145609397</v>
      </c>
      <c r="C356">
        <f t="shared" si="21"/>
        <v>89.231708729652553</v>
      </c>
      <c r="D356">
        <v>38.574414459005403</v>
      </c>
      <c r="E356">
        <f t="shared" si="22"/>
        <v>34.742748531118892</v>
      </c>
      <c r="F356">
        <f t="shared" si="23"/>
        <v>34.74878104059848</v>
      </c>
      <c r="G356">
        <v>0</v>
      </c>
      <c r="H356">
        <v>90.714757145609397</v>
      </c>
    </row>
    <row r="357" spans="1:8" x14ac:dyDescent="0.35">
      <c r="A357" t="s">
        <v>362</v>
      </c>
      <c r="B357">
        <f t="shared" si="24"/>
        <v>90.664268389695806</v>
      </c>
      <c r="C357">
        <f t="shared" si="21"/>
        <v>89.240900274936891</v>
      </c>
      <c r="D357">
        <v>38.550312599320698</v>
      </c>
      <c r="E357">
        <f t="shared" si="22"/>
        <v>34.808928575572409</v>
      </c>
      <c r="F357">
        <f t="shared" si="23"/>
        <v>34.876962656088828</v>
      </c>
      <c r="G357">
        <v>0</v>
      </c>
      <c r="H357">
        <v>90.664268389695806</v>
      </c>
    </row>
    <row r="358" spans="1:8" x14ac:dyDescent="0.35">
      <c r="A358" t="s">
        <v>363</v>
      </c>
      <c r="B358">
        <f t="shared" si="24"/>
        <v>90.613779633782201</v>
      </c>
      <c r="C358">
        <f t="shared" si="21"/>
        <v>89.250093714014582</v>
      </c>
      <c r="D358">
        <v>38.526210739635999</v>
      </c>
      <c r="E358">
        <f t="shared" si="22"/>
        <v>34.875108620025948</v>
      </c>
      <c r="F358">
        <f t="shared" si="23"/>
        <v>35.005287113657388</v>
      </c>
      <c r="G358">
        <v>0</v>
      </c>
      <c r="H358">
        <v>90.613779633782201</v>
      </c>
    </row>
    <row r="359" spans="1:8" x14ac:dyDescent="0.35">
      <c r="A359" t="s">
        <v>364</v>
      </c>
      <c r="B359">
        <f t="shared" si="24"/>
        <v>90.563290877868695</v>
      </c>
      <c r="C359">
        <f t="shared" si="21"/>
        <v>89.259289047470958</v>
      </c>
      <c r="D359">
        <v>38.502108879951301</v>
      </c>
      <c r="E359">
        <f t="shared" si="22"/>
        <v>34.941288664479359</v>
      </c>
      <c r="F359">
        <f t="shared" si="23"/>
        <v>35.13375465220593</v>
      </c>
      <c r="G359">
        <v>0</v>
      </c>
      <c r="H359">
        <v>90.563290877868695</v>
      </c>
    </row>
    <row r="360" spans="1:8" x14ac:dyDescent="0.35">
      <c r="A360" t="s">
        <v>365</v>
      </c>
      <c r="B360">
        <f t="shared" si="24"/>
        <v>90.512802121955104</v>
      </c>
      <c r="C360">
        <f t="shared" si="21"/>
        <v>89.375565880854126</v>
      </c>
      <c r="D360">
        <v>38.197763899757099</v>
      </c>
      <c r="E360">
        <f t="shared" si="22"/>
        <v>35.007468708932876</v>
      </c>
      <c r="F360">
        <f t="shared" si="23"/>
        <v>35.262365511170017</v>
      </c>
      <c r="G360">
        <v>0</v>
      </c>
      <c r="H360">
        <v>90.512802121955104</v>
      </c>
    </row>
    <row r="361" spans="1:8" x14ac:dyDescent="0.35">
      <c r="A361" t="s">
        <v>366</v>
      </c>
      <c r="B361">
        <f t="shared" si="24"/>
        <v>90.217731880022896</v>
      </c>
      <c r="C361">
        <f t="shared" si="21"/>
        <v>89.451713254854212</v>
      </c>
      <c r="D361">
        <v>37.998883200438101</v>
      </c>
      <c r="E361">
        <f t="shared" si="22"/>
        <v>35.394243177319574</v>
      </c>
      <c r="F361">
        <f t="shared" si="23"/>
        <v>36.016881892307339</v>
      </c>
      <c r="G361">
        <v>0</v>
      </c>
      <c r="H361">
        <v>90.217731880022896</v>
      </c>
    </row>
    <row r="362" spans="1:8" x14ac:dyDescent="0.35">
      <c r="A362" t="s">
        <v>367</v>
      </c>
      <c r="B362">
        <f t="shared" si="24"/>
        <v>89.957556816445106</v>
      </c>
      <c r="C362">
        <f t="shared" si="21"/>
        <v>89.620678383164062</v>
      </c>
      <c r="D362">
        <v>37.558789281713203</v>
      </c>
      <c r="E362">
        <f t="shared" si="22"/>
        <v>35.73527747221771</v>
      </c>
      <c r="F362">
        <f t="shared" si="23"/>
        <v>36.686275079547968</v>
      </c>
      <c r="G362">
        <v>0</v>
      </c>
      <c r="H362">
        <v>89.957556816445106</v>
      </c>
    </row>
    <row r="363" spans="1:8" x14ac:dyDescent="0.35">
      <c r="A363" t="s">
        <v>368</v>
      </c>
      <c r="B363">
        <f t="shared" si="24"/>
        <v>90.114822369951995</v>
      </c>
      <c r="C363">
        <f t="shared" si="21"/>
        <v>89.36266129852055</v>
      </c>
      <c r="D363">
        <v>38.231501503208897</v>
      </c>
      <c r="E363">
        <f t="shared" si="22"/>
        <v>35.529135705922144</v>
      </c>
      <c r="F363">
        <f t="shared" si="23"/>
        <v>36.281191256561776</v>
      </c>
      <c r="G363">
        <v>0</v>
      </c>
      <c r="H363">
        <v>90.114822369951995</v>
      </c>
    </row>
    <row r="364" spans="1:8" x14ac:dyDescent="0.35">
      <c r="A364" t="s">
        <v>369</v>
      </c>
      <c r="B364">
        <f t="shared" si="24"/>
        <v>90.8048923081558</v>
      </c>
      <c r="C364">
        <f t="shared" si="21"/>
        <v>89.47788969331468</v>
      </c>
      <c r="D364">
        <v>37.930594108829197</v>
      </c>
      <c r="E364">
        <f t="shared" si="22"/>
        <v>34.624600461193076</v>
      </c>
      <c r="F364">
        <f t="shared" si="23"/>
        <v>34.520298914550743</v>
      </c>
      <c r="G364">
        <v>0</v>
      </c>
      <c r="H364">
        <v>90.8048923081558</v>
      </c>
    </row>
    <row r="365" spans="1:8" x14ac:dyDescent="0.35">
      <c r="A365" t="s">
        <v>370</v>
      </c>
      <c r="B365">
        <f t="shared" si="24"/>
        <v>91.920141380066099</v>
      </c>
      <c r="C365">
        <f t="shared" si="21"/>
        <v>89.757619983899133</v>
      </c>
      <c r="D365">
        <v>37.203320865026697</v>
      </c>
      <c r="E365">
        <f t="shared" si="22"/>
        <v>33.16274560222034</v>
      </c>
      <c r="F365">
        <f t="shared" si="23"/>
        <v>31.730344456548494</v>
      </c>
      <c r="G365">
        <v>0</v>
      </c>
      <c r="H365">
        <v>91.920141380066099</v>
      </c>
    </row>
    <row r="366" spans="1:8" x14ac:dyDescent="0.35">
      <c r="A366" t="s">
        <v>371</v>
      </c>
      <c r="B366">
        <f t="shared" si="24"/>
        <v>92.037632708964594</v>
      </c>
      <c r="C366">
        <f t="shared" si="21"/>
        <v>89.888226610415231</v>
      </c>
      <c r="D366">
        <v>36.8653056525118</v>
      </c>
      <c r="E366">
        <f t="shared" si="22"/>
        <v>33.008739403637968</v>
      </c>
      <c r="F366">
        <f t="shared" si="23"/>
        <v>31.440359901410442</v>
      </c>
      <c r="G366">
        <v>0</v>
      </c>
      <c r="H366">
        <v>92.037632708964594</v>
      </c>
    </row>
    <row r="367" spans="1:8" x14ac:dyDescent="0.35">
      <c r="A367" t="s">
        <v>372</v>
      </c>
      <c r="B367">
        <f t="shared" si="24"/>
        <v>91.5598323761442</v>
      </c>
      <c r="C367">
        <f t="shared" si="21"/>
        <v>89.978559937166978</v>
      </c>
      <c r="D367">
        <v>36.632093418688399</v>
      </c>
      <c r="E367">
        <f t="shared" si="22"/>
        <v>33.63503424283104</v>
      </c>
      <c r="F367">
        <f t="shared" si="23"/>
        <v>32.6242767312552</v>
      </c>
      <c r="G367">
        <v>0</v>
      </c>
      <c r="H367">
        <v>91.5598323761442</v>
      </c>
    </row>
    <row r="368" spans="1:8" x14ac:dyDescent="0.35">
      <c r="A368" t="s">
        <v>373</v>
      </c>
      <c r="B368">
        <f t="shared" si="24"/>
        <v>90.5207652985697</v>
      </c>
      <c r="C368">
        <f t="shared" si="21"/>
        <v>90.100901191069198</v>
      </c>
      <c r="D368">
        <v>36.316992311430297</v>
      </c>
      <c r="E368">
        <f t="shared" si="22"/>
        <v>34.997030674308952</v>
      </c>
      <c r="F368">
        <f t="shared" si="23"/>
        <v>35.242071247627557</v>
      </c>
      <c r="G368">
        <v>0</v>
      </c>
      <c r="H368">
        <v>90.5207652985697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7CE2F-1FAA-474A-9C53-F2D5911EFD4B}"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selhausen_SM_EGR_daily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Sonia Akter</dc:creator>
  <cp:lastModifiedBy>Sonia Akter</cp:lastModifiedBy>
  <dcterms:created xsi:type="dcterms:W3CDTF">2023-09-04T15:01:05Z</dcterms:created>
  <dcterms:modified xsi:type="dcterms:W3CDTF">2026-10-26T14:32:51Z</dcterms:modified>
</cp:coreProperties>
</file>