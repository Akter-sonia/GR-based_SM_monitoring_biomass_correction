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02_samples\"/>
    </mc:Choice>
  </mc:AlternateContent>
  <xr:revisionPtr revIDLastSave="0" documentId="13_ncr:1_{DC23820D-E04C-4B59-8E7B-9C71059CF601}" xr6:coauthVersionLast="47" xr6:coauthVersionMax="47" xr10:uidLastSave="{00000000-0000-0000-0000-000000000000}"/>
  <bookViews>
    <workbookView xWindow="-120" yWindow="-120" windowWidth="29040" windowHeight="17640" xr2:uid="{95DD6E43-AB44-4979-8B2F-B2ABF8B64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4" i="1" l="1"/>
  <c r="AF92" i="1"/>
  <c r="AF88" i="1"/>
  <c r="AF79" i="1"/>
  <c r="AE92" i="1"/>
  <c r="AE88" i="1"/>
  <c r="AE84" i="1"/>
  <c r="AE79" i="1"/>
  <c r="AC80" i="1"/>
  <c r="AC81" i="1"/>
  <c r="AC82" i="1"/>
  <c r="AC84" i="1"/>
  <c r="AC85" i="1"/>
  <c r="AC86" i="1"/>
  <c r="AC88" i="1"/>
  <c r="AC89" i="1"/>
  <c r="AC90" i="1"/>
  <c r="AC92" i="1"/>
  <c r="AC93" i="1"/>
  <c r="AC94" i="1"/>
  <c r="AC95" i="1"/>
  <c r="AC79" i="1"/>
  <c r="AB95" i="1"/>
  <c r="AB90" i="1"/>
  <c r="AB86" i="1"/>
  <c r="AB82" i="1"/>
  <c r="AB80" i="1"/>
  <c r="AB81" i="1"/>
  <c r="AB84" i="1"/>
  <c r="AB85" i="1"/>
  <c r="AB88" i="1"/>
  <c r="AB89" i="1"/>
  <c r="AB92" i="1"/>
  <c r="AB93" i="1"/>
  <c r="AB94" i="1"/>
  <c r="AB79" i="1"/>
  <c r="W80" i="1"/>
  <c r="W81" i="1"/>
  <c r="W84" i="1"/>
  <c r="W88" i="1"/>
  <c r="W89" i="1"/>
  <c r="W90" i="1"/>
  <c r="W92" i="1"/>
  <c r="W93" i="1"/>
  <c r="W94" i="1"/>
  <c r="W79" i="1"/>
  <c r="V94" i="1"/>
  <c r="V90" i="1"/>
  <c r="V81" i="1"/>
  <c r="V80" i="1"/>
  <c r="V84" i="1"/>
  <c r="V88" i="1"/>
  <c r="V89" i="1"/>
  <c r="V92" i="1"/>
  <c r="V93" i="1"/>
  <c r="V79" i="1"/>
  <c r="Q80" i="1"/>
  <c r="Q81" i="1"/>
  <c r="Q84" i="1"/>
  <c r="Q85" i="1"/>
  <c r="Q86" i="1"/>
  <c r="Q88" i="1"/>
  <c r="Q89" i="1"/>
  <c r="Q90" i="1"/>
  <c r="Q92" i="1"/>
  <c r="Q93" i="1"/>
  <c r="Q94" i="1"/>
  <c r="Q79" i="1"/>
  <c r="P94" i="1"/>
  <c r="P90" i="1"/>
  <c r="P86" i="1"/>
  <c r="P81" i="1"/>
  <c r="P80" i="1"/>
  <c r="P84" i="1"/>
  <c r="P85" i="1"/>
  <c r="P88" i="1"/>
  <c r="P89" i="1"/>
  <c r="P92" i="1"/>
  <c r="P93" i="1"/>
  <c r="P79" i="1"/>
  <c r="AD92" i="1"/>
  <c r="AD88" i="1"/>
  <c r="Z90" i="1"/>
  <c r="T90" i="1"/>
  <c r="AD84" i="1"/>
  <c r="AD79" i="1"/>
  <c r="Z95" i="1"/>
  <c r="Z93" i="1"/>
  <c r="Z94" i="1"/>
  <c r="Z92" i="1"/>
  <c r="T93" i="1"/>
  <c r="T92" i="1"/>
  <c r="T94" i="1" s="1"/>
  <c r="N94" i="1"/>
  <c r="N93" i="1"/>
  <c r="N92" i="1"/>
  <c r="Z89" i="1"/>
  <c r="Z88" i="1"/>
  <c r="T89" i="1"/>
  <c r="T88" i="1"/>
  <c r="N89" i="1"/>
  <c r="N88" i="1"/>
  <c r="N90" i="1" s="1"/>
  <c r="Z85" i="1"/>
  <c r="Z84" i="1"/>
  <c r="Z86" i="1" s="1"/>
  <c r="T84" i="1"/>
  <c r="N85" i="1"/>
  <c r="N84" i="1"/>
  <c r="Z81" i="1"/>
  <c r="Z80" i="1"/>
  <c r="Z79" i="1"/>
  <c r="T80" i="1"/>
  <c r="T79" i="1"/>
  <c r="T81" i="1" s="1"/>
  <c r="N80" i="1"/>
  <c r="N79" i="1"/>
  <c r="Z37" i="1"/>
  <c r="AB37" i="1"/>
  <c r="AB18" i="1"/>
  <c r="AC18" i="1" s="1"/>
  <c r="AB21" i="1"/>
  <c r="AC21" i="1" s="1"/>
  <c r="AB24" i="1"/>
  <c r="AC24" i="1" s="1"/>
  <c r="AB27" i="1"/>
  <c r="AC27" i="1" s="1"/>
  <c r="AB30" i="1"/>
  <c r="AC30" i="1" s="1"/>
  <c r="AB33" i="1"/>
  <c r="AC33" i="1" s="1"/>
  <c r="AB38" i="1"/>
  <c r="AB42" i="1"/>
  <c r="AB43" i="1"/>
  <c r="AB44" i="1"/>
  <c r="AB45" i="1"/>
  <c r="AB49" i="1"/>
  <c r="AB50" i="1"/>
  <c r="AB51" i="1"/>
  <c r="AB54" i="1"/>
  <c r="AB55" i="1"/>
  <c r="AB60" i="1"/>
  <c r="AB61" i="1"/>
  <c r="AB64" i="1"/>
  <c r="AB65" i="1"/>
  <c r="AB68" i="1"/>
  <c r="AB69" i="1"/>
  <c r="AB72" i="1"/>
  <c r="AB73" i="1"/>
  <c r="Z18" i="1"/>
  <c r="Z21" i="1"/>
  <c r="Z24" i="1"/>
  <c r="Z27" i="1"/>
  <c r="Z30" i="1"/>
  <c r="Z33" i="1"/>
  <c r="Z38" i="1"/>
  <c r="AC38" i="1" s="1"/>
  <c r="Z42" i="1"/>
  <c r="Z43" i="1"/>
  <c r="AC43" i="1" s="1"/>
  <c r="Z44" i="1"/>
  <c r="AC44" i="1" s="1"/>
  <c r="Z45" i="1"/>
  <c r="AC45" i="1" s="1"/>
  <c r="Z49" i="1"/>
  <c r="Z50" i="1"/>
  <c r="AC50" i="1" s="1"/>
  <c r="Z51" i="1"/>
  <c r="AC51" i="1" s="1"/>
  <c r="Z54" i="1"/>
  <c r="AC54" i="1" s="1"/>
  <c r="Z55" i="1"/>
  <c r="AC55" i="1" s="1"/>
  <c r="Z60" i="1"/>
  <c r="Z61" i="1"/>
  <c r="Z64" i="1"/>
  <c r="Z65" i="1"/>
  <c r="Z68" i="1"/>
  <c r="Z69" i="1"/>
  <c r="Z72" i="1"/>
  <c r="Z73" i="1"/>
  <c r="AB15" i="1"/>
  <c r="AC15" i="1" s="1"/>
  <c r="Z15" i="1"/>
  <c r="V18" i="1"/>
  <c r="V21" i="1"/>
  <c r="V24" i="1"/>
  <c r="V27" i="1"/>
  <c r="V30" i="1"/>
  <c r="V33" i="1"/>
  <c r="V37" i="1"/>
  <c r="V38" i="1"/>
  <c r="V42" i="1"/>
  <c r="V43" i="1"/>
  <c r="V49" i="1"/>
  <c r="V54" i="1"/>
  <c r="V60" i="1"/>
  <c r="V64" i="1"/>
  <c r="V68" i="1"/>
  <c r="V72" i="1"/>
  <c r="T18" i="1"/>
  <c r="W18" i="1" s="1"/>
  <c r="T21" i="1"/>
  <c r="W21" i="1" s="1"/>
  <c r="T24" i="1"/>
  <c r="W24" i="1" s="1"/>
  <c r="T27" i="1"/>
  <c r="W27" i="1" s="1"/>
  <c r="T30" i="1"/>
  <c r="W30" i="1" s="1"/>
  <c r="T33" i="1"/>
  <c r="W33" i="1" s="1"/>
  <c r="T37" i="1"/>
  <c r="W37" i="1" s="1"/>
  <c r="T38" i="1"/>
  <c r="W38" i="1" s="1"/>
  <c r="T42" i="1"/>
  <c r="W42" i="1" s="1"/>
  <c r="T43" i="1"/>
  <c r="T49" i="1"/>
  <c r="W49" i="1" s="1"/>
  <c r="T54" i="1"/>
  <c r="W54" i="1" s="1"/>
  <c r="T60" i="1"/>
  <c r="W60" i="1" s="1"/>
  <c r="T64" i="1"/>
  <c r="T68" i="1"/>
  <c r="T72" i="1"/>
  <c r="V15" i="1"/>
  <c r="T15" i="1"/>
  <c r="W15" i="1" s="1"/>
  <c r="P18" i="1"/>
  <c r="P21" i="1"/>
  <c r="P24" i="1"/>
  <c r="P27" i="1"/>
  <c r="P30" i="1"/>
  <c r="P33" i="1"/>
  <c r="P37" i="1"/>
  <c r="P38" i="1"/>
  <c r="P42" i="1"/>
  <c r="P46" i="1" s="1"/>
  <c r="P43" i="1"/>
  <c r="P49" i="1"/>
  <c r="P54" i="1"/>
  <c r="P60" i="1"/>
  <c r="P61" i="1"/>
  <c r="P64" i="1"/>
  <c r="P68" i="1"/>
  <c r="P72" i="1"/>
  <c r="P73" i="1"/>
  <c r="N18" i="1"/>
  <c r="N21" i="1"/>
  <c r="N24" i="1"/>
  <c r="N27" i="1"/>
  <c r="N30" i="1"/>
  <c r="N33" i="1"/>
  <c r="N37" i="1"/>
  <c r="N38" i="1"/>
  <c r="N42" i="1"/>
  <c r="N43" i="1"/>
  <c r="N49" i="1"/>
  <c r="N54" i="1"/>
  <c r="N60" i="1"/>
  <c r="N61" i="1"/>
  <c r="N64" i="1"/>
  <c r="N68" i="1"/>
  <c r="N72" i="1"/>
  <c r="N73" i="1"/>
  <c r="P15" i="1"/>
  <c r="AE15" i="1" s="1"/>
  <c r="N15" i="1"/>
  <c r="AB5" i="1"/>
  <c r="AB8" i="1"/>
  <c r="AB11" i="1"/>
  <c r="AB3" i="1"/>
  <c r="Z5" i="1"/>
  <c r="Z8" i="1"/>
  <c r="Z11" i="1"/>
  <c r="Z3" i="1"/>
  <c r="P5" i="1"/>
  <c r="AE5" i="1" s="1"/>
  <c r="P8" i="1"/>
  <c r="AE8" i="1" s="1"/>
  <c r="P11" i="1"/>
  <c r="AE11" i="1" s="1"/>
  <c r="P3" i="1"/>
  <c r="N5" i="1"/>
  <c r="N8" i="1"/>
  <c r="N11" i="1"/>
  <c r="AD11" i="1" s="1"/>
  <c r="N3" i="1"/>
  <c r="AE3" i="1" l="1"/>
  <c r="N81" i="1"/>
  <c r="N39" i="1"/>
  <c r="P74" i="1"/>
  <c r="Z70" i="1"/>
  <c r="AB70" i="1"/>
  <c r="AE68" i="1" s="1"/>
  <c r="AE30" i="1"/>
  <c r="Z82" i="1"/>
  <c r="N86" i="1"/>
  <c r="AE18" i="1"/>
  <c r="Z52" i="1"/>
  <c r="AD49" i="1" s="1"/>
  <c r="Q54" i="1"/>
  <c r="Q27" i="1"/>
  <c r="AF27" i="1" s="1"/>
  <c r="P62" i="1"/>
  <c r="V39" i="1"/>
  <c r="Z62" i="1"/>
  <c r="AD60" i="1" s="1"/>
  <c r="AB46" i="1"/>
  <c r="AD3" i="1"/>
  <c r="Z46" i="1"/>
  <c r="N74" i="1"/>
  <c r="N46" i="1"/>
  <c r="Z74" i="1"/>
  <c r="Z39" i="1"/>
  <c r="AD68" i="1"/>
  <c r="AD33" i="1"/>
  <c r="N62" i="1"/>
  <c r="P39" i="1"/>
  <c r="V46" i="1"/>
  <c r="Z66" i="1"/>
  <c r="AB66" i="1"/>
  <c r="AE64" i="1" s="1"/>
  <c r="AC61" i="1"/>
  <c r="T46" i="1"/>
  <c r="W39" i="1"/>
  <c r="AC60" i="1"/>
  <c r="AC37" i="1"/>
  <c r="AC39" i="1" s="1"/>
  <c r="AB40" i="1" s="1"/>
  <c r="AB62" i="1"/>
  <c r="W43" i="1"/>
  <c r="W46" i="1" s="1"/>
  <c r="AC73" i="1"/>
  <c r="Z56" i="1"/>
  <c r="AD54" i="1" s="1"/>
  <c r="AC72" i="1"/>
  <c r="AC74" i="1" s="1"/>
  <c r="AC49" i="1"/>
  <c r="AC52" i="1" s="1"/>
  <c r="AC69" i="1"/>
  <c r="T39" i="1"/>
  <c r="AC42" i="1"/>
  <c r="AC46" i="1" s="1"/>
  <c r="AB74" i="1"/>
  <c r="AE72" i="1" s="1"/>
  <c r="AC68" i="1"/>
  <c r="AC65" i="1"/>
  <c r="AC64" i="1"/>
  <c r="AB39" i="1"/>
  <c r="W68" i="1"/>
  <c r="W64" i="1"/>
  <c r="AC56" i="1"/>
  <c r="AB52" i="1"/>
  <c r="AE49" i="1" s="1"/>
  <c r="AC3" i="1"/>
  <c r="Q15" i="1"/>
  <c r="AF15" i="1" s="1"/>
  <c r="AE33" i="1"/>
  <c r="Q73" i="1"/>
  <c r="Q43" i="1"/>
  <c r="Q21" i="1"/>
  <c r="AF21" i="1" s="1"/>
  <c r="AB56" i="1"/>
  <c r="AE54" i="1" s="1"/>
  <c r="AD24" i="1"/>
  <c r="Q5" i="1"/>
  <c r="AC5" i="1"/>
  <c r="AD18" i="1"/>
  <c r="Q61" i="1"/>
  <c r="Q60" i="1"/>
  <c r="Q62" i="1" s="1"/>
  <c r="AD30" i="1"/>
  <c r="W72" i="1"/>
  <c r="Q8" i="1"/>
  <c r="AC8" i="1"/>
  <c r="AE27" i="1"/>
  <c r="AC11" i="1"/>
  <c r="Q72" i="1"/>
  <c r="Q74" i="1" s="1"/>
  <c r="Q42" i="1"/>
  <c r="Q46" i="1" s="1"/>
  <c r="AE24" i="1"/>
  <c r="AE21" i="1"/>
  <c r="Q68" i="1"/>
  <c r="Q38" i="1"/>
  <c r="Q18" i="1"/>
  <c r="AF18" i="1" s="1"/>
  <c r="Q64" i="1"/>
  <c r="Q37" i="1"/>
  <c r="Q49" i="1"/>
  <c r="AF49" i="1" s="1"/>
  <c r="Q24" i="1"/>
  <c r="AF24" i="1" s="1"/>
  <c r="AD21" i="1"/>
  <c r="AD27" i="1"/>
  <c r="Q11" i="1"/>
  <c r="Q33" i="1"/>
  <c r="AF33" i="1" s="1"/>
  <c r="AD8" i="1"/>
  <c r="AD5" i="1"/>
  <c r="AD15" i="1"/>
  <c r="Q30" i="1"/>
  <c r="AF30" i="1" s="1"/>
  <c r="Q3" i="1"/>
  <c r="AC62" i="1" l="1"/>
  <c r="AF60" i="1" s="1"/>
  <c r="AD37" i="1"/>
  <c r="AC70" i="1"/>
  <c r="AE37" i="1"/>
  <c r="Q39" i="1"/>
  <c r="AF37" i="1" s="1"/>
  <c r="AC66" i="1"/>
  <c r="AF64" i="1" s="1"/>
  <c r="AE42" i="1"/>
  <c r="AD42" i="1"/>
  <c r="AD72" i="1"/>
  <c r="AF11" i="1"/>
  <c r="AE60" i="1"/>
  <c r="AD64" i="1"/>
  <c r="AF3" i="1"/>
  <c r="AF42" i="1"/>
  <c r="AF72" i="1"/>
  <c r="AF5" i="1"/>
  <c r="AF68" i="1"/>
  <c r="AF8" i="1"/>
  <c r="AF54" i="1" l="1"/>
</calcChain>
</file>

<file path=xl/sharedStrings.xml><?xml version="1.0" encoding="utf-8"?>
<sst xmlns="http://schemas.openxmlformats.org/spreadsheetml/2006/main" count="172" uniqueCount="124">
  <si>
    <t xml:space="preserve">Locations </t>
  </si>
  <si>
    <t>45 * 45</t>
  </si>
  <si>
    <t>40 * 43</t>
  </si>
  <si>
    <t>Plant heights (cm)</t>
  </si>
  <si>
    <t>Length (distance along the plants in cm)</t>
  </si>
  <si>
    <t>Point 1</t>
  </si>
  <si>
    <t>Tray</t>
  </si>
  <si>
    <t>Tray + biomass</t>
  </si>
  <si>
    <t>Tray + beets</t>
  </si>
  <si>
    <t>Tray + leaves</t>
  </si>
  <si>
    <t>Width (row distance in cm)</t>
  </si>
  <si>
    <t>38 * 40</t>
  </si>
  <si>
    <t>45 * 44</t>
  </si>
  <si>
    <t>41 * 41</t>
  </si>
  <si>
    <t>40 * 36</t>
  </si>
  <si>
    <t>Wet weight  of total biomass(g)</t>
  </si>
  <si>
    <t>Wet weight of beets (g)</t>
  </si>
  <si>
    <t>Wet weight of leaves (g)</t>
  </si>
  <si>
    <t>Dry weight of beets (g)</t>
  </si>
  <si>
    <t>Dry weight of leaves (g)</t>
  </si>
  <si>
    <t>25, 17, 15, 16, 17, 14</t>
  </si>
  <si>
    <t>24, 18, 19, 20, 22, 18</t>
  </si>
  <si>
    <t>18, 16, 19, 16, 14, 18</t>
  </si>
  <si>
    <t>16, 27, 15, 18, 20, 20</t>
  </si>
  <si>
    <t>Date</t>
  </si>
  <si>
    <t>Co-ordinates</t>
  </si>
  <si>
    <t>SP-II_05-01</t>
  </si>
  <si>
    <t>SP-II_01-01</t>
  </si>
  <si>
    <t>SP-II_06-01</t>
  </si>
  <si>
    <t>SP-II_20-01</t>
  </si>
  <si>
    <t>SP-II_02-01</t>
  </si>
  <si>
    <t>SP-II_07-01</t>
  </si>
  <si>
    <t>SP-II_12-01</t>
  </si>
  <si>
    <t>Island 1</t>
  </si>
  <si>
    <t>Island 2</t>
  </si>
  <si>
    <t>Island 3</t>
  </si>
  <si>
    <t>50.865881,6.447329</t>
  </si>
  <si>
    <t>50.8662721, 6.4471024</t>
  </si>
  <si>
    <t>50.865932,6.446720</t>
  </si>
  <si>
    <t>50.86511, 6.44704</t>
  </si>
  <si>
    <t>50.86494, 6.44623</t>
  </si>
  <si>
    <t>50.86619, 6.44918</t>
  </si>
  <si>
    <t>50.86665, 6.44657</t>
  </si>
  <si>
    <t>38, 31, 39, 49, 36, 37</t>
  </si>
  <si>
    <t>27, 24, 23, 29, 34, 29</t>
  </si>
  <si>
    <t>45, 24, 39, 48, 39, 41</t>
  </si>
  <si>
    <t>42*42</t>
  </si>
  <si>
    <t>45*45</t>
  </si>
  <si>
    <t>39*39</t>
  </si>
  <si>
    <t>44*44</t>
  </si>
  <si>
    <t>41*40</t>
  </si>
  <si>
    <t>45, 45, 49, 50, 54, 50</t>
  </si>
  <si>
    <t>46, 44, 60, 49, 47, 45</t>
  </si>
  <si>
    <t>56*42</t>
  </si>
  <si>
    <t>46*46</t>
  </si>
  <si>
    <t>50, 42, 40, 49, 47, 54</t>
  </si>
  <si>
    <t>40*38</t>
  </si>
  <si>
    <t>42*41</t>
  </si>
  <si>
    <t>40, 48, 42, 40, 45, 51</t>
  </si>
  <si>
    <t>Wet weight of shoots (g)</t>
  </si>
  <si>
    <t>Tray + shoots</t>
  </si>
  <si>
    <t>shoots</t>
  </si>
  <si>
    <t>leaves</t>
  </si>
  <si>
    <t>Dry weight of biomass (g)</t>
  </si>
  <si>
    <t>Dry weight of shoots (g)</t>
  </si>
  <si>
    <t>50.86671, 6.44792</t>
  </si>
  <si>
    <t>50.86536, 6.44609</t>
  </si>
  <si>
    <t>50.86549, 6.44756</t>
  </si>
  <si>
    <t>SP-II_03-01</t>
  </si>
  <si>
    <t>SP-II_13-01</t>
  </si>
  <si>
    <t>SP-II_17-01</t>
  </si>
  <si>
    <t>SP-II_19-01</t>
  </si>
  <si>
    <t>59, 51, 54, 52, 59, 53</t>
  </si>
  <si>
    <t>41*42</t>
  </si>
  <si>
    <t>45*44</t>
  </si>
  <si>
    <t>48, 47, 45, 50, 52, 49</t>
  </si>
  <si>
    <t>40*40</t>
  </si>
  <si>
    <t>58, 58, 57, 61, 57, 57</t>
  </si>
  <si>
    <t>35*40</t>
  </si>
  <si>
    <t>47*46</t>
  </si>
  <si>
    <t>56, 53, 56, 59, 49, 44</t>
  </si>
  <si>
    <t>point 2</t>
  </si>
  <si>
    <t>Point 3</t>
  </si>
  <si>
    <t>point 4</t>
  </si>
  <si>
    <t>3 * 3</t>
  </si>
  <si>
    <t>3 * 2</t>
  </si>
  <si>
    <t>50.8666302, 6.447569</t>
  </si>
  <si>
    <t>50.866174, 6.446881</t>
  </si>
  <si>
    <t>61, 61, 58</t>
  </si>
  <si>
    <t>40 * 41</t>
  </si>
  <si>
    <t>39 *38</t>
  </si>
  <si>
    <t>45 *46</t>
  </si>
  <si>
    <t>44 * 45</t>
  </si>
  <si>
    <t>45 * 47</t>
  </si>
  <si>
    <t>43 *42</t>
  </si>
  <si>
    <t>50.86547, 6.4497</t>
  </si>
  <si>
    <t>50.86583, 6.44831</t>
  </si>
  <si>
    <t>50.86628, 6.4471</t>
  </si>
  <si>
    <t>50.86644, 6.44543</t>
  </si>
  <si>
    <t>50.865749,6.446998</t>
  </si>
  <si>
    <t>50.865855,6.447701</t>
  </si>
  <si>
    <t>beets</t>
  </si>
  <si>
    <t>biomass water_shoots</t>
  </si>
  <si>
    <t>biomass water_leaves</t>
  </si>
  <si>
    <t>biomass water_beets (g)</t>
  </si>
  <si>
    <t>Not seprerated from leaves</t>
  </si>
  <si>
    <t>Total wet biomass (g)</t>
  </si>
  <si>
    <t xml:space="preserve"> </t>
  </si>
  <si>
    <t>50.865858, 6.446575</t>
  </si>
  <si>
    <t>36*39</t>
  </si>
  <si>
    <t>42*46</t>
  </si>
  <si>
    <t>3*3</t>
  </si>
  <si>
    <t>Total no of plants</t>
  </si>
  <si>
    <t>No of plants sampled</t>
  </si>
  <si>
    <t>50.866201, 6.446997</t>
  </si>
  <si>
    <t>42*40</t>
  </si>
  <si>
    <t>42*45</t>
  </si>
  <si>
    <t>44*45</t>
  </si>
  <si>
    <t>41*46</t>
  </si>
  <si>
    <t>45*46</t>
  </si>
  <si>
    <t>50.865779, 6.447564</t>
  </si>
  <si>
    <t>50.865982, 6.448166</t>
  </si>
  <si>
    <t>Total dry biomass (g)</t>
  </si>
  <si>
    <t>Total biomass water content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</si>
</sst>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0FEF-EC53-4B04-81FC-6CEAAC4F5026}">
  <dimension ref="A1:AG9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8" sqref="E18"/>
    </sheetView>
  </sheetViews>
  <sheetFormatPr defaultRowHeight="15" x14ac:dyDescent="0.25"/>
  <cols>
    <col min="1" max="1" width="10.42578125" bestFit="1" customWidth="1"/>
    <col min="2" max="3" width="13.140625" customWidth="1"/>
    <col min="4" max="4" width="11.5703125" customWidth="1"/>
    <col min="5" max="5" width="13" customWidth="1"/>
    <col min="9" max="9" width="12.42578125" customWidth="1"/>
    <col min="10" max="11" width="17" customWidth="1"/>
    <col min="13" max="14" width="13.28515625" customWidth="1"/>
    <col min="16" max="23" width="13" customWidth="1"/>
    <col min="25" max="26" width="13.85546875" customWidth="1"/>
  </cols>
  <sheetData>
    <row r="1" spans="1:32" x14ac:dyDescent="0.25">
      <c r="A1" s="2" t="s">
        <v>24</v>
      </c>
      <c r="B1" s="2" t="s">
        <v>0</v>
      </c>
      <c r="C1" s="2" t="s">
        <v>25</v>
      </c>
      <c r="D1" s="2" t="s">
        <v>3</v>
      </c>
      <c r="E1" s="2" t="s">
        <v>4</v>
      </c>
      <c r="F1" s="2" t="s">
        <v>10</v>
      </c>
      <c r="G1" s="2" t="s">
        <v>112</v>
      </c>
      <c r="H1" s="2" t="s">
        <v>113</v>
      </c>
      <c r="I1" s="4" t="s">
        <v>15</v>
      </c>
      <c r="J1" s="4"/>
      <c r="K1" s="3" t="s">
        <v>63</v>
      </c>
      <c r="L1" s="4" t="s">
        <v>16</v>
      </c>
      <c r="M1" s="4"/>
      <c r="N1" s="4"/>
      <c r="O1" s="4" t="s">
        <v>18</v>
      </c>
      <c r="P1" s="4"/>
      <c r="Q1" s="2" t="s">
        <v>104</v>
      </c>
      <c r="R1" s="4" t="s">
        <v>59</v>
      </c>
      <c r="S1" s="4"/>
      <c r="T1" s="4"/>
      <c r="U1" s="2" t="s">
        <v>64</v>
      </c>
      <c r="V1" s="2"/>
      <c r="W1" s="2" t="s">
        <v>102</v>
      </c>
      <c r="X1" s="4" t="s">
        <v>17</v>
      </c>
      <c r="Y1" s="4"/>
      <c r="Z1" s="4"/>
      <c r="AA1" s="2" t="s">
        <v>19</v>
      </c>
      <c r="AB1" s="2"/>
      <c r="AC1" s="2" t="s">
        <v>103</v>
      </c>
      <c r="AD1" s="2" t="s">
        <v>106</v>
      </c>
      <c r="AE1" s="2" t="s">
        <v>122</v>
      </c>
      <c r="AF1" s="2" t="s">
        <v>123</v>
      </c>
    </row>
    <row r="2" spans="1:32" x14ac:dyDescent="0.25">
      <c r="A2" s="2"/>
      <c r="B2" s="2"/>
      <c r="C2" s="2"/>
      <c r="D2" s="2"/>
      <c r="E2" s="2"/>
      <c r="F2" s="2"/>
      <c r="G2" s="2"/>
      <c r="H2" s="2"/>
      <c r="I2" s="2" t="s">
        <v>6</v>
      </c>
      <c r="J2" s="2" t="s">
        <v>7</v>
      </c>
      <c r="K2" s="2"/>
      <c r="L2" s="2" t="s">
        <v>6</v>
      </c>
      <c r="M2" s="2" t="s">
        <v>8</v>
      </c>
      <c r="N2" s="2" t="s">
        <v>101</v>
      </c>
      <c r="O2" s="2" t="s">
        <v>8</v>
      </c>
      <c r="P2" s="2" t="s">
        <v>101</v>
      </c>
      <c r="Q2" s="2"/>
      <c r="R2" s="2" t="s">
        <v>6</v>
      </c>
      <c r="S2" s="2" t="s">
        <v>60</v>
      </c>
      <c r="T2" s="2" t="s">
        <v>61</v>
      </c>
      <c r="U2" s="2" t="s">
        <v>60</v>
      </c>
      <c r="V2" s="2" t="s">
        <v>61</v>
      </c>
      <c r="W2" s="2"/>
      <c r="X2" s="2" t="s">
        <v>6</v>
      </c>
      <c r="Y2" s="2" t="s">
        <v>9</v>
      </c>
      <c r="Z2" s="2" t="s">
        <v>62</v>
      </c>
      <c r="AA2" s="2" t="s">
        <v>9</v>
      </c>
      <c r="AB2" s="2" t="s">
        <v>62</v>
      </c>
    </row>
    <row r="3" spans="1:32" x14ac:dyDescent="0.25">
      <c r="B3" t="s">
        <v>5</v>
      </c>
      <c r="D3" t="s">
        <v>20</v>
      </c>
      <c r="E3" t="s">
        <v>2</v>
      </c>
      <c r="F3" t="s">
        <v>1</v>
      </c>
      <c r="G3" t="s">
        <v>84</v>
      </c>
      <c r="H3">
        <v>6</v>
      </c>
      <c r="I3">
        <v>0</v>
      </c>
      <c r="J3">
        <v>265.16000000000003</v>
      </c>
      <c r="L3">
        <v>4.46</v>
      </c>
      <c r="M3">
        <v>51.8</v>
      </c>
      <c r="N3">
        <f xml:space="preserve"> M3-L3</f>
        <v>47.339999999999996</v>
      </c>
      <c r="O3">
        <v>12.71</v>
      </c>
      <c r="P3">
        <f>O3-L3</f>
        <v>8.25</v>
      </c>
      <c r="Q3">
        <f xml:space="preserve"> N3-P3</f>
        <v>39.089999999999996</v>
      </c>
      <c r="X3">
        <v>36.4</v>
      </c>
      <c r="Y3">
        <v>252.63</v>
      </c>
      <c r="Z3">
        <f>Y3-X3</f>
        <v>216.23</v>
      </c>
      <c r="AA3">
        <v>58.71</v>
      </c>
      <c r="AB3">
        <f xml:space="preserve"> AA3-X3</f>
        <v>22.310000000000002</v>
      </c>
      <c r="AC3">
        <f xml:space="preserve"> Z3-AB3</f>
        <v>193.92</v>
      </c>
      <c r="AD3">
        <f xml:space="preserve"> N3+Z3</f>
        <v>263.57</v>
      </c>
      <c r="AE3">
        <f xml:space="preserve"> P3+AB3</f>
        <v>30.560000000000002</v>
      </c>
      <c r="AF3">
        <f xml:space="preserve"> Q3+AC3</f>
        <v>233.01</v>
      </c>
    </row>
    <row r="4" spans="1:32" x14ac:dyDescent="0.25">
      <c r="S4" t="s">
        <v>105</v>
      </c>
    </row>
    <row r="5" spans="1:32" x14ac:dyDescent="0.25">
      <c r="B5" t="s">
        <v>27</v>
      </c>
      <c r="C5" t="s">
        <v>67</v>
      </c>
      <c r="D5" t="s">
        <v>21</v>
      </c>
      <c r="E5" t="s">
        <v>11</v>
      </c>
      <c r="F5" t="s">
        <v>1</v>
      </c>
      <c r="G5" t="s">
        <v>84</v>
      </c>
      <c r="H5">
        <v>6</v>
      </c>
      <c r="I5">
        <v>36.74</v>
      </c>
      <c r="J5">
        <v>375.1</v>
      </c>
      <c r="L5">
        <v>4.47</v>
      </c>
      <c r="M5">
        <v>71.62</v>
      </c>
      <c r="N5">
        <f t="shared" ref="N5:N11" si="0" xml:space="preserve"> M5-L5</f>
        <v>67.150000000000006</v>
      </c>
      <c r="O5">
        <v>16.53</v>
      </c>
      <c r="P5">
        <f>O5-L5</f>
        <v>12.060000000000002</v>
      </c>
      <c r="Q5">
        <f xml:space="preserve"> N5-P5</f>
        <v>55.09</v>
      </c>
      <c r="X5">
        <v>36.729999999999997</v>
      </c>
      <c r="Y5">
        <v>337.31</v>
      </c>
      <c r="Z5">
        <f t="shared" ref="Z5:Z11" si="1">Y5-X5</f>
        <v>300.58</v>
      </c>
      <c r="AA5">
        <v>66.19</v>
      </c>
      <c r="AB5">
        <f t="shared" ref="AB5:AB11" si="2" xml:space="preserve"> AA5-X5</f>
        <v>29.46</v>
      </c>
      <c r="AC5">
        <f t="shared" ref="AC5:AC11" si="3" xml:space="preserve"> Z5-AB5</f>
        <v>271.12</v>
      </c>
      <c r="AD5">
        <f xml:space="preserve"> N5+Z5</f>
        <v>367.73</v>
      </c>
      <c r="AE5">
        <f xml:space="preserve"> P5+AB5</f>
        <v>41.52</v>
      </c>
      <c r="AF5">
        <f t="shared" ref="AF5:AF11" si="4" xml:space="preserve"> Q5+AC5</f>
        <v>326.21000000000004</v>
      </c>
    </row>
    <row r="6" spans="1:32" x14ac:dyDescent="0.25">
      <c r="A6" s="1">
        <v>45460</v>
      </c>
    </row>
    <row r="8" spans="1:32" x14ac:dyDescent="0.25">
      <c r="B8" t="s">
        <v>28</v>
      </c>
      <c r="C8" t="s">
        <v>66</v>
      </c>
      <c r="D8" t="s">
        <v>22</v>
      </c>
      <c r="E8" t="s">
        <v>13</v>
      </c>
      <c r="F8" t="s">
        <v>12</v>
      </c>
      <c r="G8" t="s">
        <v>84</v>
      </c>
      <c r="H8">
        <v>6</v>
      </c>
      <c r="I8">
        <v>36.82</v>
      </c>
      <c r="J8">
        <v>247.14</v>
      </c>
      <c r="L8">
        <v>4.5</v>
      </c>
      <c r="M8">
        <v>40.57</v>
      </c>
      <c r="N8">
        <f t="shared" si="0"/>
        <v>36.07</v>
      </c>
      <c r="O8">
        <v>10.94</v>
      </c>
      <c r="P8">
        <f>O8-L8</f>
        <v>6.4399999999999995</v>
      </c>
      <c r="Q8">
        <f xml:space="preserve"> N8-P8</f>
        <v>29.630000000000003</v>
      </c>
      <c r="X8">
        <v>36.79</v>
      </c>
      <c r="Y8">
        <v>209.91</v>
      </c>
      <c r="Z8">
        <f t="shared" si="1"/>
        <v>173.12</v>
      </c>
      <c r="AA8">
        <v>55.4</v>
      </c>
      <c r="AB8">
        <f t="shared" si="2"/>
        <v>18.61</v>
      </c>
      <c r="AC8">
        <f t="shared" si="3"/>
        <v>154.51</v>
      </c>
      <c r="AD8">
        <f xml:space="preserve"> N8+Z8</f>
        <v>209.19</v>
      </c>
      <c r="AE8">
        <f t="shared" ref="AE8:AE11" si="5" xml:space="preserve"> P8+AB8</f>
        <v>25.049999999999997</v>
      </c>
      <c r="AF8">
        <f t="shared" si="4"/>
        <v>184.14</v>
      </c>
    </row>
    <row r="11" spans="1:32" x14ac:dyDescent="0.25">
      <c r="B11" t="s">
        <v>29</v>
      </c>
      <c r="C11" t="s">
        <v>65</v>
      </c>
      <c r="D11" t="s">
        <v>23</v>
      </c>
      <c r="E11" t="s">
        <v>14</v>
      </c>
      <c r="F11" t="s">
        <v>1</v>
      </c>
      <c r="G11" t="s">
        <v>84</v>
      </c>
      <c r="H11">
        <v>6</v>
      </c>
      <c r="I11">
        <v>36.270000000000003</v>
      </c>
      <c r="J11">
        <v>323.69</v>
      </c>
      <c r="L11">
        <v>4.42</v>
      </c>
      <c r="M11">
        <v>54.9</v>
      </c>
      <c r="N11">
        <f t="shared" si="0"/>
        <v>50.48</v>
      </c>
      <c r="O11">
        <v>12.85</v>
      </c>
      <c r="P11">
        <f>O11-L11</f>
        <v>8.43</v>
      </c>
      <c r="Q11">
        <f xml:space="preserve"> N11-P11</f>
        <v>42.05</v>
      </c>
      <c r="X11">
        <v>36.369999999999997</v>
      </c>
      <c r="Y11">
        <v>271.06</v>
      </c>
      <c r="Z11">
        <f t="shared" si="1"/>
        <v>234.69</v>
      </c>
      <c r="AA11">
        <v>58.61</v>
      </c>
      <c r="AB11">
        <f t="shared" si="2"/>
        <v>22.240000000000002</v>
      </c>
      <c r="AC11">
        <f t="shared" si="3"/>
        <v>212.45</v>
      </c>
      <c r="AD11">
        <f xml:space="preserve"> N11+Z11</f>
        <v>285.17</v>
      </c>
      <c r="AE11">
        <f t="shared" si="5"/>
        <v>30.67</v>
      </c>
      <c r="AF11">
        <f t="shared" si="4"/>
        <v>254.5</v>
      </c>
    </row>
    <row r="15" spans="1:32" x14ac:dyDescent="0.25">
      <c r="A15" s="1">
        <v>45482</v>
      </c>
      <c r="B15" t="s">
        <v>30</v>
      </c>
      <c r="C15" t="s">
        <v>39</v>
      </c>
      <c r="D15" t="s">
        <v>44</v>
      </c>
      <c r="E15" t="s">
        <v>48</v>
      </c>
      <c r="F15" t="s">
        <v>49</v>
      </c>
      <c r="G15" t="s">
        <v>84</v>
      </c>
      <c r="H15">
        <v>6</v>
      </c>
      <c r="I15">
        <v>36.25</v>
      </c>
      <c r="J15">
        <v>610.02</v>
      </c>
      <c r="L15">
        <v>9.73</v>
      </c>
      <c r="M15">
        <v>159.61000000000001</v>
      </c>
      <c r="N15">
        <f xml:space="preserve"> M15-L15</f>
        <v>149.88000000000002</v>
      </c>
      <c r="O15">
        <v>38.58</v>
      </c>
      <c r="P15">
        <f xml:space="preserve"> O15-L15</f>
        <v>28.849999999999998</v>
      </c>
      <c r="Q15">
        <f>N15-P15</f>
        <v>121.03000000000003</v>
      </c>
      <c r="R15">
        <v>36.32</v>
      </c>
      <c r="S15">
        <v>181.47</v>
      </c>
      <c r="T15">
        <f>S15-R15</f>
        <v>145.15</v>
      </c>
      <c r="U15">
        <v>51.15</v>
      </c>
      <c r="V15">
        <f>U15-R15</f>
        <v>14.829999999999998</v>
      </c>
      <c r="W15">
        <f>T15-V15</f>
        <v>130.32</v>
      </c>
      <c r="X15">
        <v>36.700000000000003</v>
      </c>
      <c r="Y15">
        <v>311.72000000000003</v>
      </c>
      <c r="Z15">
        <f>Y15-X15</f>
        <v>275.02000000000004</v>
      </c>
      <c r="AA15">
        <v>69.94</v>
      </c>
      <c r="AB15">
        <f>AA15-X15</f>
        <v>33.239999999999995</v>
      </c>
      <c r="AC15">
        <f>Y15-AB15</f>
        <v>278.48</v>
      </c>
      <c r="AD15">
        <f xml:space="preserve"> N15+T15+Y15</f>
        <v>606.75</v>
      </c>
      <c r="AE15">
        <f xml:space="preserve"> P15+V15+AB15</f>
        <v>76.919999999999987</v>
      </c>
      <c r="AF15">
        <f xml:space="preserve"> Q15+W15+AC15</f>
        <v>529.83000000000004</v>
      </c>
    </row>
    <row r="18" spans="2:32" x14ac:dyDescent="0.25">
      <c r="B18" t="s">
        <v>26</v>
      </c>
      <c r="C18" t="s">
        <v>40</v>
      </c>
      <c r="D18" t="s">
        <v>45</v>
      </c>
      <c r="E18" t="s">
        <v>56</v>
      </c>
      <c r="F18" t="s">
        <v>49</v>
      </c>
      <c r="G18" t="s">
        <v>84</v>
      </c>
      <c r="H18">
        <v>6</v>
      </c>
      <c r="I18">
        <v>36.28</v>
      </c>
      <c r="J18">
        <v>1162.04</v>
      </c>
      <c r="L18">
        <v>16.8</v>
      </c>
      <c r="M18">
        <v>392.34</v>
      </c>
      <c r="N18">
        <f t="shared" ref="N18:N73" si="6" xml:space="preserve"> M18-L18</f>
        <v>375.53999999999996</v>
      </c>
      <c r="O18">
        <v>86.32</v>
      </c>
      <c r="P18">
        <f xml:space="preserve"> O18-L18</f>
        <v>69.52</v>
      </c>
      <c r="Q18">
        <f>N18-P18</f>
        <v>306.02</v>
      </c>
      <c r="R18">
        <v>36.380000000000003</v>
      </c>
      <c r="S18">
        <v>344.63</v>
      </c>
      <c r="T18">
        <f t="shared" ref="T18:T72" si="7">S18-R18</f>
        <v>308.25</v>
      </c>
      <c r="U18">
        <v>65.59</v>
      </c>
      <c r="V18">
        <f t="shared" ref="V18:V72" si="8">U18-R18</f>
        <v>29.21</v>
      </c>
      <c r="W18">
        <f t="shared" ref="W18:W72" si="9">T18-V18</f>
        <v>279.04000000000002</v>
      </c>
      <c r="X18">
        <v>38.81</v>
      </c>
      <c r="Y18">
        <v>540.97</v>
      </c>
      <c r="Z18">
        <f t="shared" ref="Z18:Z73" si="10">Y18-X18</f>
        <v>502.16</v>
      </c>
      <c r="AA18">
        <v>96.15</v>
      </c>
      <c r="AB18">
        <f t="shared" ref="AB18:AB73" si="11">AA18-X18</f>
        <v>57.34</v>
      </c>
      <c r="AC18">
        <f t="shared" ref="AC18:AC33" si="12">Y18-AB18</f>
        <v>483.63</v>
      </c>
      <c r="AD18">
        <f xml:space="preserve"> N18+T18+Y18</f>
        <v>1224.76</v>
      </c>
      <c r="AE18">
        <f t="shared" ref="AE18:AE33" si="13" xml:space="preserve"> P18+V18+AB18</f>
        <v>156.07</v>
      </c>
      <c r="AF18">
        <f t="shared" ref="AF18:AF33" si="14" xml:space="preserve"> Q18+W18+AC18</f>
        <v>1068.69</v>
      </c>
    </row>
    <row r="21" spans="2:32" x14ac:dyDescent="0.25">
      <c r="B21" t="s">
        <v>31</v>
      </c>
      <c r="C21" t="s">
        <v>41</v>
      </c>
      <c r="D21" t="s">
        <v>43</v>
      </c>
      <c r="E21" t="s">
        <v>46</v>
      </c>
      <c r="F21" t="s">
        <v>47</v>
      </c>
      <c r="G21" t="s">
        <v>84</v>
      </c>
      <c r="H21">
        <v>6</v>
      </c>
      <c r="I21">
        <v>36.29</v>
      </c>
      <c r="J21">
        <v>1500.2</v>
      </c>
      <c r="L21">
        <v>9.6</v>
      </c>
      <c r="M21">
        <v>481.2</v>
      </c>
      <c r="N21">
        <f t="shared" si="6"/>
        <v>471.59999999999997</v>
      </c>
      <c r="O21">
        <v>104.13</v>
      </c>
      <c r="P21">
        <f xml:space="preserve"> O21-L21</f>
        <v>94.53</v>
      </c>
      <c r="Q21">
        <f>N21-P21</f>
        <v>377.06999999999994</v>
      </c>
      <c r="R21">
        <v>36.299999999999997</v>
      </c>
      <c r="S21">
        <v>404.69</v>
      </c>
      <c r="T21">
        <f t="shared" si="7"/>
        <v>368.39</v>
      </c>
      <c r="U21">
        <v>68.56</v>
      </c>
      <c r="V21">
        <f t="shared" si="8"/>
        <v>32.260000000000005</v>
      </c>
      <c r="W21">
        <f t="shared" si="9"/>
        <v>336.13</v>
      </c>
      <c r="X21">
        <v>36.24</v>
      </c>
      <c r="Y21">
        <v>652.9</v>
      </c>
      <c r="Z21">
        <f t="shared" si="10"/>
        <v>616.66</v>
      </c>
      <c r="AA21">
        <v>101.95</v>
      </c>
      <c r="AB21">
        <f t="shared" si="11"/>
        <v>65.710000000000008</v>
      </c>
      <c r="AC21">
        <f t="shared" si="12"/>
        <v>587.18999999999994</v>
      </c>
      <c r="AD21">
        <f xml:space="preserve"> N21+T21+Y21</f>
        <v>1492.8899999999999</v>
      </c>
      <c r="AE21">
        <f t="shared" si="13"/>
        <v>192.5</v>
      </c>
      <c r="AF21">
        <f t="shared" si="14"/>
        <v>1300.3899999999999</v>
      </c>
    </row>
    <row r="24" spans="2:32" x14ac:dyDescent="0.25">
      <c r="B24" t="s">
        <v>32</v>
      </c>
      <c r="C24" t="s">
        <v>42</v>
      </c>
      <c r="D24" t="s">
        <v>58</v>
      </c>
      <c r="E24" t="s">
        <v>56</v>
      </c>
      <c r="F24" t="s">
        <v>57</v>
      </c>
      <c r="G24" t="s">
        <v>84</v>
      </c>
      <c r="H24">
        <v>6</v>
      </c>
      <c r="I24">
        <v>36.299999999999997</v>
      </c>
      <c r="J24">
        <v>1522.04</v>
      </c>
      <c r="L24">
        <v>17.02</v>
      </c>
      <c r="M24">
        <v>433.48</v>
      </c>
      <c r="N24">
        <f t="shared" si="6"/>
        <v>416.46000000000004</v>
      </c>
      <c r="O24">
        <v>94.46</v>
      </c>
      <c r="P24">
        <f xml:space="preserve"> O24-L24</f>
        <v>77.44</v>
      </c>
      <c r="Q24">
        <f>N24-P24</f>
        <v>339.02000000000004</v>
      </c>
      <c r="R24">
        <v>36.36</v>
      </c>
      <c r="S24">
        <v>545</v>
      </c>
      <c r="T24">
        <f t="shared" si="7"/>
        <v>508.64</v>
      </c>
      <c r="U24">
        <v>81.5</v>
      </c>
      <c r="V24">
        <f t="shared" si="8"/>
        <v>45.14</v>
      </c>
      <c r="W24">
        <f t="shared" si="9"/>
        <v>463.5</v>
      </c>
      <c r="X24">
        <v>36.47</v>
      </c>
      <c r="Y24">
        <v>586.48</v>
      </c>
      <c r="Z24">
        <f t="shared" si="10"/>
        <v>550.01</v>
      </c>
      <c r="AA24">
        <v>111.24</v>
      </c>
      <c r="AB24">
        <f t="shared" si="11"/>
        <v>74.77</v>
      </c>
      <c r="AC24">
        <f t="shared" si="12"/>
        <v>511.71000000000004</v>
      </c>
      <c r="AD24">
        <f xml:space="preserve"> N24+T24+Y24</f>
        <v>1511.58</v>
      </c>
      <c r="AE24">
        <f t="shared" si="13"/>
        <v>197.35</v>
      </c>
      <c r="AF24">
        <f t="shared" si="14"/>
        <v>1314.23</v>
      </c>
    </row>
    <row r="27" spans="2:32" x14ac:dyDescent="0.25">
      <c r="B27" t="s">
        <v>33</v>
      </c>
      <c r="C27" t="s">
        <v>36</v>
      </c>
      <c r="D27" t="s">
        <v>51</v>
      </c>
      <c r="E27" t="s">
        <v>50</v>
      </c>
      <c r="F27" t="s">
        <v>47</v>
      </c>
      <c r="G27" t="s">
        <v>84</v>
      </c>
      <c r="H27">
        <v>6</v>
      </c>
      <c r="I27">
        <v>36.299999999999997</v>
      </c>
      <c r="J27">
        <v>1917.62</v>
      </c>
      <c r="L27">
        <v>16.87</v>
      </c>
      <c r="M27">
        <v>556.96</v>
      </c>
      <c r="N27">
        <f t="shared" si="6"/>
        <v>540.09</v>
      </c>
      <c r="O27">
        <v>130.96</v>
      </c>
      <c r="P27">
        <f xml:space="preserve"> O27-L27</f>
        <v>114.09</v>
      </c>
      <c r="Q27">
        <f>N27-P27</f>
        <v>426</v>
      </c>
      <c r="R27">
        <v>37.200000000000003</v>
      </c>
      <c r="S27">
        <v>680.71</v>
      </c>
      <c r="T27">
        <f t="shared" si="7"/>
        <v>643.51</v>
      </c>
      <c r="U27">
        <v>91.45</v>
      </c>
      <c r="V27">
        <f t="shared" si="8"/>
        <v>54.25</v>
      </c>
      <c r="W27">
        <f t="shared" si="9"/>
        <v>589.26</v>
      </c>
      <c r="X27">
        <v>36.51</v>
      </c>
      <c r="Y27">
        <v>762.95</v>
      </c>
      <c r="Z27">
        <f t="shared" si="10"/>
        <v>726.44</v>
      </c>
      <c r="AA27">
        <v>203.06</v>
      </c>
      <c r="AB27">
        <f t="shared" si="11"/>
        <v>166.55</v>
      </c>
      <c r="AC27">
        <f t="shared" si="12"/>
        <v>596.40000000000009</v>
      </c>
      <c r="AD27">
        <f xml:space="preserve"> N27+T27+Y27</f>
        <v>1946.55</v>
      </c>
      <c r="AE27">
        <f t="shared" si="13"/>
        <v>334.89</v>
      </c>
      <c r="AF27">
        <f t="shared" si="14"/>
        <v>1611.66</v>
      </c>
    </row>
    <row r="30" spans="2:32" x14ac:dyDescent="0.25">
      <c r="B30" t="s">
        <v>34</v>
      </c>
      <c r="C30" t="s">
        <v>37</v>
      </c>
      <c r="D30" t="s">
        <v>52</v>
      </c>
      <c r="E30" t="s">
        <v>53</v>
      </c>
      <c r="F30" t="s">
        <v>54</v>
      </c>
      <c r="G30" t="s">
        <v>84</v>
      </c>
      <c r="H30">
        <v>6</v>
      </c>
      <c r="I30">
        <v>36.159999999999997</v>
      </c>
      <c r="J30">
        <v>1960</v>
      </c>
      <c r="L30">
        <v>17.14</v>
      </c>
      <c r="M30">
        <v>719.24</v>
      </c>
      <c r="N30">
        <f t="shared" si="6"/>
        <v>702.1</v>
      </c>
      <c r="O30">
        <v>171.11</v>
      </c>
      <c r="P30">
        <f xml:space="preserve"> O30-L30</f>
        <v>153.97000000000003</v>
      </c>
      <c r="Q30">
        <f>N30-P30</f>
        <v>548.13</v>
      </c>
      <c r="R30">
        <v>36.64</v>
      </c>
      <c r="S30">
        <v>741.72</v>
      </c>
      <c r="T30">
        <f t="shared" si="7"/>
        <v>705.08</v>
      </c>
      <c r="U30">
        <v>97.54</v>
      </c>
      <c r="V30">
        <f t="shared" si="8"/>
        <v>60.900000000000006</v>
      </c>
      <c r="W30">
        <f t="shared" si="9"/>
        <v>644.18000000000006</v>
      </c>
      <c r="X30">
        <v>36.35</v>
      </c>
      <c r="Y30">
        <v>813.85</v>
      </c>
      <c r="Z30">
        <f t="shared" si="10"/>
        <v>777.5</v>
      </c>
      <c r="AA30">
        <v>196.52</v>
      </c>
      <c r="AB30">
        <f t="shared" si="11"/>
        <v>160.17000000000002</v>
      </c>
      <c r="AC30">
        <f t="shared" si="12"/>
        <v>653.68000000000006</v>
      </c>
      <c r="AD30">
        <f xml:space="preserve"> N30+T30+Y30</f>
        <v>2221.0300000000002</v>
      </c>
      <c r="AE30">
        <f t="shared" si="13"/>
        <v>375.04000000000008</v>
      </c>
      <c r="AF30">
        <f t="shared" si="14"/>
        <v>1845.99</v>
      </c>
    </row>
    <row r="33" spans="1:32" x14ac:dyDescent="0.25">
      <c r="B33" t="s">
        <v>35</v>
      </c>
      <c r="C33" t="s">
        <v>38</v>
      </c>
      <c r="D33" t="s">
        <v>55</v>
      </c>
      <c r="E33" t="s">
        <v>47</v>
      </c>
      <c r="F33" t="s">
        <v>47</v>
      </c>
      <c r="G33" t="s">
        <v>84</v>
      </c>
      <c r="H33">
        <v>6</v>
      </c>
      <c r="I33">
        <v>36.299999999999997</v>
      </c>
      <c r="J33">
        <v>1502.91</v>
      </c>
      <c r="L33">
        <v>16.87</v>
      </c>
      <c r="M33">
        <v>495.58</v>
      </c>
      <c r="N33">
        <f t="shared" si="6"/>
        <v>478.71</v>
      </c>
      <c r="O33">
        <v>118.38</v>
      </c>
      <c r="P33">
        <f xml:space="preserve"> O33-L33</f>
        <v>101.50999999999999</v>
      </c>
      <c r="Q33">
        <f>N33-P33</f>
        <v>377.2</v>
      </c>
      <c r="R33">
        <v>36.39</v>
      </c>
      <c r="S33">
        <v>469.6</v>
      </c>
      <c r="T33">
        <f t="shared" si="7"/>
        <v>433.21000000000004</v>
      </c>
      <c r="U33">
        <v>75.569999999999993</v>
      </c>
      <c r="V33">
        <f t="shared" si="8"/>
        <v>39.179999999999993</v>
      </c>
      <c r="W33">
        <f t="shared" si="9"/>
        <v>394.03000000000003</v>
      </c>
      <c r="X33">
        <v>36.700000000000003</v>
      </c>
      <c r="Y33">
        <v>587.82000000000005</v>
      </c>
      <c r="Z33">
        <f t="shared" si="10"/>
        <v>551.12</v>
      </c>
      <c r="AA33">
        <v>101.3</v>
      </c>
      <c r="AB33">
        <f t="shared" si="11"/>
        <v>64.599999999999994</v>
      </c>
      <c r="AC33">
        <f t="shared" si="12"/>
        <v>523.22</v>
      </c>
      <c r="AD33">
        <f xml:space="preserve"> N33+T33+Y33</f>
        <v>1499.7400000000002</v>
      </c>
      <c r="AE33">
        <f t="shared" si="13"/>
        <v>205.29</v>
      </c>
      <c r="AF33">
        <f t="shared" si="14"/>
        <v>1294.45</v>
      </c>
    </row>
    <row r="37" spans="1:32" x14ac:dyDescent="0.25">
      <c r="A37" s="1">
        <v>45498</v>
      </c>
      <c r="B37" t="s">
        <v>68</v>
      </c>
      <c r="C37" t="s">
        <v>98</v>
      </c>
      <c r="D37" t="s">
        <v>72</v>
      </c>
      <c r="E37" t="s">
        <v>73</v>
      </c>
      <c r="F37" t="s">
        <v>47</v>
      </c>
      <c r="G37" t="s">
        <v>84</v>
      </c>
      <c r="H37">
        <v>6</v>
      </c>
      <c r="L37">
        <v>36.520000000000003</v>
      </c>
      <c r="M37">
        <v>1049.43</v>
      </c>
      <c r="N37">
        <f t="shared" si="6"/>
        <v>1012.9100000000001</v>
      </c>
      <c r="O37">
        <v>260.98</v>
      </c>
      <c r="P37">
        <f xml:space="preserve"> O37-L37</f>
        <v>224.46</v>
      </c>
      <c r="Q37">
        <f>N37-P37</f>
        <v>788.45</v>
      </c>
      <c r="R37">
        <v>36.590000000000003</v>
      </c>
      <c r="S37">
        <v>587.78</v>
      </c>
      <c r="T37">
        <f t="shared" si="7"/>
        <v>551.18999999999994</v>
      </c>
      <c r="U37">
        <v>95.43</v>
      </c>
      <c r="V37">
        <f t="shared" si="8"/>
        <v>58.84</v>
      </c>
      <c r="W37">
        <f t="shared" si="9"/>
        <v>492.34999999999991</v>
      </c>
      <c r="X37">
        <v>36.950000000000003</v>
      </c>
      <c r="Y37">
        <v>327.96</v>
      </c>
      <c r="Z37">
        <f>Y37-X37</f>
        <v>291.01</v>
      </c>
      <c r="AA37">
        <v>78.02</v>
      </c>
      <c r="AB37">
        <f>AA37-X37</f>
        <v>41.069999999999993</v>
      </c>
      <c r="AC37">
        <f xml:space="preserve"> Z37-AB37</f>
        <v>249.94</v>
      </c>
      <c r="AD37">
        <f xml:space="preserve"> N39+T39+Z39</f>
        <v>3445.54</v>
      </c>
      <c r="AE37">
        <f xml:space="preserve"> P39+V39+AB39</f>
        <v>590.78</v>
      </c>
      <c r="AF37">
        <f xml:space="preserve"> Q39+W39+AC39</f>
        <v>2854.76</v>
      </c>
    </row>
    <row r="38" spans="1:32" x14ac:dyDescent="0.25">
      <c r="L38">
        <v>36.56</v>
      </c>
      <c r="M38">
        <v>860.07</v>
      </c>
      <c r="N38">
        <f t="shared" si="6"/>
        <v>823.51</v>
      </c>
      <c r="O38">
        <v>217.17</v>
      </c>
      <c r="P38">
        <f xml:space="preserve"> O38-L38</f>
        <v>180.60999999999999</v>
      </c>
      <c r="Q38">
        <f>N38-P38</f>
        <v>642.9</v>
      </c>
      <c r="R38">
        <v>36.06</v>
      </c>
      <c r="S38">
        <v>498.53</v>
      </c>
      <c r="T38">
        <f t="shared" si="7"/>
        <v>462.46999999999997</v>
      </c>
      <c r="U38">
        <v>81.31</v>
      </c>
      <c r="V38">
        <f t="shared" si="8"/>
        <v>45.25</v>
      </c>
      <c r="W38">
        <f t="shared" si="9"/>
        <v>417.21999999999997</v>
      </c>
      <c r="X38">
        <v>36.47</v>
      </c>
      <c r="Y38">
        <v>340.92</v>
      </c>
      <c r="Z38">
        <f t="shared" si="10"/>
        <v>304.45000000000005</v>
      </c>
      <c r="AA38">
        <v>77.02</v>
      </c>
      <c r="AB38">
        <f t="shared" si="11"/>
        <v>40.549999999999997</v>
      </c>
      <c r="AC38">
        <f xml:space="preserve"> Z38-AB38</f>
        <v>263.90000000000003</v>
      </c>
    </row>
    <row r="39" spans="1:32" x14ac:dyDescent="0.25">
      <c r="N39">
        <f>N37+N38</f>
        <v>1836.42</v>
      </c>
      <c r="P39">
        <f>P37+P38</f>
        <v>405.07</v>
      </c>
      <c r="Q39">
        <f>Q37+Q38</f>
        <v>1431.35</v>
      </c>
      <c r="T39">
        <f xml:space="preserve"> T37+T38</f>
        <v>1013.6599999999999</v>
      </c>
      <c r="V39">
        <f xml:space="preserve"> V37+V38</f>
        <v>104.09</v>
      </c>
      <c r="W39">
        <f xml:space="preserve"> W37+W38</f>
        <v>909.56999999999994</v>
      </c>
      <c r="Z39">
        <f>Z37+Z38</f>
        <v>595.46</v>
      </c>
      <c r="AB39">
        <f xml:space="preserve"> AB37+AB38</f>
        <v>81.61999999999999</v>
      </c>
      <c r="AC39">
        <f>AC37+AC38</f>
        <v>513.84</v>
      </c>
    </row>
    <row r="40" spans="1:32" x14ac:dyDescent="0.25">
      <c r="AB40">
        <f xml:space="preserve"> AC39+AB39</f>
        <v>595.46</v>
      </c>
    </row>
    <row r="42" spans="1:32" x14ac:dyDescent="0.25">
      <c r="B42" t="s">
        <v>69</v>
      </c>
      <c r="C42" t="s">
        <v>95</v>
      </c>
      <c r="D42" t="s">
        <v>80</v>
      </c>
      <c r="E42" t="s">
        <v>78</v>
      </c>
      <c r="F42" t="s">
        <v>79</v>
      </c>
      <c r="G42" t="s">
        <v>84</v>
      </c>
      <c r="H42">
        <v>6</v>
      </c>
      <c r="L42">
        <v>36.450000000000003</v>
      </c>
      <c r="M42">
        <v>1055.19</v>
      </c>
      <c r="N42">
        <f t="shared" si="6"/>
        <v>1018.74</v>
      </c>
      <c r="O42">
        <v>266.38</v>
      </c>
      <c r="P42">
        <f xml:space="preserve"> O42-L42</f>
        <v>229.93</v>
      </c>
      <c r="Q42">
        <f>N42-P42</f>
        <v>788.81</v>
      </c>
      <c r="R42">
        <v>22.9</v>
      </c>
      <c r="S42">
        <v>528.17999999999995</v>
      </c>
      <c r="T42">
        <f t="shared" si="7"/>
        <v>505.28</v>
      </c>
      <c r="U42">
        <v>73.739999999999995</v>
      </c>
      <c r="V42">
        <f t="shared" si="8"/>
        <v>50.839999999999996</v>
      </c>
      <c r="W42">
        <f t="shared" si="9"/>
        <v>454.44</v>
      </c>
      <c r="X42">
        <v>36.58</v>
      </c>
      <c r="Y42">
        <v>342.14</v>
      </c>
      <c r="Z42">
        <f t="shared" si="10"/>
        <v>305.56</v>
      </c>
      <c r="AA42">
        <v>72.2</v>
      </c>
      <c r="AB42">
        <f t="shared" si="11"/>
        <v>35.620000000000005</v>
      </c>
      <c r="AC42">
        <f xml:space="preserve"> Z42-AB42</f>
        <v>269.94</v>
      </c>
      <c r="AD42">
        <f xml:space="preserve"> N46+T46+Z46</f>
        <v>4284.3600000000006</v>
      </c>
      <c r="AE42">
        <f>P46+V46+AB46</f>
        <v>478.69</v>
      </c>
      <c r="AF42">
        <f>Q46+W46+AC46</f>
        <v>3569.57</v>
      </c>
    </row>
    <row r="43" spans="1:32" x14ac:dyDescent="0.25">
      <c r="L43">
        <v>37.17</v>
      </c>
      <c r="M43">
        <v>1112.56</v>
      </c>
      <c r="N43">
        <f t="shared" si="6"/>
        <v>1075.3899999999999</v>
      </c>
      <c r="O43">
        <v>273.27</v>
      </c>
      <c r="P43">
        <f xml:space="preserve"> O43-L43</f>
        <v>236.09999999999997</v>
      </c>
      <c r="Q43">
        <f>N43-P43</f>
        <v>839.29</v>
      </c>
      <c r="R43">
        <v>37.1</v>
      </c>
      <c r="S43">
        <v>580.82000000000005</v>
      </c>
      <c r="T43">
        <f t="shared" si="7"/>
        <v>543.72</v>
      </c>
      <c r="U43">
        <v>95.48</v>
      </c>
      <c r="V43">
        <f t="shared" si="8"/>
        <v>58.38</v>
      </c>
      <c r="W43">
        <f t="shared" si="9"/>
        <v>485.34000000000003</v>
      </c>
      <c r="X43">
        <v>37.08</v>
      </c>
      <c r="Y43">
        <v>319.85000000000002</v>
      </c>
      <c r="Z43">
        <f t="shared" si="10"/>
        <v>282.77000000000004</v>
      </c>
      <c r="AA43">
        <v>71.44</v>
      </c>
      <c r="AB43">
        <f t="shared" si="11"/>
        <v>34.36</v>
      </c>
      <c r="AC43">
        <f t="shared" ref="AC43:AC45" si="15" xml:space="preserve"> Z43-AB43</f>
        <v>248.41000000000003</v>
      </c>
    </row>
    <row r="44" spans="1:32" x14ac:dyDescent="0.25">
      <c r="X44">
        <v>37.06</v>
      </c>
      <c r="Y44">
        <v>302.74</v>
      </c>
      <c r="Z44">
        <f t="shared" si="10"/>
        <v>265.68</v>
      </c>
      <c r="AA44">
        <v>69.98</v>
      </c>
      <c r="AB44">
        <f t="shared" si="11"/>
        <v>32.92</v>
      </c>
      <c r="AC44">
        <f t="shared" si="15"/>
        <v>232.76</v>
      </c>
    </row>
    <row r="45" spans="1:32" x14ac:dyDescent="0.25">
      <c r="W45" t="s">
        <v>107</v>
      </c>
      <c r="X45">
        <v>37.08</v>
      </c>
      <c r="Y45">
        <v>324.3</v>
      </c>
      <c r="Z45">
        <f t="shared" si="10"/>
        <v>287.22000000000003</v>
      </c>
      <c r="AA45">
        <v>73.72</v>
      </c>
      <c r="AB45">
        <f t="shared" si="11"/>
        <v>36.64</v>
      </c>
      <c r="AC45">
        <f t="shared" si="15"/>
        <v>250.58000000000004</v>
      </c>
    </row>
    <row r="46" spans="1:32" x14ac:dyDescent="0.25">
      <c r="N46">
        <f>N42+N43</f>
        <v>2094.13</v>
      </c>
      <c r="P46">
        <f>P42+P44</f>
        <v>229.93</v>
      </c>
      <c r="Q46">
        <f xml:space="preserve"> Q42+Q43</f>
        <v>1628.1</v>
      </c>
      <c r="T46">
        <f>T42+T43</f>
        <v>1049</v>
      </c>
      <c r="V46">
        <f>V42+V43</f>
        <v>109.22</v>
      </c>
      <c r="W46">
        <f xml:space="preserve"> W42+W43</f>
        <v>939.78</v>
      </c>
      <c r="Z46">
        <f xml:space="preserve"> Z42+Z43+Z44+Z45</f>
        <v>1141.23</v>
      </c>
      <c r="AB46">
        <f xml:space="preserve"> AB42+AB43+AB44+AB45</f>
        <v>139.54000000000002</v>
      </c>
      <c r="AC46">
        <f>AC42+AC43+AC44+AC45</f>
        <v>1001.69</v>
      </c>
    </row>
    <row r="49" spans="1:33" x14ac:dyDescent="0.25">
      <c r="B49" t="s">
        <v>70</v>
      </c>
      <c r="C49" t="s">
        <v>96</v>
      </c>
      <c r="D49" t="s">
        <v>77</v>
      </c>
      <c r="E49" t="s">
        <v>76</v>
      </c>
      <c r="F49" t="s">
        <v>76</v>
      </c>
      <c r="G49" t="s">
        <v>84</v>
      </c>
      <c r="H49">
        <v>6</v>
      </c>
      <c r="L49">
        <v>38.44</v>
      </c>
      <c r="M49">
        <v>1798.23</v>
      </c>
      <c r="N49">
        <f t="shared" si="6"/>
        <v>1759.79</v>
      </c>
      <c r="O49">
        <v>430.63</v>
      </c>
      <c r="P49">
        <f xml:space="preserve"> O49-L49</f>
        <v>392.19</v>
      </c>
      <c r="Q49">
        <f>N49-P49</f>
        <v>1367.6</v>
      </c>
      <c r="R49">
        <v>36.36</v>
      </c>
      <c r="S49">
        <v>1050.8599999999999</v>
      </c>
      <c r="T49">
        <f t="shared" si="7"/>
        <v>1014.4999999999999</v>
      </c>
      <c r="U49">
        <v>135.57</v>
      </c>
      <c r="V49">
        <f t="shared" si="8"/>
        <v>99.21</v>
      </c>
      <c r="W49">
        <f t="shared" si="9"/>
        <v>915.28999999999985</v>
      </c>
      <c r="X49">
        <v>36.630000000000003</v>
      </c>
      <c r="Y49">
        <v>349.73</v>
      </c>
      <c r="Z49">
        <f t="shared" si="10"/>
        <v>313.10000000000002</v>
      </c>
      <c r="AA49">
        <v>76.2</v>
      </c>
      <c r="AB49">
        <f t="shared" si="11"/>
        <v>39.57</v>
      </c>
      <c r="AC49">
        <f>Z49-AB49</f>
        <v>273.53000000000003</v>
      </c>
      <c r="AD49">
        <f xml:space="preserve"> N49+T49+Z52</f>
        <v>3758.85</v>
      </c>
      <c r="AE49">
        <f xml:space="preserve"> P49+V49+AB52</f>
        <v>612.04999999999995</v>
      </c>
      <c r="AF49">
        <f xml:space="preserve"> Q49+W49+AC52</f>
        <v>3146.8</v>
      </c>
    </row>
    <row r="50" spans="1:33" x14ac:dyDescent="0.25">
      <c r="X50">
        <v>37.4</v>
      </c>
      <c r="Y50">
        <v>392.8</v>
      </c>
      <c r="Z50">
        <f t="shared" si="10"/>
        <v>355.40000000000003</v>
      </c>
      <c r="AA50">
        <v>82.49</v>
      </c>
      <c r="AB50">
        <f t="shared" si="11"/>
        <v>45.089999999999996</v>
      </c>
      <c r="AC50">
        <f t="shared" ref="AC50:AC51" si="16">Z50-AB50</f>
        <v>310.31000000000006</v>
      </c>
    </row>
    <row r="51" spans="1:33" x14ac:dyDescent="0.25">
      <c r="X51">
        <v>37.42</v>
      </c>
      <c r="Y51">
        <v>353.48</v>
      </c>
      <c r="Z51">
        <f t="shared" si="10"/>
        <v>316.06</v>
      </c>
      <c r="AA51">
        <v>73.41</v>
      </c>
      <c r="AB51">
        <f t="shared" si="11"/>
        <v>35.989999999999995</v>
      </c>
      <c r="AC51">
        <f t="shared" si="16"/>
        <v>280.07</v>
      </c>
    </row>
    <row r="52" spans="1:33" x14ac:dyDescent="0.25">
      <c r="Z52">
        <f>Z49+Z50+Z51</f>
        <v>984.56</v>
      </c>
      <c r="AB52">
        <f>AB49+AB50+AB51</f>
        <v>120.64999999999999</v>
      </c>
      <c r="AC52">
        <f xml:space="preserve"> AC49+AC50+AC51</f>
        <v>863.91000000000008</v>
      </c>
    </row>
    <row r="54" spans="1:33" x14ac:dyDescent="0.25">
      <c r="B54" t="s">
        <v>71</v>
      </c>
      <c r="C54" t="s">
        <v>97</v>
      </c>
      <c r="D54" t="s">
        <v>75</v>
      </c>
      <c r="E54" t="s">
        <v>46</v>
      </c>
      <c r="F54" t="s">
        <v>74</v>
      </c>
      <c r="G54" t="s">
        <v>84</v>
      </c>
      <c r="H54">
        <v>6</v>
      </c>
      <c r="L54">
        <v>37.39</v>
      </c>
      <c r="M54">
        <v>1713.77</v>
      </c>
      <c r="N54">
        <f t="shared" si="6"/>
        <v>1676.3799999999999</v>
      </c>
      <c r="O54">
        <v>507.57</v>
      </c>
      <c r="P54">
        <f xml:space="preserve"> O54-L54</f>
        <v>470.18</v>
      </c>
      <c r="Q54">
        <f>N54-P54</f>
        <v>1206.1999999999998</v>
      </c>
      <c r="R54">
        <v>36.39</v>
      </c>
      <c r="S54">
        <v>734.5</v>
      </c>
      <c r="T54">
        <f t="shared" si="7"/>
        <v>698.11</v>
      </c>
      <c r="U54">
        <v>109.19</v>
      </c>
      <c r="V54">
        <f t="shared" si="8"/>
        <v>72.8</v>
      </c>
      <c r="W54">
        <f t="shared" si="9"/>
        <v>625.31000000000006</v>
      </c>
      <c r="X54">
        <v>36.380000000000003</v>
      </c>
      <c r="Y54">
        <v>361.66</v>
      </c>
      <c r="Z54">
        <f t="shared" si="10"/>
        <v>325.28000000000003</v>
      </c>
      <c r="AA54">
        <v>80.349999999999994</v>
      </c>
      <c r="AB54">
        <f t="shared" si="11"/>
        <v>43.969999999999992</v>
      </c>
      <c r="AC54">
        <f xml:space="preserve"> Z54-AB54</f>
        <v>281.31000000000006</v>
      </c>
      <c r="AD54">
        <f xml:space="preserve"> N54+ T54+ Z56</f>
        <v>3108.21</v>
      </c>
      <c r="AE54">
        <f xml:space="preserve"> P54+V54+AB56</f>
        <v>640.33000000000004</v>
      </c>
      <c r="AF54">
        <f xml:space="preserve"> Q54+W54+AC56</f>
        <v>2467.88</v>
      </c>
      <c r="AG54" t="s">
        <v>107</v>
      </c>
    </row>
    <row r="55" spans="1:33" x14ac:dyDescent="0.25">
      <c r="X55">
        <v>36.4</v>
      </c>
      <c r="Y55">
        <v>444.84</v>
      </c>
      <c r="Z55">
        <f t="shared" si="10"/>
        <v>408.44</v>
      </c>
      <c r="AA55">
        <v>89.78</v>
      </c>
      <c r="AB55">
        <f t="shared" si="11"/>
        <v>53.38</v>
      </c>
      <c r="AC55">
        <f xml:space="preserve"> Z55-AB55</f>
        <v>355.06</v>
      </c>
    </row>
    <row r="56" spans="1:33" x14ac:dyDescent="0.25">
      <c r="Z56">
        <f>Z54+Z55</f>
        <v>733.72</v>
      </c>
      <c r="AB56">
        <f xml:space="preserve"> AB54+AB55</f>
        <v>97.35</v>
      </c>
      <c r="AC56">
        <f>AC54+AC55</f>
        <v>636.37000000000012</v>
      </c>
    </row>
    <row r="60" spans="1:33" x14ac:dyDescent="0.25">
      <c r="A60" s="1">
        <v>45510</v>
      </c>
      <c r="B60" t="s">
        <v>5</v>
      </c>
      <c r="C60" t="s">
        <v>86</v>
      </c>
      <c r="D60" t="s">
        <v>88</v>
      </c>
      <c r="E60" t="s">
        <v>89</v>
      </c>
      <c r="F60" t="s">
        <v>91</v>
      </c>
      <c r="G60" t="s">
        <v>85</v>
      </c>
      <c r="H60">
        <v>4</v>
      </c>
      <c r="L60">
        <v>36.6</v>
      </c>
      <c r="M60">
        <v>1399.16</v>
      </c>
      <c r="N60">
        <f t="shared" si="6"/>
        <v>1362.5600000000002</v>
      </c>
      <c r="O60">
        <v>327.8</v>
      </c>
      <c r="P60">
        <f xml:space="preserve"> O60-L60</f>
        <v>291.2</v>
      </c>
      <c r="Q60">
        <f>N60-P60</f>
        <v>1071.3600000000001</v>
      </c>
      <c r="R60">
        <v>36.479999999999997</v>
      </c>
      <c r="S60">
        <v>1018.32</v>
      </c>
      <c r="T60">
        <f t="shared" si="7"/>
        <v>981.84</v>
      </c>
      <c r="U60">
        <v>138.91</v>
      </c>
      <c r="V60">
        <f t="shared" si="8"/>
        <v>102.43</v>
      </c>
      <c r="W60">
        <f t="shared" si="9"/>
        <v>879.41000000000008</v>
      </c>
      <c r="X60">
        <v>37.340000000000003</v>
      </c>
      <c r="Y60">
        <v>472.34</v>
      </c>
      <c r="Z60">
        <f t="shared" si="10"/>
        <v>435</v>
      </c>
      <c r="AA60">
        <v>90.12</v>
      </c>
      <c r="AB60">
        <f t="shared" si="11"/>
        <v>52.78</v>
      </c>
      <c r="AC60">
        <f xml:space="preserve"> Z60-AB60</f>
        <v>382.22</v>
      </c>
      <c r="AD60">
        <f xml:space="preserve"> N62+T60+Z62</f>
        <v>4448.9800000000005</v>
      </c>
      <c r="AE60">
        <f>P62+V60+AB62</f>
        <v>772.49</v>
      </c>
      <c r="AF60">
        <f xml:space="preserve"> Q62+W60+AC62</f>
        <v>3676.4900000000002</v>
      </c>
    </row>
    <row r="61" spans="1:33" x14ac:dyDescent="0.25">
      <c r="L61">
        <v>37.07</v>
      </c>
      <c r="M61">
        <v>1278.28</v>
      </c>
      <c r="N61">
        <f t="shared" si="6"/>
        <v>1241.21</v>
      </c>
      <c r="O61">
        <v>312.45999999999998</v>
      </c>
      <c r="P61">
        <f xml:space="preserve"> O61-L61</f>
        <v>275.39</v>
      </c>
      <c r="Q61">
        <f>N61-P61</f>
        <v>965.82</v>
      </c>
      <c r="X61">
        <v>36.43</v>
      </c>
      <c r="Y61">
        <v>464.8</v>
      </c>
      <c r="Z61">
        <f t="shared" si="10"/>
        <v>428.37</v>
      </c>
      <c r="AA61">
        <v>87.12</v>
      </c>
      <c r="AB61">
        <f t="shared" si="11"/>
        <v>50.690000000000005</v>
      </c>
      <c r="AC61">
        <f t="shared" ref="AC61:AC73" si="17" xml:space="preserve"> Z61-AB61</f>
        <v>377.68</v>
      </c>
    </row>
    <row r="62" spans="1:33" x14ac:dyDescent="0.25">
      <c r="N62">
        <f xml:space="preserve"> N60+N61</f>
        <v>2603.7700000000004</v>
      </c>
      <c r="P62">
        <f xml:space="preserve"> P60+P61</f>
        <v>566.58999999999992</v>
      </c>
      <c r="Q62">
        <f xml:space="preserve"> Q60+Q61</f>
        <v>2037.1800000000003</v>
      </c>
      <c r="Z62">
        <f xml:space="preserve"> Z60+Z61</f>
        <v>863.37</v>
      </c>
      <c r="AB62">
        <f>AB60+AB61</f>
        <v>103.47</v>
      </c>
      <c r="AC62">
        <f t="shared" si="17"/>
        <v>759.9</v>
      </c>
    </row>
    <row r="64" spans="1:33" x14ac:dyDescent="0.25">
      <c r="B64" t="s">
        <v>81</v>
      </c>
      <c r="C64" t="s">
        <v>87</v>
      </c>
      <c r="D64">
        <v>62</v>
      </c>
      <c r="E64" t="s">
        <v>90</v>
      </c>
      <c r="F64" t="s">
        <v>92</v>
      </c>
      <c r="G64" t="s">
        <v>84</v>
      </c>
      <c r="H64">
        <v>4</v>
      </c>
      <c r="L64">
        <v>36.54</v>
      </c>
      <c r="M64">
        <v>2341.44</v>
      </c>
      <c r="N64">
        <f t="shared" si="6"/>
        <v>2304.9</v>
      </c>
      <c r="O64">
        <v>528.9</v>
      </c>
      <c r="P64">
        <f xml:space="preserve"> O64-L64</f>
        <v>492.35999999999996</v>
      </c>
      <c r="Q64">
        <f>N64-P64</f>
        <v>1812.5400000000002</v>
      </c>
      <c r="R64">
        <v>36.28</v>
      </c>
      <c r="S64">
        <v>1017.36</v>
      </c>
      <c r="T64">
        <f t="shared" si="7"/>
        <v>981.08</v>
      </c>
      <c r="U64">
        <v>134.96</v>
      </c>
      <c r="V64">
        <f t="shared" si="8"/>
        <v>98.68</v>
      </c>
      <c r="W64">
        <f t="shared" si="9"/>
        <v>882.40000000000009</v>
      </c>
      <c r="X64">
        <v>36.76</v>
      </c>
      <c r="Y64">
        <v>517.45000000000005</v>
      </c>
      <c r="Z64">
        <f t="shared" si="10"/>
        <v>480.69000000000005</v>
      </c>
      <c r="AA64">
        <v>90.2</v>
      </c>
      <c r="AB64">
        <f t="shared" si="11"/>
        <v>53.440000000000005</v>
      </c>
      <c r="AC64">
        <f t="shared" si="17"/>
        <v>427.25000000000006</v>
      </c>
      <c r="AD64">
        <f xml:space="preserve"> N64+T64+Z66</f>
        <v>4153.22</v>
      </c>
      <c r="AE64">
        <f xml:space="preserve"> P64+V64+AB66</f>
        <v>690.29</v>
      </c>
      <c r="AF64">
        <f xml:space="preserve"> Q64+W64+AC66</f>
        <v>3462.9300000000003</v>
      </c>
    </row>
    <row r="65" spans="1:32" x14ac:dyDescent="0.25">
      <c r="X65">
        <v>36.840000000000003</v>
      </c>
      <c r="Y65">
        <v>423.39</v>
      </c>
      <c r="Z65">
        <f t="shared" si="10"/>
        <v>386.54999999999995</v>
      </c>
      <c r="AA65">
        <v>82.65</v>
      </c>
      <c r="AB65">
        <f t="shared" si="11"/>
        <v>45.81</v>
      </c>
      <c r="AC65">
        <f t="shared" si="17"/>
        <v>340.73999999999995</v>
      </c>
    </row>
    <row r="66" spans="1:32" x14ac:dyDescent="0.25">
      <c r="Z66">
        <f xml:space="preserve"> Z64+Z65</f>
        <v>867.24</v>
      </c>
      <c r="AB66">
        <f>AB64+AB65</f>
        <v>99.25</v>
      </c>
      <c r="AC66">
        <f t="shared" si="17"/>
        <v>767.99</v>
      </c>
    </row>
    <row r="68" spans="1:32" x14ac:dyDescent="0.25">
      <c r="B68" t="s">
        <v>82</v>
      </c>
      <c r="C68" t="s">
        <v>99</v>
      </c>
      <c r="D68">
        <v>64</v>
      </c>
      <c r="E68" t="s">
        <v>13</v>
      </c>
      <c r="F68" t="s">
        <v>93</v>
      </c>
      <c r="G68" t="s">
        <v>85</v>
      </c>
      <c r="H68">
        <v>4</v>
      </c>
      <c r="L68">
        <v>37.35</v>
      </c>
      <c r="M68">
        <v>2074.96</v>
      </c>
      <c r="N68">
        <f t="shared" si="6"/>
        <v>2037.6100000000001</v>
      </c>
      <c r="O68">
        <v>439.91</v>
      </c>
      <c r="P68">
        <f xml:space="preserve"> O68-L68</f>
        <v>402.56</v>
      </c>
      <c r="Q68">
        <f>N68-P68</f>
        <v>1635.0500000000002</v>
      </c>
      <c r="R68">
        <v>36.58</v>
      </c>
      <c r="S68">
        <v>896.17</v>
      </c>
      <c r="T68">
        <f t="shared" si="7"/>
        <v>859.58999999999992</v>
      </c>
      <c r="U68">
        <v>117.69</v>
      </c>
      <c r="V68">
        <f t="shared" si="8"/>
        <v>81.11</v>
      </c>
      <c r="W68">
        <f t="shared" si="9"/>
        <v>778.4799999999999</v>
      </c>
      <c r="X68">
        <v>36.36</v>
      </c>
      <c r="Y68">
        <v>472.89</v>
      </c>
      <c r="Z68">
        <f t="shared" si="10"/>
        <v>436.53</v>
      </c>
      <c r="AA68">
        <v>85.75</v>
      </c>
      <c r="AB68">
        <f t="shared" si="11"/>
        <v>49.39</v>
      </c>
      <c r="AC68">
        <f t="shared" si="17"/>
        <v>387.14</v>
      </c>
      <c r="AD68">
        <f xml:space="preserve"> N68+T68+Z70</f>
        <v>3707</v>
      </c>
      <c r="AE68">
        <f xml:space="preserve"> P68+V68+AB70</f>
        <v>573.29</v>
      </c>
      <c r="AF68">
        <f xml:space="preserve"> Q68+W68+AC70</f>
        <v>3133.71</v>
      </c>
    </row>
    <row r="69" spans="1:32" x14ac:dyDescent="0.25">
      <c r="X69">
        <v>36.39</v>
      </c>
      <c r="Y69">
        <v>409.66</v>
      </c>
      <c r="Z69">
        <f t="shared" si="10"/>
        <v>373.27000000000004</v>
      </c>
      <c r="AA69">
        <v>76.62</v>
      </c>
      <c r="AB69">
        <f t="shared" si="11"/>
        <v>40.230000000000004</v>
      </c>
      <c r="AC69">
        <f t="shared" si="17"/>
        <v>333.04</v>
      </c>
    </row>
    <row r="70" spans="1:32" x14ac:dyDescent="0.25">
      <c r="Z70">
        <f>Z68+Z69</f>
        <v>809.8</v>
      </c>
      <c r="AB70">
        <f xml:space="preserve"> AB68+AB69</f>
        <v>89.62</v>
      </c>
      <c r="AC70">
        <f t="shared" si="17"/>
        <v>720.18</v>
      </c>
    </row>
    <row r="72" spans="1:32" x14ac:dyDescent="0.25">
      <c r="B72" t="s">
        <v>83</v>
      </c>
      <c r="C72" t="s">
        <v>100</v>
      </c>
      <c r="D72">
        <v>65</v>
      </c>
      <c r="E72" t="s">
        <v>94</v>
      </c>
      <c r="F72" t="s">
        <v>93</v>
      </c>
      <c r="G72" t="s">
        <v>84</v>
      </c>
      <c r="H72">
        <v>4</v>
      </c>
      <c r="L72">
        <v>37.43</v>
      </c>
      <c r="M72">
        <v>1363.54</v>
      </c>
      <c r="N72">
        <f t="shared" si="6"/>
        <v>1326.11</v>
      </c>
      <c r="O72">
        <v>329.35</v>
      </c>
      <c r="P72">
        <f xml:space="preserve"> O72-L72</f>
        <v>291.92</v>
      </c>
      <c r="Q72">
        <f>N72-P72</f>
        <v>1034.1899999999998</v>
      </c>
      <c r="R72">
        <v>36.979999999999997</v>
      </c>
      <c r="S72">
        <v>1178.29</v>
      </c>
      <c r="T72">
        <f t="shared" si="7"/>
        <v>1141.31</v>
      </c>
      <c r="U72">
        <v>156.65</v>
      </c>
      <c r="V72">
        <f t="shared" si="8"/>
        <v>119.67000000000002</v>
      </c>
      <c r="W72">
        <f t="shared" si="9"/>
        <v>1021.6399999999999</v>
      </c>
      <c r="X72">
        <v>36.700000000000003</v>
      </c>
      <c r="Y72">
        <v>578.17999999999995</v>
      </c>
      <c r="Z72">
        <f t="shared" si="10"/>
        <v>541.4799999999999</v>
      </c>
      <c r="AA72">
        <v>122.86</v>
      </c>
      <c r="AB72">
        <f t="shared" si="11"/>
        <v>86.16</v>
      </c>
      <c r="AC72">
        <f t="shared" si="17"/>
        <v>455.31999999999994</v>
      </c>
      <c r="AD72">
        <f xml:space="preserve"> N74+T72+Z74</f>
        <v>5060.9399999999996</v>
      </c>
      <c r="AE72">
        <f xml:space="preserve"> P74+V72+AB74</f>
        <v>902.98</v>
      </c>
      <c r="AF72">
        <f xml:space="preserve"> Q74+W72+AC74</f>
        <v>4157.9599999999991</v>
      </c>
    </row>
    <row r="73" spans="1:32" x14ac:dyDescent="0.25">
      <c r="L73">
        <v>36.979999999999997</v>
      </c>
      <c r="M73">
        <v>1580.52</v>
      </c>
      <c r="N73">
        <f t="shared" si="6"/>
        <v>1543.54</v>
      </c>
      <c r="O73">
        <v>376.56</v>
      </c>
      <c r="P73">
        <f xml:space="preserve"> O73-L73</f>
        <v>339.58</v>
      </c>
      <c r="Q73">
        <f>N73-P73</f>
        <v>1203.96</v>
      </c>
      <c r="X73">
        <v>36.619999999999997</v>
      </c>
      <c r="Y73">
        <v>545.12</v>
      </c>
      <c r="Z73">
        <f t="shared" si="10"/>
        <v>508.5</v>
      </c>
      <c r="AA73">
        <v>102.27</v>
      </c>
      <c r="AB73">
        <f t="shared" si="11"/>
        <v>65.650000000000006</v>
      </c>
      <c r="AC73">
        <f t="shared" si="17"/>
        <v>442.85</v>
      </c>
    </row>
    <row r="74" spans="1:32" x14ac:dyDescent="0.25">
      <c r="N74">
        <f xml:space="preserve"> N72+N73</f>
        <v>2869.6499999999996</v>
      </c>
      <c r="P74">
        <f>P72+P73</f>
        <v>631.5</v>
      </c>
      <c r="Q74">
        <f>Q72+Q73</f>
        <v>2238.1499999999996</v>
      </c>
      <c r="Z74">
        <f>Z72+Z73</f>
        <v>1049.98</v>
      </c>
      <c r="AB74">
        <f xml:space="preserve"> AB72+AB73</f>
        <v>151.81</v>
      </c>
      <c r="AC74">
        <f>AC72+AC73</f>
        <v>898.17</v>
      </c>
    </row>
    <row r="79" spans="1:32" x14ac:dyDescent="0.25">
      <c r="A79" s="1">
        <v>45532</v>
      </c>
      <c r="B79" t="s">
        <v>5</v>
      </c>
      <c r="C79" t="s">
        <v>108</v>
      </c>
      <c r="D79">
        <v>68</v>
      </c>
      <c r="E79" t="s">
        <v>109</v>
      </c>
      <c r="F79" t="s">
        <v>110</v>
      </c>
      <c r="G79" t="s">
        <v>111</v>
      </c>
      <c r="H79">
        <v>4</v>
      </c>
      <c r="L79">
        <v>37.36</v>
      </c>
      <c r="M79">
        <v>1742.6</v>
      </c>
      <c r="N79">
        <f xml:space="preserve"> M79-L79</f>
        <v>1705.24</v>
      </c>
      <c r="O79">
        <v>393.31</v>
      </c>
      <c r="P79">
        <f xml:space="preserve"> O79-L79</f>
        <v>355.95</v>
      </c>
      <c r="Q79">
        <f xml:space="preserve"> N79-P79</f>
        <v>1349.29</v>
      </c>
      <c r="R79">
        <v>36.9</v>
      </c>
      <c r="S79">
        <v>852.76</v>
      </c>
      <c r="T79">
        <f>S79-R79</f>
        <v>815.86</v>
      </c>
      <c r="U79">
        <v>136.94</v>
      </c>
      <c r="V79">
        <f xml:space="preserve"> U79-R79</f>
        <v>100.03999999999999</v>
      </c>
      <c r="W79">
        <f xml:space="preserve"> T79-V79</f>
        <v>715.82</v>
      </c>
      <c r="X79">
        <v>36.51</v>
      </c>
      <c r="Y79">
        <v>422.87</v>
      </c>
      <c r="Z79">
        <f xml:space="preserve"> Y79-X79</f>
        <v>386.36</v>
      </c>
      <c r="AA79">
        <v>88.44</v>
      </c>
      <c r="AB79">
        <f xml:space="preserve"> AA79-X79</f>
        <v>51.93</v>
      </c>
      <c r="AC79">
        <f xml:space="preserve"> Z79-AB79</f>
        <v>334.43</v>
      </c>
      <c r="AD79">
        <f xml:space="preserve"> N81+T81+Z82</f>
        <v>6129.43</v>
      </c>
      <c r="AE79">
        <f xml:space="preserve"> P81+V81+AB82</f>
        <v>1029.8699999999999</v>
      </c>
      <c r="AF79">
        <f xml:space="preserve"> Q81+W81+AC82</f>
        <v>5099.5599999999995</v>
      </c>
    </row>
    <row r="80" spans="1:32" x14ac:dyDescent="0.25">
      <c r="L80">
        <v>37.07</v>
      </c>
      <c r="M80">
        <v>1888.32</v>
      </c>
      <c r="N80">
        <f>M80-L80</f>
        <v>1851.25</v>
      </c>
      <c r="O80">
        <v>393.43</v>
      </c>
      <c r="P80">
        <f t="shared" ref="P80:P93" si="18" xml:space="preserve"> O80-L80</f>
        <v>356.36</v>
      </c>
      <c r="Q80">
        <f t="shared" ref="Q80:Q94" si="19" xml:space="preserve"> N80-P80</f>
        <v>1494.8899999999999</v>
      </c>
      <c r="R80">
        <v>36.659999999999997</v>
      </c>
      <c r="S80">
        <v>655.72</v>
      </c>
      <c r="T80">
        <f>S80-R80</f>
        <v>619.06000000000006</v>
      </c>
      <c r="U80">
        <v>110.9</v>
      </c>
      <c r="V80">
        <f t="shared" ref="V80:V93" si="20" xml:space="preserve"> U80-R80</f>
        <v>74.240000000000009</v>
      </c>
      <c r="W80">
        <f t="shared" ref="W80:W94" si="21" xml:space="preserve"> T80-V80</f>
        <v>544.82000000000005</v>
      </c>
      <c r="X80">
        <v>36.67</v>
      </c>
      <c r="Y80">
        <v>363.03</v>
      </c>
      <c r="Z80">
        <f>Y80-X80</f>
        <v>326.35999999999996</v>
      </c>
      <c r="AA80">
        <v>79.989999999999995</v>
      </c>
      <c r="AB80">
        <f t="shared" ref="AB80:AB94" si="22" xml:space="preserve"> AA80-X80</f>
        <v>43.319999999999993</v>
      </c>
      <c r="AC80">
        <f t="shared" ref="AC80:AC95" si="23" xml:space="preserve"> Z80-AB80</f>
        <v>283.03999999999996</v>
      </c>
    </row>
    <row r="81" spans="2:32" x14ac:dyDescent="0.25">
      <c r="N81">
        <f>N79+N80</f>
        <v>3556.49</v>
      </c>
      <c r="P81">
        <f xml:space="preserve"> P79+P80</f>
        <v>712.31</v>
      </c>
      <c r="Q81">
        <f t="shared" si="19"/>
        <v>2844.18</v>
      </c>
      <c r="T81">
        <f>T79+T80</f>
        <v>1434.92</v>
      </c>
      <c r="V81">
        <f xml:space="preserve"> V79+V80</f>
        <v>174.28</v>
      </c>
      <c r="W81">
        <f t="shared" si="21"/>
        <v>1260.6400000000001</v>
      </c>
      <c r="X81">
        <v>36.880000000000003</v>
      </c>
      <c r="Y81">
        <v>462.18</v>
      </c>
      <c r="Z81">
        <f>Y81-X81</f>
        <v>425.3</v>
      </c>
      <c r="AA81">
        <v>84.91</v>
      </c>
      <c r="AB81">
        <f t="shared" si="22"/>
        <v>48.029999999999994</v>
      </c>
      <c r="AC81">
        <f t="shared" si="23"/>
        <v>377.27000000000004</v>
      </c>
    </row>
    <row r="82" spans="2:32" x14ac:dyDescent="0.25">
      <c r="Z82">
        <f>Z79+Z80+Z81</f>
        <v>1138.02</v>
      </c>
      <c r="AB82">
        <f xml:space="preserve"> AB79+AB80+AB81</f>
        <v>143.28</v>
      </c>
      <c r="AC82">
        <f t="shared" si="23"/>
        <v>994.74</v>
      </c>
    </row>
    <row r="84" spans="2:32" x14ac:dyDescent="0.25">
      <c r="B84" t="s">
        <v>81</v>
      </c>
      <c r="C84" t="s">
        <v>114</v>
      </c>
      <c r="D84">
        <v>60</v>
      </c>
      <c r="E84" t="s">
        <v>115</v>
      </c>
      <c r="F84" t="s">
        <v>116</v>
      </c>
      <c r="G84" t="s">
        <v>111</v>
      </c>
      <c r="H84">
        <v>4</v>
      </c>
      <c r="L84">
        <v>36.39</v>
      </c>
      <c r="M84">
        <v>1350.26</v>
      </c>
      <c r="N84">
        <f xml:space="preserve"> M84-L84</f>
        <v>1313.87</v>
      </c>
      <c r="O84">
        <v>298.88</v>
      </c>
      <c r="P84">
        <f t="shared" si="18"/>
        <v>262.49</v>
      </c>
      <c r="Q84">
        <f t="shared" si="19"/>
        <v>1051.3799999999999</v>
      </c>
      <c r="R84">
        <v>36.51</v>
      </c>
      <c r="S84">
        <v>951.11</v>
      </c>
      <c r="T84">
        <f xml:space="preserve"> S84-R84</f>
        <v>914.6</v>
      </c>
      <c r="U84">
        <v>137.44999999999999</v>
      </c>
      <c r="V84">
        <f t="shared" si="20"/>
        <v>100.94</v>
      </c>
      <c r="W84">
        <f t="shared" si="21"/>
        <v>813.66000000000008</v>
      </c>
      <c r="X84">
        <v>36.590000000000003</v>
      </c>
      <c r="Y84">
        <v>418.05</v>
      </c>
      <c r="Z84">
        <f xml:space="preserve"> Y84-X84</f>
        <v>381.46000000000004</v>
      </c>
      <c r="AA84">
        <v>83.81</v>
      </c>
      <c r="AB84">
        <f t="shared" si="22"/>
        <v>47.22</v>
      </c>
      <c r="AC84">
        <f t="shared" si="23"/>
        <v>334.24</v>
      </c>
      <c r="AD84">
        <f xml:space="preserve"> N86+T84+Z86</f>
        <v>4263.08</v>
      </c>
      <c r="AE84">
        <f xml:space="preserve"> P86+V84+AB86</f>
        <v>711.6099999999999</v>
      </c>
      <c r="AF84">
        <f xml:space="preserve"> Q86+W84+AC86</f>
        <v>3551.4699999999993</v>
      </c>
    </row>
    <row r="85" spans="2:32" x14ac:dyDescent="0.25">
      <c r="L85">
        <v>36.86</v>
      </c>
      <c r="M85">
        <v>1372.4</v>
      </c>
      <c r="N85">
        <f>M85-L85</f>
        <v>1335.5400000000002</v>
      </c>
      <c r="O85">
        <v>297.70999999999998</v>
      </c>
      <c r="P85">
        <f t="shared" si="18"/>
        <v>260.84999999999997</v>
      </c>
      <c r="Q85">
        <f t="shared" si="19"/>
        <v>1074.6900000000003</v>
      </c>
      <c r="X85">
        <v>36.6</v>
      </c>
      <c r="Y85">
        <v>354.21</v>
      </c>
      <c r="Z85">
        <f>Y85-X85</f>
        <v>317.60999999999996</v>
      </c>
      <c r="AA85">
        <v>76.709999999999994</v>
      </c>
      <c r="AB85">
        <f t="shared" si="22"/>
        <v>40.109999999999992</v>
      </c>
      <c r="AC85">
        <f t="shared" si="23"/>
        <v>277.49999999999994</v>
      </c>
    </row>
    <row r="86" spans="2:32" x14ac:dyDescent="0.25">
      <c r="N86">
        <f>N84+N85</f>
        <v>2649.41</v>
      </c>
      <c r="P86">
        <f xml:space="preserve"> P84+P85</f>
        <v>523.33999999999992</v>
      </c>
      <c r="Q86">
        <f t="shared" si="19"/>
        <v>2126.0699999999997</v>
      </c>
      <c r="Z86">
        <f xml:space="preserve"> Z84+Z85</f>
        <v>699.06999999999994</v>
      </c>
      <c r="AB86">
        <f>AB84+AB85</f>
        <v>87.329999999999984</v>
      </c>
      <c r="AC86">
        <f t="shared" si="23"/>
        <v>611.74</v>
      </c>
    </row>
    <row r="88" spans="2:32" x14ac:dyDescent="0.25">
      <c r="B88" t="s">
        <v>82</v>
      </c>
      <c r="C88" t="s">
        <v>120</v>
      </c>
      <c r="D88">
        <v>69</v>
      </c>
      <c r="E88" t="s">
        <v>117</v>
      </c>
      <c r="F88" t="s">
        <v>119</v>
      </c>
      <c r="G88" t="s">
        <v>111</v>
      </c>
      <c r="H88">
        <v>4</v>
      </c>
      <c r="L88">
        <v>36.28</v>
      </c>
      <c r="M88">
        <v>1174.3699999999999</v>
      </c>
      <c r="N88">
        <f>M88-L88</f>
        <v>1138.0899999999999</v>
      </c>
      <c r="O88">
        <v>278.19</v>
      </c>
      <c r="P88">
        <f t="shared" si="18"/>
        <v>241.91</v>
      </c>
      <c r="Q88">
        <f t="shared" si="19"/>
        <v>896.18</v>
      </c>
      <c r="R88">
        <v>36.81</v>
      </c>
      <c r="S88">
        <v>591.54999999999995</v>
      </c>
      <c r="T88">
        <f xml:space="preserve"> S88-R88</f>
        <v>554.74</v>
      </c>
      <c r="U88">
        <v>100.47</v>
      </c>
      <c r="V88">
        <f t="shared" si="20"/>
        <v>63.66</v>
      </c>
      <c r="W88">
        <f t="shared" si="21"/>
        <v>491.08000000000004</v>
      </c>
      <c r="X88">
        <v>36.56</v>
      </c>
      <c r="Y88">
        <v>408.6</v>
      </c>
      <c r="Z88">
        <f xml:space="preserve"> Y88-X88</f>
        <v>372.04</v>
      </c>
      <c r="AA88">
        <v>85.95</v>
      </c>
      <c r="AB88">
        <f t="shared" si="22"/>
        <v>49.39</v>
      </c>
      <c r="AC88">
        <f t="shared" si="23"/>
        <v>322.65000000000003</v>
      </c>
      <c r="AD88">
        <f xml:space="preserve"> N90+T90+Z90</f>
        <v>4338.49</v>
      </c>
      <c r="AE88">
        <f xml:space="preserve"> P90+V90+AB90</f>
        <v>733.0100000000001</v>
      </c>
      <c r="AF88">
        <f xml:space="preserve"> Q90+W90+AC90</f>
        <v>3605.48</v>
      </c>
    </row>
    <row r="89" spans="2:32" x14ac:dyDescent="0.25">
      <c r="L89">
        <v>36.9</v>
      </c>
      <c r="M89">
        <v>1316.44</v>
      </c>
      <c r="N89">
        <f>M89-L89</f>
        <v>1279.54</v>
      </c>
      <c r="O89">
        <v>297.04000000000002</v>
      </c>
      <c r="P89">
        <f t="shared" si="18"/>
        <v>260.14000000000004</v>
      </c>
      <c r="Q89">
        <f t="shared" si="19"/>
        <v>1019.3999999999999</v>
      </c>
      <c r="R89">
        <v>36.72</v>
      </c>
      <c r="S89">
        <v>680.14</v>
      </c>
      <c r="T89">
        <f xml:space="preserve"> S89-R89</f>
        <v>643.41999999999996</v>
      </c>
      <c r="U89">
        <v>112.55</v>
      </c>
      <c r="V89">
        <f t="shared" si="20"/>
        <v>75.83</v>
      </c>
      <c r="W89">
        <f t="shared" si="21"/>
        <v>567.58999999999992</v>
      </c>
      <c r="X89">
        <v>36.380000000000003</v>
      </c>
      <c r="Y89">
        <v>387.04</v>
      </c>
      <c r="Z89">
        <f xml:space="preserve"> Y89-X89</f>
        <v>350.66</v>
      </c>
      <c r="AA89">
        <v>78.459999999999994</v>
      </c>
      <c r="AB89">
        <f t="shared" si="22"/>
        <v>42.079999999999991</v>
      </c>
      <c r="AC89">
        <f t="shared" si="23"/>
        <v>308.58000000000004</v>
      </c>
    </row>
    <row r="90" spans="2:32" x14ac:dyDescent="0.25">
      <c r="N90">
        <f xml:space="preserve"> N88+N89</f>
        <v>2417.63</v>
      </c>
      <c r="P90">
        <f xml:space="preserve"> P88+P89</f>
        <v>502.05000000000007</v>
      </c>
      <c r="Q90">
        <f t="shared" si="19"/>
        <v>1915.58</v>
      </c>
      <c r="T90">
        <f xml:space="preserve"> T88+T89</f>
        <v>1198.1599999999999</v>
      </c>
      <c r="V90">
        <f xml:space="preserve"> V88+V89</f>
        <v>139.49</v>
      </c>
      <c r="W90">
        <f t="shared" si="21"/>
        <v>1058.6699999999998</v>
      </c>
      <c r="Z90">
        <f xml:space="preserve"> Z88+Z89</f>
        <v>722.7</v>
      </c>
      <c r="AB90">
        <f>AB88+AB89</f>
        <v>91.47</v>
      </c>
      <c r="AC90">
        <f t="shared" si="23"/>
        <v>631.23</v>
      </c>
    </row>
    <row r="92" spans="2:32" x14ac:dyDescent="0.25">
      <c r="B92" t="s">
        <v>83</v>
      </c>
      <c r="C92" t="s">
        <v>121</v>
      </c>
      <c r="D92">
        <v>68</v>
      </c>
      <c r="E92" t="s">
        <v>118</v>
      </c>
      <c r="F92" t="s">
        <v>117</v>
      </c>
      <c r="G92" t="s">
        <v>111</v>
      </c>
      <c r="H92">
        <v>4</v>
      </c>
      <c r="L92">
        <v>37.31</v>
      </c>
      <c r="M92">
        <v>1696.02</v>
      </c>
      <c r="N92">
        <f xml:space="preserve"> M92-L92</f>
        <v>1658.71</v>
      </c>
      <c r="O92">
        <v>377.96</v>
      </c>
      <c r="P92">
        <f t="shared" si="18"/>
        <v>340.65</v>
      </c>
      <c r="Q92">
        <f t="shared" si="19"/>
        <v>1318.06</v>
      </c>
      <c r="R92">
        <v>36.659999999999997</v>
      </c>
      <c r="S92">
        <v>918.16</v>
      </c>
      <c r="T92">
        <f xml:space="preserve"> S92-R92</f>
        <v>881.5</v>
      </c>
      <c r="U92">
        <v>136.94</v>
      </c>
      <c r="V92">
        <f t="shared" si="20"/>
        <v>100.28</v>
      </c>
      <c r="W92">
        <f t="shared" si="21"/>
        <v>781.22</v>
      </c>
      <c r="X92">
        <v>36.700000000000003</v>
      </c>
      <c r="Y92">
        <v>379.25</v>
      </c>
      <c r="Z92">
        <f xml:space="preserve"> Y92-X92</f>
        <v>342.55</v>
      </c>
      <c r="AA92">
        <v>82.66</v>
      </c>
      <c r="AB92">
        <f t="shared" si="22"/>
        <v>45.959999999999994</v>
      </c>
      <c r="AC92">
        <f t="shared" si="23"/>
        <v>296.59000000000003</v>
      </c>
      <c r="AD92">
        <f xml:space="preserve"> N94+T94+Z95</f>
        <v>6244.66</v>
      </c>
      <c r="AE92">
        <f xml:space="preserve"> P94+V94+AB95</f>
        <v>1059.83</v>
      </c>
      <c r="AF92">
        <f xml:space="preserve"> Q94+W94+AC95</f>
        <v>5184.83</v>
      </c>
    </row>
    <row r="93" spans="2:32" x14ac:dyDescent="0.25">
      <c r="L93">
        <v>37.299999999999997</v>
      </c>
      <c r="M93">
        <v>1989.49</v>
      </c>
      <c r="N93">
        <f xml:space="preserve"> M93-L93</f>
        <v>1952.19</v>
      </c>
      <c r="O93">
        <v>445.68</v>
      </c>
      <c r="P93">
        <f t="shared" si="18"/>
        <v>408.38</v>
      </c>
      <c r="Q93">
        <f t="shared" si="19"/>
        <v>1543.81</v>
      </c>
      <c r="R93">
        <v>22.82</v>
      </c>
      <c r="S93">
        <v>716.36</v>
      </c>
      <c r="T93">
        <f xml:space="preserve"> S93-R93</f>
        <v>693.54</v>
      </c>
      <c r="U93">
        <v>96.61</v>
      </c>
      <c r="V93">
        <f t="shared" si="20"/>
        <v>73.789999999999992</v>
      </c>
      <c r="W93">
        <f t="shared" si="21"/>
        <v>619.75</v>
      </c>
      <c r="X93">
        <v>36.53</v>
      </c>
      <c r="Y93">
        <v>390.32</v>
      </c>
      <c r="Z93">
        <f t="shared" ref="Z93:Z94" si="24" xml:space="preserve"> Y93-X93</f>
        <v>353.78999999999996</v>
      </c>
      <c r="AA93">
        <v>84.18</v>
      </c>
      <c r="AB93">
        <f t="shared" si="22"/>
        <v>47.650000000000006</v>
      </c>
      <c r="AC93">
        <f t="shared" si="23"/>
        <v>306.14</v>
      </c>
    </row>
    <row r="94" spans="2:32" x14ac:dyDescent="0.25">
      <c r="N94">
        <f>N92+N93</f>
        <v>3610.9</v>
      </c>
      <c r="P94">
        <f xml:space="preserve"> P92+P93</f>
        <v>749.03</v>
      </c>
      <c r="Q94">
        <f t="shared" si="19"/>
        <v>2861.87</v>
      </c>
      <c r="T94">
        <f xml:space="preserve"> T92+T93</f>
        <v>1575.04</v>
      </c>
      <c r="V94">
        <f>V92+V93</f>
        <v>174.07</v>
      </c>
      <c r="W94">
        <f t="shared" si="21"/>
        <v>1400.97</v>
      </c>
      <c r="X94">
        <v>37.08</v>
      </c>
      <c r="Y94">
        <v>399.46</v>
      </c>
      <c r="Z94">
        <f t="shared" si="24"/>
        <v>362.38</v>
      </c>
      <c r="AA94">
        <v>80.2</v>
      </c>
      <c r="AB94">
        <f t="shared" si="22"/>
        <v>43.120000000000005</v>
      </c>
      <c r="AC94">
        <f t="shared" si="23"/>
        <v>319.26</v>
      </c>
    </row>
    <row r="95" spans="2:32" x14ac:dyDescent="0.25">
      <c r="Z95">
        <f xml:space="preserve"> Z92+Z93+Z94</f>
        <v>1058.7199999999998</v>
      </c>
      <c r="AB95">
        <f>AB92+AB93+AB94</f>
        <v>136.73000000000002</v>
      </c>
      <c r="AC95">
        <f t="shared" si="23"/>
        <v>921.98999999999978</v>
      </c>
    </row>
  </sheetData>
  <mergeCells count="5">
    <mergeCell ref="I1:J1"/>
    <mergeCell ref="O1:P1"/>
    <mergeCell ref="L1:N1"/>
    <mergeCell ref="R1:T1"/>
    <mergeCell ref="X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2024-06-17T13:02:28Z</dcterms:created>
  <dcterms:modified xsi:type="dcterms:W3CDTF">2024-10-17T09:52:27Z</dcterms:modified>
</cp:coreProperties>
</file>