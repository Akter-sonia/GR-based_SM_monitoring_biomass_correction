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4\"/>
    </mc:Choice>
  </mc:AlternateContent>
  <xr:revisionPtr revIDLastSave="0" documentId="13_ncr:1_{CCD0DA24-14B9-4E7D-B415-927B76E63F7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Kdose_daily" sheetId="1" r:id="rId1"/>
    <sheet name="Sheet1" sheetId="2" r:id="rId2"/>
    <sheet name="Sheet2" sheetId="3" r:id="rId3"/>
  </sheets>
  <definedNames>
    <definedName name="solver_adj" localSheetId="0" hidden="1">selhausen_SM_Kdose_daily!$B$2,selhausen_SM_Kdose_daily!$B$4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selhausen_SM_Kdose_daily!$B$4</definedName>
    <definedName name="solver_lhs2" localSheetId="0" hidden="1">selhausen_SM_Kdose_daily!$B$4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selhausen_SM_Kdose_daily!$K$6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7</definedName>
    <definedName name="solver_rhs2" localSheetId="0" hidden="1">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3" i="1" l="1"/>
  <c r="E203" i="1" s="1"/>
  <c r="C203" i="1"/>
  <c r="B204" i="1"/>
  <c r="E204" i="1" s="1"/>
  <c r="C204" i="1"/>
  <c r="B205" i="1"/>
  <c r="E205" i="1" s="1"/>
  <c r="C205" i="1"/>
  <c r="B206" i="1"/>
  <c r="E206" i="1" s="1"/>
  <c r="C206" i="1"/>
  <c r="B207" i="1"/>
  <c r="E207" i="1" s="1"/>
  <c r="C207" i="1"/>
  <c r="B208" i="1"/>
  <c r="E208" i="1" s="1"/>
  <c r="C208" i="1"/>
  <c r="B209" i="1"/>
  <c r="E209" i="1" s="1"/>
  <c r="C209" i="1"/>
  <c r="B210" i="1"/>
  <c r="E210" i="1" s="1"/>
  <c r="C210" i="1"/>
  <c r="B211" i="1"/>
  <c r="E211" i="1" s="1"/>
  <c r="C211" i="1"/>
  <c r="B212" i="1"/>
  <c r="E212" i="1" s="1"/>
  <c r="C212" i="1"/>
  <c r="B213" i="1"/>
  <c r="E213" i="1" s="1"/>
  <c r="C213" i="1"/>
  <c r="B214" i="1"/>
  <c r="E214" i="1" s="1"/>
  <c r="C214" i="1"/>
  <c r="B215" i="1"/>
  <c r="E215" i="1" s="1"/>
  <c r="C215" i="1"/>
  <c r="B216" i="1"/>
  <c r="E216" i="1" s="1"/>
  <c r="C216" i="1"/>
  <c r="B217" i="1"/>
  <c r="E217" i="1" s="1"/>
  <c r="C217" i="1"/>
  <c r="B218" i="1"/>
  <c r="E218" i="1" s="1"/>
  <c r="C218" i="1"/>
  <c r="B219" i="1"/>
  <c r="E219" i="1" s="1"/>
  <c r="C219" i="1"/>
  <c r="B220" i="1"/>
  <c r="E220" i="1" s="1"/>
  <c r="C220" i="1"/>
  <c r="B221" i="1"/>
  <c r="E221" i="1" s="1"/>
  <c r="C221" i="1"/>
  <c r="F221" i="1"/>
  <c r="B85" i="1"/>
  <c r="E85" i="1" s="1"/>
  <c r="C85" i="1"/>
  <c r="B86" i="1"/>
  <c r="E86" i="1" s="1"/>
  <c r="C86" i="1"/>
  <c r="B87" i="1"/>
  <c r="E87" i="1" s="1"/>
  <c r="C87" i="1"/>
  <c r="B88" i="1"/>
  <c r="E88" i="1" s="1"/>
  <c r="C88" i="1"/>
  <c r="B89" i="1"/>
  <c r="E89" i="1" s="1"/>
  <c r="C89" i="1"/>
  <c r="B90" i="1"/>
  <c r="E90" i="1" s="1"/>
  <c r="C90" i="1"/>
  <c r="B92" i="1"/>
  <c r="E92" i="1" s="1"/>
  <c r="C92" i="1"/>
  <c r="B93" i="1"/>
  <c r="E93" i="1" s="1"/>
  <c r="C93" i="1"/>
  <c r="B94" i="1"/>
  <c r="E94" i="1" s="1"/>
  <c r="C94" i="1"/>
  <c r="B95" i="1"/>
  <c r="E95" i="1" s="1"/>
  <c r="C95" i="1"/>
  <c r="B96" i="1"/>
  <c r="E96" i="1" s="1"/>
  <c r="C96" i="1"/>
  <c r="B97" i="1"/>
  <c r="E97" i="1" s="1"/>
  <c r="C97" i="1"/>
  <c r="B98" i="1"/>
  <c r="E98" i="1" s="1"/>
  <c r="C98" i="1"/>
  <c r="B99" i="1"/>
  <c r="E99" i="1" s="1"/>
  <c r="C99" i="1"/>
  <c r="B100" i="1"/>
  <c r="E100" i="1" s="1"/>
  <c r="C100" i="1"/>
  <c r="B101" i="1"/>
  <c r="E101" i="1" s="1"/>
  <c r="C101" i="1"/>
  <c r="B102" i="1"/>
  <c r="E102" i="1" s="1"/>
  <c r="C102" i="1"/>
  <c r="B111" i="1"/>
  <c r="E111" i="1" s="1"/>
  <c r="C111" i="1"/>
  <c r="B112" i="1"/>
  <c r="E112" i="1" s="1"/>
  <c r="C112" i="1"/>
  <c r="B113" i="1"/>
  <c r="E113" i="1" s="1"/>
  <c r="C113" i="1"/>
  <c r="B114" i="1"/>
  <c r="E114" i="1" s="1"/>
  <c r="C114" i="1"/>
  <c r="B115" i="1"/>
  <c r="E115" i="1" s="1"/>
  <c r="C115" i="1"/>
  <c r="B116" i="1"/>
  <c r="E116" i="1" s="1"/>
  <c r="C116" i="1"/>
  <c r="B117" i="1"/>
  <c r="E117" i="1" s="1"/>
  <c r="C117" i="1"/>
  <c r="B118" i="1"/>
  <c r="E118" i="1" s="1"/>
  <c r="C118" i="1"/>
  <c r="B119" i="1"/>
  <c r="E119" i="1" s="1"/>
  <c r="C119" i="1"/>
  <c r="B120" i="1"/>
  <c r="E120" i="1" s="1"/>
  <c r="C120" i="1"/>
  <c r="B121" i="1"/>
  <c r="E121" i="1" s="1"/>
  <c r="C121" i="1"/>
  <c r="B122" i="1"/>
  <c r="E122" i="1" s="1"/>
  <c r="C122" i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91" i="1"/>
  <c r="E91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8" i="1"/>
  <c r="E8" i="1" s="1"/>
  <c r="F86" i="1" l="1"/>
  <c r="F95" i="1"/>
  <c r="F209" i="1"/>
  <c r="F88" i="1"/>
  <c r="F203" i="1"/>
  <c r="F101" i="1"/>
  <c r="F102" i="1"/>
  <c r="F100" i="1"/>
  <c r="F207" i="1"/>
  <c r="F212" i="1"/>
  <c r="F220" i="1"/>
  <c r="F98" i="1"/>
  <c r="F122" i="1"/>
  <c r="F93" i="1"/>
  <c r="F219" i="1"/>
  <c r="F99" i="1"/>
  <c r="F119" i="1"/>
  <c r="F217" i="1"/>
  <c r="F216" i="1"/>
  <c r="F121" i="1"/>
  <c r="F215" i="1"/>
  <c r="F89" i="1"/>
  <c r="F92" i="1"/>
  <c r="F87" i="1"/>
  <c r="F94" i="1"/>
  <c r="F120" i="1"/>
  <c r="F218" i="1"/>
  <c r="F210" i="1"/>
  <c r="F214" i="1"/>
  <c r="F204" i="1"/>
  <c r="F205" i="1"/>
  <c r="F206" i="1"/>
  <c r="F211" i="1"/>
  <c r="F213" i="1"/>
  <c r="F208" i="1"/>
  <c r="F117" i="1"/>
  <c r="F90" i="1"/>
  <c r="F114" i="1"/>
  <c r="F111" i="1"/>
  <c r="F113" i="1"/>
  <c r="F97" i="1"/>
  <c r="F118" i="1"/>
  <c r="F96" i="1"/>
  <c r="F116" i="1"/>
  <c r="F85" i="1"/>
  <c r="F115" i="1"/>
  <c r="F112" i="1"/>
  <c r="F231" i="1" l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91" i="1"/>
  <c r="F103" i="1"/>
  <c r="F104" i="1"/>
  <c r="F105" i="1"/>
  <c r="F106" i="1"/>
  <c r="F107" i="1"/>
  <c r="F108" i="1"/>
  <c r="F109" i="1"/>
  <c r="F110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91" i="1"/>
  <c r="C103" i="1"/>
  <c r="C104" i="1"/>
  <c r="C105" i="1"/>
  <c r="C106" i="1"/>
  <c r="C107" i="1"/>
  <c r="C108" i="1"/>
  <c r="C109" i="1"/>
  <c r="C110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22" i="1"/>
  <c r="C223" i="1"/>
  <c r="C224" i="1"/>
  <c r="C225" i="1"/>
  <c r="C226" i="1"/>
  <c r="C227" i="1"/>
  <c r="C228" i="1"/>
  <c r="C229" i="1"/>
  <c r="C230" i="1"/>
  <c r="C8" i="1"/>
  <c r="F8" i="1"/>
  <c r="K5" i="1" l="1"/>
  <c r="O6" i="1" a="1"/>
  <c r="P6" i="1" a="1"/>
  <c r="K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<sst xmlns="http://schemas.openxmlformats.org/spreadsheetml/2006/main" count="284" uniqueCount="283">
  <si>
    <t>Timestamp GMT</t>
  </si>
  <si>
    <t>Parameters</t>
  </si>
  <si>
    <t>Estimates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</si>
  <si>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</si>
  <si>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</si>
  <si>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</si>
  <si>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</si>
  <si>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</si>
  <si>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</si>
  <si>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</si>
  <si>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</si>
  <si>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</si>
  <si>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SM_predicted_theory</t>
  </si>
  <si>
    <t>K</t>
  </si>
  <si>
    <t>Corrected K</t>
  </si>
  <si>
    <t>beta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</si>
  <si>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</si>
  <si>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</si>
  <si>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</si>
  <si>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</si>
  <si>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</si>
  <si>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</si>
  <si>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</si>
  <si>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</si>
  <si>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</si>
  <si>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</si>
  <si>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</si>
  <si>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</si>
  <si>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</si>
  <si>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</si>
  <si>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</si>
  <si>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</si>
  <si>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</si>
  <si>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</si>
  <si>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</si>
  <si>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</si>
  <si>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</si>
  <si>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</si>
  <si>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</si>
  <si>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</si>
  <si>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</si>
  <si>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</si>
  <si>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</si>
  <si>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</si>
  <si>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</si>
  <si>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</si>
  <si>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</si>
  <si>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</si>
  <si>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</si>
  <si>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</si>
  <si>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</si>
  <si>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</si>
  <si>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</si>
  <si>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</si>
  <si>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</si>
  <si>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</si>
  <si>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</si>
  <si>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</si>
  <si>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</si>
  <si>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</si>
  <si>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</si>
  <si>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</si>
  <si>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</si>
  <si>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</si>
  <si>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</si>
  <si>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</si>
  <si>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</si>
  <si>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</si>
  <si>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</si>
  <si>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</si>
  <si>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</si>
  <si>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</si>
  <si>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</si>
  <si>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</si>
  <si>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</si>
  <si>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</si>
  <si>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</si>
  <si>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</si>
  <si>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</si>
  <si>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</si>
  <si>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</si>
  <si>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</si>
  <si>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</si>
  <si>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</si>
  <si>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</si>
  <si>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</si>
  <si>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</si>
  <si>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</si>
  <si>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</si>
  <si>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</si>
  <si>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</si>
  <si>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</si>
  <si>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</si>
  <si>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</si>
  <si>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</si>
  <si>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</si>
  <si>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</si>
  <si>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</si>
  <si>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</si>
  <si>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</si>
  <si>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</si>
  <si>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</si>
  <si>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</si>
  <si>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</si>
  <si>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</si>
  <si>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</si>
  <si>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</si>
  <si>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</si>
  <si>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</si>
  <si>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</si>
  <si>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</si>
  <si>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</si>
  <si>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</si>
  <si>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</si>
  <si>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</si>
  <si>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</si>
  <si>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</si>
  <si>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</si>
  <si>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</si>
  <si>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</si>
  <si>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</si>
  <si>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</si>
  <si>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</si>
  <si>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</si>
  <si>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</si>
  <si>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</si>
  <si>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</si>
  <si>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</si>
  <si>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</si>
  <si>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</si>
  <si>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</si>
  <si>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</si>
  <si>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</si>
  <si>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</si>
  <si>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</si>
  <si>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</si>
  <si>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</si>
  <si>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</si>
  <si>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</si>
  <si>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</si>
  <si>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</si>
  <si>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</si>
  <si>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</si>
  <si>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</si>
  <si>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</si>
  <si>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</si>
  <si>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</si>
  <si>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</si>
  <si>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</si>
  <si>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</si>
  <si>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</si>
  <si>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</si>
  <si>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</si>
  <si>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</si>
  <si>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</si>
  <si>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</si>
  <si>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</si>
  <si>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</si>
  <si>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</si>
  <si>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</si>
  <si>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</si>
  <si>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</si>
  <si>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</si>
  <si>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</si>
  <si>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</si>
  <si>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</si>
  <si>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</si>
  <si>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</si>
  <si>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</si>
  <si>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</si>
  <si>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</si>
  <si>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</si>
  <si>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</si>
  <si>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</si>
  <si>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</si>
  <si>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</si>
  <si>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</si>
  <si>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</si>
  <si>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</si>
  <si>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</si>
  <si>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</si>
  <si>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</si>
  <si>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</si>
  <si>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</si>
  <si>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</si>
  <si>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</si>
  <si>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</si>
  <si>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</si>
  <si>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</si>
  <si>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</si>
  <si>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</si>
  <si>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</si>
  <si>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</si>
  <si>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</si>
  <si>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</si>
  <si>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</si>
  <si>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</si>
  <si>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</si>
  <si>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</si>
  <si>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</si>
  <si>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</si>
  <si>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</si>
  <si>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</si>
  <si>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</si>
  <si>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</si>
  <si>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</si>
  <si>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</si>
  <si>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</si>
  <si>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</si>
  <si>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</si>
  <si>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</si>
  <si>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</si>
  <si>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</si>
  <si>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</si>
  <si>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</si>
  <si>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</si>
  <si>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</si>
  <si>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</si>
  <si>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</si>
  <si>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</si>
  <si>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</si>
  <si>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</si>
  <si>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</si>
  <si>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</si>
  <si>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</si>
  <si>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</si>
  <si>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</si>
  <si>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</si>
  <si>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</si>
  <si>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</si>
  <si>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</si>
  <si>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</si>
  <si>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</si>
  <si>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</si>
  <si>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</si>
  <si>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</si>
  <si>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</si>
  <si>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</si>
  <si>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</si>
  <si>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</si>
  <si>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</si>
  <si>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</si>
  <si>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</si>
  <si>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</si>
  <si>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</si>
  <si>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</si>
  <si>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</si>
  <si>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</si>
  <si>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</si>
  <si>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</si>
  <si>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</si>
  <si>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</si>
  <si>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</si>
  <si>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</si>
  <si>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</si>
  <si>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</si>
  <si>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</si>
  <si>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</si>
  <si>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</si>
  <si>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</si>
  <si>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</si>
  <si>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</si>
  <si>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</si>
  <si>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</si>
  <si>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</si>
  <si>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</si>
  <si>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</si>
  <si>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</si>
  <si>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</si>
  <si>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</si>
  <si>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</si>
  <si>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</si>
  <si>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</si>
  <si>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</si>
  <si>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</si>
  <si>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</si>
  <si>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</si>
  <si>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</si>
  <si>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</si>
  <si>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2024-12-31 00:00:00+00:00</t>
  </si>
  <si>
    <t>Biomass</t>
  </si>
  <si>
    <t>Predicted K</t>
  </si>
  <si>
    <t>GRdry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</si>
</sst>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2541557305337E-2"/>
                  <c:y val="-0.55723935549722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9.78842518939393</c:v>
                </c:pt>
                <c:pt idx="1">
                  <c:v>9.8325917929292892</c:v>
                </c:pt>
                <c:pt idx="2">
                  <c:v>9.8492458333333293</c:v>
                </c:pt>
                <c:pt idx="3">
                  <c:v>9.8654333333333302</c:v>
                </c:pt>
                <c:pt idx="4">
                  <c:v>9.8578541666666606</c:v>
                </c:pt>
                <c:pt idx="5">
                  <c:v>9.8476513888888899</c:v>
                </c:pt>
                <c:pt idx="6">
                  <c:v>9.7518624999999997</c:v>
                </c:pt>
                <c:pt idx="7">
                  <c:v>9.6934749999999994</c:v>
                </c:pt>
                <c:pt idx="8">
                  <c:v>9.7019472222222198</c:v>
                </c:pt>
                <c:pt idx="9">
                  <c:v>9.7632777777777697</c:v>
                </c:pt>
                <c:pt idx="10">
                  <c:v>9.7471638888888901</c:v>
                </c:pt>
                <c:pt idx="11">
                  <c:v>9.7309222222222207</c:v>
                </c:pt>
                <c:pt idx="12">
                  <c:v>9.7758777777777706</c:v>
                </c:pt>
                <c:pt idx="13">
                  <c:v>9.9101972222222194</c:v>
                </c:pt>
                <c:pt idx="14">
                  <c:v>10.019018055555501</c:v>
                </c:pt>
                <c:pt idx="15">
                  <c:v>10.0024</c:v>
                </c:pt>
                <c:pt idx="16">
                  <c:v>9.9267680555555504</c:v>
                </c:pt>
                <c:pt idx="17">
                  <c:v>9.8343486111111105</c:v>
                </c:pt>
                <c:pt idx="18">
                  <c:v>9.8528374999999997</c:v>
                </c:pt>
                <c:pt idx="19">
                  <c:v>9.8700152777777692</c:v>
                </c:pt>
                <c:pt idx="20">
                  <c:v>9.8897222222222201</c:v>
                </c:pt>
                <c:pt idx="21">
                  <c:v>9.7759402777777709</c:v>
                </c:pt>
                <c:pt idx="22">
                  <c:v>9.7120486111111095</c:v>
                </c:pt>
                <c:pt idx="23">
                  <c:v>9.7010263888888897</c:v>
                </c:pt>
                <c:pt idx="24">
                  <c:v>9.8362208333333303</c:v>
                </c:pt>
                <c:pt idx="25">
                  <c:v>9.8075472222222206</c:v>
                </c:pt>
                <c:pt idx="26">
                  <c:v>9.8061319444444397</c:v>
                </c:pt>
                <c:pt idx="27">
                  <c:v>9.7371305555555505</c:v>
                </c:pt>
                <c:pt idx="28">
                  <c:v>9.8166986111111108</c:v>
                </c:pt>
                <c:pt idx="29">
                  <c:v>9.8623444444444406</c:v>
                </c:pt>
                <c:pt idx="30">
                  <c:v>9.9816847222222194</c:v>
                </c:pt>
                <c:pt idx="31">
                  <c:v>9.8347315821256007</c:v>
                </c:pt>
                <c:pt idx="32">
                  <c:v>9.8352690821256008</c:v>
                </c:pt>
                <c:pt idx="33">
                  <c:v>9.9095621376811494</c:v>
                </c:pt>
                <c:pt idx="34">
                  <c:v>9.9127569444444408</c:v>
                </c:pt>
                <c:pt idx="35">
                  <c:v>9.85819861111111</c:v>
                </c:pt>
                <c:pt idx="36">
                  <c:v>9.8549486111111104</c:v>
                </c:pt>
                <c:pt idx="37">
                  <c:v>9.9747347222222196</c:v>
                </c:pt>
                <c:pt idx="38">
                  <c:v>10.0874305555555</c:v>
                </c:pt>
                <c:pt idx="39">
                  <c:v>10.1345888888888</c:v>
                </c:pt>
                <c:pt idx="40">
                  <c:v>10.1352305555555</c:v>
                </c:pt>
                <c:pt idx="41">
                  <c:v>9.9718347222222192</c:v>
                </c:pt>
                <c:pt idx="42">
                  <c:v>9.8358916666666598</c:v>
                </c:pt>
                <c:pt idx="43">
                  <c:v>9.7663083333333294</c:v>
                </c:pt>
                <c:pt idx="44">
                  <c:v>9.8151680555555494</c:v>
                </c:pt>
                <c:pt idx="45">
                  <c:v>9.9253236111111107</c:v>
                </c:pt>
                <c:pt idx="46">
                  <c:v>9.9696944444444409</c:v>
                </c:pt>
                <c:pt idx="47">
                  <c:v>10.0510208333333</c:v>
                </c:pt>
                <c:pt idx="48">
                  <c:v>10.0960472222222</c:v>
                </c:pt>
                <c:pt idx="49">
                  <c:v>10.137924999999999</c:v>
                </c:pt>
                <c:pt idx="50">
                  <c:v>10.048930555555501</c:v>
                </c:pt>
                <c:pt idx="51">
                  <c:v>9.9906694444444408</c:v>
                </c:pt>
                <c:pt idx="52">
                  <c:v>10.039016666666599</c:v>
                </c:pt>
                <c:pt idx="53">
                  <c:v>10.209300000000001</c:v>
                </c:pt>
                <c:pt idx="54">
                  <c:v>10.4134152777777</c:v>
                </c:pt>
                <c:pt idx="55">
                  <c:v>10.513515277777699</c:v>
                </c:pt>
                <c:pt idx="56">
                  <c:v>10.4126041666666</c:v>
                </c:pt>
                <c:pt idx="57">
                  <c:v>10.3272763888888</c:v>
                </c:pt>
                <c:pt idx="58">
                  <c:v>10.2460194444444</c:v>
                </c:pt>
                <c:pt idx="59">
                  <c:v>10.346198611111101</c:v>
                </c:pt>
                <c:pt idx="60">
                  <c:v>10.472669444444399</c:v>
                </c:pt>
                <c:pt idx="61">
                  <c:v>10.5711986111111</c:v>
                </c:pt>
                <c:pt idx="62">
                  <c:v>10.4098611111111</c:v>
                </c:pt>
                <c:pt idx="63">
                  <c:v>10.0475833333333</c:v>
                </c:pt>
                <c:pt idx="64">
                  <c:v>10.865697222222201</c:v>
                </c:pt>
                <c:pt idx="65">
                  <c:v>10.439447222222199</c:v>
                </c:pt>
                <c:pt idx="66">
                  <c:v>9.9731499999999897</c:v>
                </c:pt>
                <c:pt idx="67">
                  <c:v>9.9704208333333302</c:v>
                </c:pt>
                <c:pt idx="68">
                  <c:v>10.020777777777701</c:v>
                </c:pt>
                <c:pt idx="69">
                  <c:v>10.008451388888799</c:v>
                </c:pt>
                <c:pt idx="70">
                  <c:v>10.1276222222222</c:v>
                </c:pt>
                <c:pt idx="71">
                  <c:v>10.341126388888799</c:v>
                </c:pt>
                <c:pt idx="72">
                  <c:v>10.6640263888888</c:v>
                </c:pt>
                <c:pt idx="73">
                  <c:v>10.920715277777701</c:v>
                </c:pt>
                <c:pt idx="74">
                  <c:v>11.1637077380952</c:v>
                </c:pt>
                <c:pt idx="75">
                  <c:v>11.2885869047619</c:v>
                </c:pt>
                <c:pt idx="76">
                  <c:v>11.2764438492063</c:v>
                </c:pt>
                <c:pt idx="77">
                  <c:v>10.9588236111111</c:v>
                </c:pt>
                <c:pt idx="78">
                  <c:v>10.5872916666666</c:v>
                </c:pt>
                <c:pt idx="79">
                  <c:v>10.355555555555499</c:v>
                </c:pt>
                <c:pt idx="80">
                  <c:v>10.416650757575701</c:v>
                </c:pt>
                <c:pt idx="81">
                  <c:v>10.6083924242424</c:v>
                </c:pt>
                <c:pt idx="82">
                  <c:v>10.6259888888888</c:v>
                </c:pt>
                <c:pt idx="83">
                  <c:v>10.5975375</c:v>
                </c:pt>
                <c:pt idx="84">
                  <c:v>10.3439180555555</c:v>
                </c:pt>
                <c:pt idx="85">
                  <c:v>10.30070189085005</c:v>
                </c:pt>
                <c:pt idx="86">
                  <c:v>10.196263916829531</c:v>
                </c:pt>
                <c:pt idx="87">
                  <c:v>10.255567483761222</c:v>
                </c:pt>
                <c:pt idx="88">
                  <c:v>10.270848063828272</c:v>
                </c:pt>
                <c:pt idx="89">
                  <c:v>10.21999967725227</c:v>
                </c:pt>
                <c:pt idx="90">
                  <c:v>10.100108623266951</c:v>
                </c:pt>
                <c:pt idx="91">
                  <c:v>10.096721255690349</c:v>
                </c:pt>
                <c:pt idx="92">
                  <c:v>10.042357667027369</c:v>
                </c:pt>
                <c:pt idx="93">
                  <c:v>10.059351904357056</c:v>
                </c:pt>
                <c:pt idx="94">
                  <c:v>10.070849634662693</c:v>
                </c:pt>
                <c:pt idx="95">
                  <c:v>10.247800410838009</c:v>
                </c:pt>
                <c:pt idx="96">
                  <c:v>10.369259749443815</c:v>
                </c:pt>
                <c:pt idx="97">
                  <c:v>10.564506207120758</c:v>
                </c:pt>
                <c:pt idx="98">
                  <c:v>10.661981086250892</c:v>
                </c:pt>
                <c:pt idx="99">
                  <c:v>10.896071032006425</c:v>
                </c:pt>
                <c:pt idx="100">
                  <c:v>11.052196442692063</c:v>
                </c:pt>
                <c:pt idx="101">
                  <c:v>11.016372880752847</c:v>
                </c:pt>
                <c:pt idx="102">
                  <c:v>10.99178779864841</c:v>
                </c:pt>
                <c:pt idx="103">
                  <c:v>10.878418785590599</c:v>
                </c:pt>
                <c:pt idx="104">
                  <c:v>11.006449011960187</c:v>
                </c:pt>
                <c:pt idx="105">
                  <c:v>11.067391008833862</c:v>
                </c:pt>
                <c:pt idx="106">
                  <c:v>11.126182156123731</c:v>
                </c:pt>
                <c:pt idx="107">
                  <c:v>11.096240619375742</c:v>
                </c:pt>
                <c:pt idx="108">
                  <c:v>11.050401389684977</c:v>
                </c:pt>
                <c:pt idx="109">
                  <c:v>10.95617716151637</c:v>
                </c:pt>
                <c:pt idx="110">
                  <c:v>10.692041107917234</c:v>
                </c:pt>
                <c:pt idx="111">
                  <c:v>10.492917212169647</c:v>
                </c:pt>
                <c:pt idx="112">
                  <c:v>10.348242780394289</c:v>
                </c:pt>
                <c:pt idx="113">
                  <c:v>10.379365260659119</c:v>
                </c:pt>
                <c:pt idx="114">
                  <c:v>10.493244045455667</c:v>
                </c:pt>
                <c:pt idx="115">
                  <c:v>10.748723852455274</c:v>
                </c:pt>
                <c:pt idx="116">
                  <c:v>11.038892652519948</c:v>
                </c:pt>
                <c:pt idx="117">
                  <c:v>11.288823247326857</c:v>
                </c:pt>
                <c:pt idx="118">
                  <c:v>11.516354424098683</c:v>
                </c:pt>
                <c:pt idx="119">
                  <c:v>11.615959959466883</c:v>
                </c:pt>
                <c:pt idx="120">
                  <c:v>11.67540588430111</c:v>
                </c:pt>
                <c:pt idx="121">
                  <c:v>11.308925454777263</c:v>
                </c:pt>
                <c:pt idx="122">
                  <c:v>10.925133190344955</c:v>
                </c:pt>
                <c:pt idx="123">
                  <c:v>10.41928296388026</c:v>
                </c:pt>
                <c:pt idx="124">
                  <c:v>10.234355446425599</c:v>
                </c:pt>
                <c:pt idx="125">
                  <c:v>10.234965300683218</c:v>
                </c:pt>
                <c:pt idx="126">
                  <c:v>10.339862098859024</c:v>
                </c:pt>
                <c:pt idx="127">
                  <c:v>10.61027573299531</c:v>
                </c:pt>
                <c:pt idx="128">
                  <c:v>10.818160262548794</c:v>
                </c:pt>
                <c:pt idx="129">
                  <c:v>11.093394149538666</c:v>
                </c:pt>
                <c:pt idx="130">
                  <c:v>11.32969659772453</c:v>
                </c:pt>
                <c:pt idx="131">
                  <c:v>11.450459127944587</c:v>
                </c:pt>
                <c:pt idx="132">
                  <c:v>11.561934269648656</c:v>
                </c:pt>
                <c:pt idx="133">
                  <c:v>11.268359541693339</c:v>
                </c:pt>
                <c:pt idx="134">
                  <c:v>11.016892201874674</c:v>
                </c:pt>
                <c:pt idx="135">
                  <c:v>10.832429376877561</c:v>
                </c:pt>
                <c:pt idx="136">
                  <c:v>11.076850364181487</c:v>
                </c:pt>
                <c:pt idx="137">
                  <c:v>11.165015185082929</c:v>
                </c:pt>
                <c:pt idx="138">
                  <c:v>11.142425243491161</c:v>
                </c:pt>
                <c:pt idx="139">
                  <c:v>11.100030621077639</c:v>
                </c:pt>
                <c:pt idx="140">
                  <c:v>11.327700652730497</c:v>
                </c:pt>
                <c:pt idx="141">
                  <c:v>11.58090788587092</c:v>
                </c:pt>
                <c:pt idx="142">
                  <c:v>11.753539805557729</c:v>
                </c:pt>
                <c:pt idx="143">
                  <c:v>11.845003048012142</c:v>
                </c:pt>
                <c:pt idx="144">
                  <c:v>11.869064076058885</c:v>
                </c:pt>
                <c:pt idx="145">
                  <c:v>11.824332217732401</c:v>
                </c:pt>
                <c:pt idx="146">
                  <c:v>11.83003791130437</c:v>
                </c:pt>
                <c:pt idx="147">
                  <c:v>11.74427960943941</c:v>
                </c:pt>
                <c:pt idx="148">
                  <c:v>11.530908379230096</c:v>
                </c:pt>
                <c:pt idx="149">
                  <c:v>11.224097913348913</c:v>
                </c:pt>
                <c:pt idx="150">
                  <c:v>11.155731413763419</c:v>
                </c:pt>
                <c:pt idx="151">
                  <c:v>11.377028056618549</c:v>
                </c:pt>
                <c:pt idx="152">
                  <c:v>11.600814695755505</c:v>
                </c:pt>
                <c:pt idx="153">
                  <c:v>11.511650864792612</c:v>
                </c:pt>
                <c:pt idx="154">
                  <c:v>11.214428754612287</c:v>
                </c:pt>
                <c:pt idx="155">
                  <c:v>11.007244217588346</c:v>
                </c:pt>
                <c:pt idx="156">
                  <c:v>10.903527002232213</c:v>
                </c:pt>
                <c:pt idx="157">
                  <c:v>10.993234321281649</c:v>
                </c:pt>
                <c:pt idx="158">
                  <c:v>11.136858131452197</c:v>
                </c:pt>
                <c:pt idx="159">
                  <c:v>11.324445524471811</c:v>
                </c:pt>
                <c:pt idx="160">
                  <c:v>11.469374643127216</c:v>
                </c:pt>
                <c:pt idx="161">
                  <c:v>11.579146372096879</c:v>
                </c:pt>
                <c:pt idx="162">
                  <c:v>11.68457245572751</c:v>
                </c:pt>
                <c:pt idx="163">
                  <c:v>11.779558027587388</c:v>
                </c:pt>
                <c:pt idx="164">
                  <c:v>11.882534276363666</c:v>
                </c:pt>
                <c:pt idx="165">
                  <c:v>12.20025062323635</c:v>
                </c:pt>
                <c:pt idx="166">
                  <c:v>12.011556776955675</c:v>
                </c:pt>
                <c:pt idx="167">
                  <c:v>11.725304287975174</c:v>
                </c:pt>
                <c:pt idx="168">
                  <c:v>11.290979849092764</c:v>
                </c:pt>
                <c:pt idx="169">
                  <c:v>11.300515273846781</c:v>
                </c:pt>
                <c:pt idx="170">
                  <c:v>11.142237428758806</c:v>
                </c:pt>
                <c:pt idx="171">
                  <c:v>10.971569331475454</c:v>
                </c:pt>
                <c:pt idx="172">
                  <c:v>10.879576585061617</c:v>
                </c:pt>
                <c:pt idx="173">
                  <c:v>10.994489224377793</c:v>
                </c:pt>
                <c:pt idx="174">
                  <c:v>11.142126757815522</c:v>
                </c:pt>
                <c:pt idx="175">
                  <c:v>11.300770830260676</c:v>
                </c:pt>
                <c:pt idx="176">
                  <c:v>11.525382741705506</c:v>
                </c:pt>
                <c:pt idx="177">
                  <c:v>11.433653604218751</c:v>
                </c:pt>
                <c:pt idx="178">
                  <c:v>11.338734571974358</c:v>
                </c:pt>
                <c:pt idx="179">
                  <c:v>11.219885986966908</c:v>
                </c:pt>
                <c:pt idx="180">
                  <c:v>11.457750022493791</c:v>
                </c:pt>
                <c:pt idx="181">
                  <c:v>11.659732960942421</c:v>
                </c:pt>
                <c:pt idx="182">
                  <c:v>11.714211552897943</c:v>
                </c:pt>
                <c:pt idx="183">
                  <c:v>11.742240021920052</c:v>
                </c:pt>
                <c:pt idx="184">
                  <c:v>11.823081218574792</c:v>
                </c:pt>
                <c:pt idx="185">
                  <c:v>12.006278008186495</c:v>
                </c:pt>
                <c:pt idx="186">
                  <c:v>12.072600231547394</c:v>
                </c:pt>
                <c:pt idx="187">
                  <c:v>11.857788234239781</c:v>
                </c:pt>
                <c:pt idx="188">
                  <c:v>11.624186977375528</c:v>
                </c:pt>
                <c:pt idx="189">
                  <c:v>11.416222527439267</c:v>
                </c:pt>
                <c:pt idx="190">
                  <c:v>11.441338751766162</c:v>
                </c:pt>
                <c:pt idx="191">
                  <c:v>11.464343975922894</c:v>
                </c:pt>
                <c:pt idx="192">
                  <c:v>11.387409412178068</c:v>
                </c:pt>
                <c:pt idx="193">
                  <c:v>11.201629325717573</c:v>
                </c:pt>
                <c:pt idx="194">
                  <c:v>10.873052677349062</c:v>
                </c:pt>
                <c:pt idx="195">
                  <c:v>10.583616295896748</c:v>
                </c:pt>
                <c:pt idx="196">
                  <c:v>10.432283688268345</c:v>
                </c:pt>
                <c:pt idx="197">
                  <c:v>10.570550427080468</c:v>
                </c:pt>
                <c:pt idx="198">
                  <c:v>11.02916710023089</c:v>
                </c:pt>
                <c:pt idx="199">
                  <c:v>11.519094176192064</c:v>
                </c:pt>
                <c:pt idx="200">
                  <c:v>10.9017736111111</c:v>
                </c:pt>
                <c:pt idx="201">
                  <c:v>11.0823013888888</c:v>
                </c:pt>
                <c:pt idx="202">
                  <c:v>10.551151388888799</c:v>
                </c:pt>
                <c:pt idx="203">
                  <c:v>10.541204166666599</c:v>
                </c:pt>
                <c:pt idx="204">
                  <c:v>10.483369444444399</c:v>
                </c:pt>
                <c:pt idx="205">
                  <c:v>10.494145833333301</c:v>
                </c:pt>
                <c:pt idx="206">
                  <c:v>10.532490277777701</c:v>
                </c:pt>
                <c:pt idx="207">
                  <c:v>10.5872777777777</c:v>
                </c:pt>
                <c:pt idx="208">
                  <c:v>10.566976388888801</c:v>
                </c:pt>
                <c:pt idx="209">
                  <c:v>10.5554138888888</c:v>
                </c:pt>
                <c:pt idx="210">
                  <c:v>10.5165805555555</c:v>
                </c:pt>
                <c:pt idx="211">
                  <c:v>10.5410277777777</c:v>
                </c:pt>
                <c:pt idx="212">
                  <c:v>10.464655555555501</c:v>
                </c:pt>
                <c:pt idx="213">
                  <c:v>10.296952777777699</c:v>
                </c:pt>
                <c:pt idx="214">
                  <c:v>10.0838902777777</c:v>
                </c:pt>
                <c:pt idx="215">
                  <c:v>9.9633236111111092</c:v>
                </c:pt>
                <c:pt idx="216">
                  <c:v>9.9029208333333294</c:v>
                </c:pt>
                <c:pt idx="217">
                  <c:v>9.9203069444444392</c:v>
                </c:pt>
                <c:pt idx="218">
                  <c:v>9.8994736111111106</c:v>
                </c:pt>
                <c:pt idx="219">
                  <c:v>9.8584388888888892</c:v>
                </c:pt>
                <c:pt idx="220">
                  <c:v>9.74898611111111</c:v>
                </c:pt>
                <c:pt idx="221">
                  <c:v>9.5912305555555495</c:v>
                </c:pt>
                <c:pt idx="222">
                  <c:v>9.5204458333333299</c:v>
                </c:pt>
                <c:pt idx="223">
                  <c:v>9.4968305555555492</c:v>
                </c:pt>
                <c:pt idx="224">
                  <c:v>9.5346847222222202</c:v>
                </c:pt>
                <c:pt idx="225">
                  <c:v>9.7111458333333296</c:v>
                </c:pt>
                <c:pt idx="226">
                  <c:v>9.9330361111111092</c:v>
                </c:pt>
                <c:pt idx="227">
                  <c:v>10.0613833333333</c:v>
                </c:pt>
                <c:pt idx="228">
                  <c:v>10.0218541666666</c:v>
                </c:pt>
                <c:pt idx="229">
                  <c:v>9.9124736111111105</c:v>
                </c:pt>
                <c:pt idx="230">
                  <c:v>9.9332944444444404</c:v>
                </c:pt>
                <c:pt idx="231">
                  <c:v>9.9623041666666605</c:v>
                </c:pt>
                <c:pt idx="232">
                  <c:v>9.9605208333333302</c:v>
                </c:pt>
                <c:pt idx="233">
                  <c:v>9.9538444444444405</c:v>
                </c:pt>
                <c:pt idx="234">
                  <c:v>9.8764097222222205</c:v>
                </c:pt>
                <c:pt idx="235">
                  <c:v>9.7763902777777698</c:v>
                </c:pt>
                <c:pt idx="236">
                  <c:v>9.7147527777777807</c:v>
                </c:pt>
                <c:pt idx="237">
                  <c:v>9.6852374999999995</c:v>
                </c:pt>
                <c:pt idx="238">
                  <c:v>9.7444249999999997</c:v>
                </c:pt>
                <c:pt idx="239">
                  <c:v>9.7627374999999894</c:v>
                </c:pt>
                <c:pt idx="240">
                  <c:v>9.8135694444444397</c:v>
                </c:pt>
                <c:pt idx="241">
                  <c:v>9.8254736111111107</c:v>
                </c:pt>
                <c:pt idx="242">
                  <c:v>9.7887805555555492</c:v>
                </c:pt>
                <c:pt idx="243">
                  <c:v>9.7431486111111099</c:v>
                </c:pt>
                <c:pt idx="244">
                  <c:v>9.7663444444444405</c:v>
                </c:pt>
                <c:pt idx="245">
                  <c:v>9.7858944444444393</c:v>
                </c:pt>
                <c:pt idx="246">
                  <c:v>9.8085416666666596</c:v>
                </c:pt>
                <c:pt idx="247">
                  <c:v>9.7963208333333291</c:v>
                </c:pt>
                <c:pt idx="248">
                  <c:v>9.7915347222222202</c:v>
                </c:pt>
                <c:pt idx="249">
                  <c:v>9.8278430555555492</c:v>
                </c:pt>
                <c:pt idx="250">
                  <c:v>9.7624388888888802</c:v>
                </c:pt>
                <c:pt idx="251">
                  <c:v>9.7279374999999995</c:v>
                </c:pt>
                <c:pt idx="252">
                  <c:v>9.7090083333333297</c:v>
                </c:pt>
                <c:pt idx="253">
                  <c:v>9.7122055555555509</c:v>
                </c:pt>
                <c:pt idx="254">
                  <c:v>9.7248861111111093</c:v>
                </c:pt>
                <c:pt idx="255">
                  <c:v>9.6477611111111106</c:v>
                </c:pt>
                <c:pt idx="256">
                  <c:v>9.6815874999999991</c:v>
                </c:pt>
                <c:pt idx="257">
                  <c:v>9.6965541666666599</c:v>
                </c:pt>
                <c:pt idx="258">
                  <c:v>9.7859944444444409</c:v>
                </c:pt>
                <c:pt idx="259">
                  <c:v>9.8443194444444408</c:v>
                </c:pt>
                <c:pt idx="260">
                  <c:v>9.8091666666666608</c:v>
                </c:pt>
                <c:pt idx="261">
                  <c:v>9.7417388888888894</c:v>
                </c:pt>
                <c:pt idx="262">
                  <c:v>9.6333473290598199</c:v>
                </c:pt>
                <c:pt idx="263">
                  <c:v>9.6337772435897406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3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xVal>
          <c:yVal>
            <c:numRef>
              <c:f>selhausen_SM_Kdose_daily!$E$8:$E$400</c:f>
              <c:numCache>
                <c:formatCode>General</c:formatCode>
                <c:ptCount val="393"/>
                <c:pt idx="0">
                  <c:v>37.529926288083438</c:v>
                </c:pt>
                <c:pt idx="1">
                  <c:v>37.132387102346634</c:v>
                </c:pt>
                <c:pt idx="2">
                  <c:v>36.982485748574895</c:v>
                </c:pt>
                <c:pt idx="3">
                  <c:v>36.836783678367865</c:v>
                </c:pt>
                <c:pt idx="4">
                  <c:v>36.905003000300084</c:v>
                </c:pt>
                <c:pt idx="5">
                  <c:v>36.996837183718362</c:v>
                </c:pt>
                <c:pt idx="6">
                  <c:v>37.859023402340235</c:v>
                </c:pt>
                <c:pt idx="7">
                  <c:v>38.384563456345639</c:v>
                </c:pt>
                <c:pt idx="8">
                  <c:v>38.30830583058308</c:v>
                </c:pt>
                <c:pt idx="9">
                  <c:v>37.756275627562829</c:v>
                </c:pt>
                <c:pt idx="10">
                  <c:v>37.901315131513144</c:v>
                </c:pt>
                <c:pt idx="11">
                  <c:v>38.047504750475063</c:v>
                </c:pt>
                <c:pt idx="12">
                  <c:v>37.642864286428711</c:v>
                </c:pt>
                <c:pt idx="13">
                  <c:v>36.433868386838711</c:v>
                </c:pt>
                <c:pt idx="14">
                  <c:v>35.454382938294323</c:v>
                </c:pt>
                <c:pt idx="15">
                  <c:v>35.603960396039604</c:v>
                </c:pt>
                <c:pt idx="16">
                  <c:v>36.284715971597208</c:v>
                </c:pt>
                <c:pt idx="17">
                  <c:v>37.116574157415748</c:v>
                </c:pt>
                <c:pt idx="18">
                  <c:v>36.950157515751577</c:v>
                </c:pt>
                <c:pt idx="19">
                  <c:v>36.795542054205498</c:v>
                </c:pt>
                <c:pt idx="20">
                  <c:v>36.61816181618164</c:v>
                </c:pt>
                <c:pt idx="21">
                  <c:v>37.642301730173081</c:v>
                </c:pt>
                <c:pt idx="22">
                  <c:v>38.217384238423854</c:v>
                </c:pt>
                <c:pt idx="23">
                  <c:v>38.316594159415935</c:v>
                </c:pt>
                <c:pt idx="24">
                  <c:v>37.099722472247251</c:v>
                </c:pt>
                <c:pt idx="25">
                  <c:v>37.357810781078122</c:v>
                </c:pt>
                <c:pt idx="26">
                  <c:v>37.370549554955538</c:v>
                </c:pt>
                <c:pt idx="27">
                  <c:v>37.991624162416286</c:v>
                </c:pt>
                <c:pt idx="28">
                  <c:v>37.275440044004405</c:v>
                </c:pt>
                <c:pt idx="29">
                  <c:v>36.864586458645903</c:v>
                </c:pt>
                <c:pt idx="30">
                  <c:v>35.790416541654189</c:v>
                </c:pt>
                <c:pt idx="31">
                  <c:v>37.113127073576955</c:v>
                </c:pt>
                <c:pt idx="32">
                  <c:v>37.108289089778573</c:v>
                </c:pt>
                <c:pt idx="33">
                  <c:v>36.439584719341589</c:v>
                </c:pt>
                <c:pt idx="34">
                  <c:v>36.410828582858322</c:v>
                </c:pt>
                <c:pt idx="35">
                  <c:v>36.90190269026904</c:v>
                </c:pt>
                <c:pt idx="36">
                  <c:v>36.931155615561565</c:v>
                </c:pt>
                <c:pt idx="37">
                  <c:v>35.852972797279755</c:v>
                </c:pt>
                <c:pt idx="38">
                  <c:v>34.838608860886595</c:v>
                </c:pt>
                <c:pt idx="39">
                  <c:v>34.414141414142215</c:v>
                </c:pt>
                <c:pt idx="40">
                  <c:v>34.40836583658416</c:v>
                </c:pt>
                <c:pt idx="41">
                  <c:v>35.879075407540782</c:v>
                </c:pt>
                <c:pt idx="42">
                  <c:v>37.102685268526912</c:v>
                </c:pt>
                <c:pt idx="43">
                  <c:v>37.728997899790016</c:v>
                </c:pt>
                <c:pt idx="44">
                  <c:v>37.289216421642223</c:v>
                </c:pt>
                <c:pt idx="45">
                  <c:v>36.29771727172718</c:v>
                </c:pt>
                <c:pt idx="46">
                  <c:v>35.898339833983428</c:v>
                </c:pt>
                <c:pt idx="47">
                  <c:v>35.166329132913589</c:v>
                </c:pt>
                <c:pt idx="48">
                  <c:v>34.76105110511071</c:v>
                </c:pt>
                <c:pt idx="49">
                  <c:v>34.38411341134114</c:v>
                </c:pt>
                <c:pt idx="50">
                  <c:v>35.185143514351928</c:v>
                </c:pt>
                <c:pt idx="51">
                  <c:v>35.709545954595491</c:v>
                </c:pt>
                <c:pt idx="52">
                  <c:v>35.274377437744377</c:v>
                </c:pt>
                <c:pt idx="53">
                  <c:v>33.741674167416733</c:v>
                </c:pt>
                <c:pt idx="54">
                  <c:v>31.90445294529523</c:v>
                </c:pt>
                <c:pt idx="55">
                  <c:v>31.003462846285334</c:v>
                </c:pt>
                <c:pt idx="56">
                  <c:v>31.911753675368132</c:v>
                </c:pt>
                <c:pt idx="57">
                  <c:v>32.679780478048606</c:v>
                </c:pt>
                <c:pt idx="58">
                  <c:v>33.411166116612065</c:v>
                </c:pt>
                <c:pt idx="59">
                  <c:v>32.509463446344732</c:v>
                </c:pt>
                <c:pt idx="60">
                  <c:v>31.371112111211527</c:v>
                </c:pt>
                <c:pt idx="61">
                  <c:v>30.484260926092709</c:v>
                </c:pt>
                <c:pt idx="62">
                  <c:v>31.936443644364537</c:v>
                </c:pt>
                <c:pt idx="63">
                  <c:v>35.197269726972998</c:v>
                </c:pt>
                <c:pt idx="64">
                  <c:v>27.833508350835277</c:v>
                </c:pt>
                <c:pt idx="65">
                  <c:v>31.670142014201627</c:v>
                </c:pt>
                <c:pt idx="66">
                  <c:v>35.867236723672463</c:v>
                </c:pt>
                <c:pt idx="67">
                  <c:v>35.891801680168044</c:v>
                </c:pt>
                <c:pt idx="68">
                  <c:v>35.438543854386133</c:v>
                </c:pt>
                <c:pt idx="69">
                  <c:v>35.549492449245733</c:v>
                </c:pt>
                <c:pt idx="70">
                  <c:v>34.476847684768671</c:v>
                </c:pt>
                <c:pt idx="71">
                  <c:v>32.555118011801987</c:v>
                </c:pt>
                <c:pt idx="72">
                  <c:v>29.648727372738072</c:v>
                </c:pt>
                <c:pt idx="73">
                  <c:v>27.338296329633657</c:v>
                </c:pt>
                <c:pt idx="74">
                  <c:v>25.151145471690374</c:v>
                </c:pt>
                <c:pt idx="75">
                  <c:v>24.027120569199823</c:v>
                </c:pt>
                <c:pt idx="76">
                  <c:v>24.136418999043201</c:v>
                </c:pt>
                <c:pt idx="77">
                  <c:v>26.995287028702968</c:v>
                </c:pt>
                <c:pt idx="78">
                  <c:v>30.339408940894693</c:v>
                </c:pt>
                <c:pt idx="79">
                  <c:v>32.42524252425293</c:v>
                </c:pt>
                <c:pt idx="80">
                  <c:v>31.875330714890183</c:v>
                </c:pt>
                <c:pt idx="81">
                  <c:v>30.149483130131415</c:v>
                </c:pt>
                <c:pt idx="82">
                  <c:v>29.99109910991179</c:v>
                </c:pt>
                <c:pt idx="83">
                  <c:v>30.247187218721876</c:v>
                </c:pt>
                <c:pt idx="84">
                  <c:v>32.529990499050406</c:v>
                </c:pt>
                <c:pt idx="85">
                  <c:v>32.918974879837535</c:v>
                </c:pt>
                <c:pt idx="86">
                  <c:v>33.859010649599178</c:v>
                </c:pt>
                <c:pt idx="87">
                  <c:v>33.325225168665867</c:v>
                </c:pt>
                <c:pt idx="88">
                  <c:v>33.187686194164975</c:v>
                </c:pt>
                <c:pt idx="89">
                  <c:v>33.645367441473716</c:v>
                </c:pt>
                <c:pt idx="90">
                  <c:v>34.724494840081448</c:v>
                </c:pt>
                <c:pt idx="91">
                  <c:v>34.754984197206575</c:v>
                </c:pt>
                <c:pt idx="92">
                  <c:v>35.244305427296403</c:v>
                </c:pt>
                <c:pt idx="93">
                  <c:v>35.091341994985996</c:v>
                </c:pt>
                <c:pt idx="94">
                  <c:v>34.98785207324309</c:v>
                </c:pt>
                <c:pt idx="95">
                  <c:v>33.395135816039527</c:v>
                </c:pt>
                <c:pt idx="96">
                  <c:v>32.301892444250093</c:v>
                </c:pt>
                <c:pt idx="97">
                  <c:v>30.544498585771759</c:v>
                </c:pt>
                <c:pt idx="98">
                  <c:v>29.667136937435718</c:v>
                </c:pt>
                <c:pt idx="99">
                  <c:v>27.560116723614534</c:v>
                </c:pt>
                <c:pt idx="100">
                  <c:v>26.154847500521488</c:v>
                </c:pt>
                <c:pt idx="101">
                  <c:v>26.477291802404618</c:v>
                </c:pt>
                <c:pt idx="102">
                  <c:v>26.698579670131323</c:v>
                </c:pt>
                <c:pt idx="103">
                  <c:v>27.719002829967607</c:v>
                </c:pt>
                <c:pt idx="104">
                  <c:v>26.566615553913707</c:v>
                </c:pt>
                <c:pt idx="105">
                  <c:v>26.018082728768118</c:v>
                </c:pt>
                <c:pt idx="106">
                  <c:v>25.488909485835006</c:v>
                </c:pt>
                <c:pt idx="107">
                  <c:v>25.75841026664499</c:v>
                </c:pt>
                <c:pt idx="108">
                  <c:v>26.171004593294541</c:v>
                </c:pt>
                <c:pt idx="109">
                  <c:v>27.019107457098379</c:v>
                </c:pt>
                <c:pt idx="110">
                  <c:v>29.396569685713466</c:v>
                </c:pt>
                <c:pt idx="111">
                  <c:v>31.188863976870859</c:v>
                </c:pt>
                <c:pt idx="112">
                  <c:v>32.491064082859687</c:v>
                </c:pt>
                <c:pt idx="113">
                  <c:v>32.210933747442674</c:v>
                </c:pt>
                <c:pt idx="114">
                  <c:v>31.185922183117313</c:v>
                </c:pt>
                <c:pt idx="115">
                  <c:v>28.886373965299061</c:v>
                </c:pt>
                <c:pt idx="116">
                  <c:v>26.274593586679135</c:v>
                </c:pt>
                <c:pt idx="117">
                  <c:v>24.024993273385629</c:v>
                </c:pt>
                <c:pt idx="118">
                  <c:v>21.977007883900242</c:v>
                </c:pt>
                <c:pt idx="119">
                  <c:v>21.080468411639217</c:v>
                </c:pt>
                <c:pt idx="120">
                  <c:v>20.545401581448154</c:v>
                </c:pt>
                <c:pt idx="121">
                  <c:v>23.844055312535886</c:v>
                </c:pt>
                <c:pt idx="122">
                  <c:v>27.298531140009409</c:v>
                </c:pt>
                <c:pt idx="123">
                  <c:v>31.851638488926554</c:v>
                </c:pt>
                <c:pt idx="124">
                  <c:v>33.516152597429347</c:v>
                </c:pt>
                <c:pt idx="125">
                  <c:v>33.51066336018706</c:v>
                </c:pt>
                <c:pt idx="126">
                  <c:v>32.56649776004479</c:v>
                </c:pt>
                <c:pt idx="127">
                  <c:v>30.132531656207828</c:v>
                </c:pt>
                <c:pt idx="128">
                  <c:v>28.261383775438397</c:v>
                </c:pt>
                <c:pt idx="129">
                  <c:v>25.784031057257735</c:v>
                </c:pt>
                <c:pt idx="130">
                  <c:v>23.657096330112246</c:v>
                </c:pt>
                <c:pt idx="131">
                  <c:v>22.570124860984816</c:v>
                </c:pt>
                <c:pt idx="132">
                  <c:v>21.566748247986894</c:v>
                </c:pt>
                <c:pt idx="133">
                  <c:v>24.209185043264274</c:v>
                </c:pt>
                <c:pt idx="134">
                  <c:v>26.472617444872423</c:v>
                </c:pt>
                <c:pt idx="135">
                  <c:v>28.132948902992247</c:v>
                </c:pt>
                <c:pt idx="136">
                  <c:v>25.932940016368253</c:v>
                </c:pt>
                <c:pt idx="137">
                  <c:v>25.139377271980837</c:v>
                </c:pt>
                <c:pt idx="138">
                  <c:v>25.342707079287482</c:v>
                </c:pt>
                <c:pt idx="139">
                  <c:v>25.724296839985247</c:v>
                </c:pt>
                <c:pt idx="140">
                  <c:v>23.675061631588683</c:v>
                </c:pt>
                <c:pt idx="141">
                  <c:v>21.395968624024128</c:v>
                </c:pt>
                <c:pt idx="142">
                  <c:v>19.842125962576699</c:v>
                </c:pt>
                <c:pt idx="143">
                  <c:v>19.018874455336256</c:v>
                </c:pt>
                <c:pt idx="144">
                  <c:v>18.802303545824618</c:v>
                </c:pt>
                <c:pt idx="145">
                  <c:v>19.204930533461738</c:v>
                </c:pt>
                <c:pt idx="146">
                  <c:v>19.153574155676242</c:v>
                </c:pt>
                <c:pt idx="147">
                  <c:v>19.92547606265158</c:v>
                </c:pt>
                <c:pt idx="148">
                  <c:v>21.846009187847919</c:v>
                </c:pt>
                <c:pt idx="149">
                  <c:v>24.60757953781356</c:v>
                </c:pt>
                <c:pt idx="150">
                  <c:v>25.222939570086236</c:v>
                </c:pt>
                <c:pt idx="151">
                  <c:v>23.23107059749281</c:v>
                </c:pt>
                <c:pt idx="152">
                  <c:v>21.216789417142174</c:v>
                </c:pt>
                <c:pt idx="153">
                  <c:v>22.019344151281619</c:v>
                </c:pt>
                <c:pt idx="154">
                  <c:v>24.694610669556372</c:v>
                </c:pt>
                <c:pt idx="155">
                  <c:v>26.559457987503642</c:v>
                </c:pt>
                <c:pt idx="156">
                  <c:v>27.493006280538136</c:v>
                </c:pt>
                <c:pt idx="157">
                  <c:v>26.685559664431597</c:v>
                </c:pt>
                <c:pt idx="158">
                  <c:v>25.392816098540084</c:v>
                </c:pt>
                <c:pt idx="159">
                  <c:v>23.704360715825288</c:v>
                </c:pt>
                <c:pt idx="160">
                  <c:v>22.399868198674927</c:v>
                </c:pt>
                <c:pt idx="161">
                  <c:v>21.411823833511438</c:v>
                </c:pt>
                <c:pt idx="162">
                  <c:v>20.462894187871196</c:v>
                </c:pt>
                <c:pt idx="163">
                  <c:v>19.607938545568064</c:v>
                </c:pt>
                <c:pt idx="164">
                  <c:v>18.681059618688877</c:v>
                </c:pt>
                <c:pt idx="165">
                  <c:v>15.821326523525203</c:v>
                </c:pt>
                <c:pt idx="166">
                  <c:v>17.519740981497073</c:v>
                </c:pt>
                <c:pt idx="167">
                  <c:v>20.096271035326968</c:v>
                </c:pt>
                <c:pt idx="168">
                  <c:v>24.005581916356757</c:v>
                </c:pt>
                <c:pt idx="169">
                  <c:v>23.919754510830057</c:v>
                </c:pt>
                <c:pt idx="170">
                  <c:v>25.344397580928838</c:v>
                </c:pt>
                <c:pt idx="171">
                  <c:v>26.88056407312823</c:v>
                </c:pt>
                <c:pt idx="172">
                  <c:v>27.708581592604709</c:v>
                </c:pt>
                <c:pt idx="173">
                  <c:v>26.674264407040571</c:v>
                </c:pt>
                <c:pt idx="174">
                  <c:v>25.345393719032209</c:v>
                </c:pt>
                <c:pt idx="175">
                  <c:v>23.917454273081223</c:v>
                </c:pt>
                <c:pt idx="176">
                  <c:v>21.895744899140357</c:v>
                </c:pt>
                <c:pt idx="177">
                  <c:v>22.721389701001343</c:v>
                </c:pt>
                <c:pt idx="178">
                  <c:v>23.575746426873465</c:v>
                </c:pt>
                <c:pt idx="179">
                  <c:v>24.645490666364466</c:v>
                </c:pt>
                <c:pt idx="180">
                  <c:v>22.504500247580644</c:v>
                </c:pt>
                <c:pt idx="181">
                  <c:v>20.686471998718087</c:v>
                </c:pt>
                <c:pt idx="182">
                  <c:v>20.196115635482062</c:v>
                </c:pt>
                <c:pt idx="183">
                  <c:v>19.943834186138144</c:v>
                </c:pt>
                <c:pt idx="184">
                  <c:v>19.21619065189206</c:v>
                </c:pt>
                <c:pt idx="185">
                  <c:v>17.567254651786723</c:v>
                </c:pt>
                <c:pt idx="186">
                  <c:v>16.970294945568011</c:v>
                </c:pt>
                <c:pt idx="187">
                  <c:v>18.903796271469123</c:v>
                </c:pt>
                <c:pt idx="188">
                  <c:v>21.006417845404791</c:v>
                </c:pt>
                <c:pt idx="189">
                  <c:v>22.878285081554754</c:v>
                </c:pt>
                <c:pt idx="190">
                  <c:v>22.652216455750114</c:v>
                </c:pt>
                <c:pt idx="191">
                  <c:v>22.445148731567112</c:v>
                </c:pt>
                <c:pt idx="192">
                  <c:v>23.137629053302724</c:v>
                </c:pt>
                <c:pt idx="193">
                  <c:v>24.809817050246874</c:v>
                </c:pt>
                <c:pt idx="194">
                  <c:v>27.767302634121858</c:v>
                </c:pt>
                <c:pt idx="195">
                  <c:v>30.372490585987865</c:v>
                </c:pt>
                <c:pt idx="196">
                  <c:v>31.734620267611653</c:v>
                </c:pt>
                <c:pt idx="197">
                  <c:v>30.490095165792368</c:v>
                </c:pt>
                <c:pt idx="198">
                  <c:v>26.362132311153111</c:v>
                </c:pt>
                <c:pt idx="199">
                  <c:v>21.952347649036323</c:v>
                </c:pt>
                <c:pt idx="200">
                  <c:v>27.508788378837984</c:v>
                </c:pt>
                <c:pt idx="201">
                  <c:v>25.883875887589564</c:v>
                </c:pt>
                <c:pt idx="202">
                  <c:v>30.664703970397845</c:v>
                </c:pt>
                <c:pt idx="203">
                  <c:v>30.754237923792989</c:v>
                </c:pt>
                <c:pt idx="204">
                  <c:v>31.274802480248432</c:v>
                </c:pt>
                <c:pt idx="205">
                  <c:v>31.177805280528347</c:v>
                </c:pt>
                <c:pt idx="206">
                  <c:v>30.832670767077403</c:v>
                </c:pt>
                <c:pt idx="207">
                  <c:v>30.339533953396039</c:v>
                </c:pt>
                <c:pt idx="208">
                  <c:v>30.522264726473441</c:v>
                </c:pt>
                <c:pt idx="209">
                  <c:v>30.626337633764173</c:v>
                </c:pt>
                <c:pt idx="210">
                  <c:v>30.975872587259229</c:v>
                </c:pt>
                <c:pt idx="211">
                  <c:v>30.755825582558959</c:v>
                </c:pt>
                <c:pt idx="212">
                  <c:v>31.443244324432936</c:v>
                </c:pt>
                <c:pt idx="213">
                  <c:v>32.952720272027911</c:v>
                </c:pt>
                <c:pt idx="214">
                  <c:v>34.870474547455451</c:v>
                </c:pt>
                <c:pt idx="215">
                  <c:v>35.955683068306847</c:v>
                </c:pt>
                <c:pt idx="216">
                  <c:v>36.499362436243658</c:v>
                </c:pt>
                <c:pt idx="217">
                  <c:v>36.342871787178765</c:v>
                </c:pt>
                <c:pt idx="218">
                  <c:v>36.530390539053911</c:v>
                </c:pt>
                <c:pt idx="219">
                  <c:v>36.899739973997399</c:v>
                </c:pt>
                <c:pt idx="220">
                  <c:v>37.884913491349145</c:v>
                </c:pt>
                <c:pt idx="221">
                  <c:v>39.304855485548607</c:v>
                </c:pt>
                <c:pt idx="222">
                  <c:v>39.941981698169847</c:v>
                </c:pt>
                <c:pt idx="223">
                  <c:v>40.15454045404546</c:v>
                </c:pt>
                <c:pt idx="224">
                  <c:v>39.81381888188821</c:v>
                </c:pt>
                <c:pt idx="225">
                  <c:v>38.225510051005138</c:v>
                </c:pt>
                <c:pt idx="226">
                  <c:v>36.228297829782996</c:v>
                </c:pt>
                <c:pt idx="227">
                  <c:v>35.073057305730877</c:v>
                </c:pt>
                <c:pt idx="228">
                  <c:v>35.428855385539158</c:v>
                </c:pt>
                <c:pt idx="229">
                  <c:v>36.413378837883798</c:v>
                </c:pt>
                <c:pt idx="230">
                  <c:v>36.225972597259762</c:v>
                </c:pt>
                <c:pt idx="231">
                  <c:v>35.964858985898644</c:v>
                </c:pt>
                <c:pt idx="232">
                  <c:v>35.980910591059136</c:v>
                </c:pt>
                <c:pt idx="233">
                  <c:v>36.041004100410078</c:v>
                </c:pt>
                <c:pt idx="234">
                  <c:v>36.737986298629878</c:v>
                </c:pt>
                <c:pt idx="235">
                  <c:v>37.638251325132586</c:v>
                </c:pt>
                <c:pt idx="236">
                  <c:v>38.193044304430416</c:v>
                </c:pt>
                <c:pt idx="237">
                  <c:v>38.458708370837087</c:v>
                </c:pt>
                <c:pt idx="238">
                  <c:v>37.925967596759676</c:v>
                </c:pt>
                <c:pt idx="239">
                  <c:v>37.761138613861483</c:v>
                </c:pt>
                <c:pt idx="240">
                  <c:v>37.303605360536096</c:v>
                </c:pt>
                <c:pt idx="241">
                  <c:v>37.196457145714575</c:v>
                </c:pt>
                <c:pt idx="242">
                  <c:v>37.526727672767336</c:v>
                </c:pt>
                <c:pt idx="243">
                  <c:v>37.937456245624574</c:v>
                </c:pt>
                <c:pt idx="244">
                  <c:v>37.728672867286761</c:v>
                </c:pt>
                <c:pt idx="245">
                  <c:v>37.552705270527099</c:v>
                </c:pt>
                <c:pt idx="246">
                  <c:v>37.348859885988659</c:v>
                </c:pt>
                <c:pt idx="247">
                  <c:v>37.458858385838624</c:v>
                </c:pt>
                <c:pt idx="248">
                  <c:v>37.501937693769392</c:v>
                </c:pt>
                <c:pt idx="249">
                  <c:v>37.175130013001358</c:v>
                </c:pt>
                <c:pt idx="250">
                  <c:v>37.763826382638342</c:v>
                </c:pt>
                <c:pt idx="251">
                  <c:v>38.074369936993705</c:v>
                </c:pt>
                <c:pt idx="252">
                  <c:v>38.244749474947525</c:v>
                </c:pt>
                <c:pt idx="253">
                  <c:v>38.215971597159758</c:v>
                </c:pt>
                <c:pt idx="254">
                  <c:v>38.101835183518368</c:v>
                </c:pt>
                <c:pt idx="255">
                  <c:v>38.796029602960303</c:v>
                </c:pt>
                <c:pt idx="256">
                  <c:v>38.491561656165622</c:v>
                </c:pt>
                <c:pt idx="257">
                  <c:v>38.356848184818546</c:v>
                </c:pt>
                <c:pt idx="258">
                  <c:v>37.551805180518087</c:v>
                </c:pt>
                <c:pt idx="259">
                  <c:v>37.026827682768307</c:v>
                </c:pt>
                <c:pt idx="260">
                  <c:v>37.343234323432398</c:v>
                </c:pt>
                <c:pt idx="261">
                  <c:v>37.950145014501445</c:v>
                </c:pt>
                <c:pt idx="262">
                  <c:v>38.925766615123131</c:v>
                </c:pt>
                <c:pt idx="263">
                  <c:v>38.921896997392075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9.78842518939393</c:v>
                </c:pt>
                <c:pt idx="1">
                  <c:v>9.8325917929292892</c:v>
                </c:pt>
                <c:pt idx="2">
                  <c:v>9.8492458333333293</c:v>
                </c:pt>
                <c:pt idx="3">
                  <c:v>9.8654333333333302</c:v>
                </c:pt>
                <c:pt idx="4">
                  <c:v>9.8578541666666606</c:v>
                </c:pt>
                <c:pt idx="5">
                  <c:v>9.8476513888888899</c:v>
                </c:pt>
                <c:pt idx="6">
                  <c:v>9.7518624999999997</c:v>
                </c:pt>
                <c:pt idx="7">
                  <c:v>9.6934749999999994</c:v>
                </c:pt>
                <c:pt idx="8">
                  <c:v>9.7019472222222198</c:v>
                </c:pt>
                <c:pt idx="9">
                  <c:v>9.7632777777777697</c:v>
                </c:pt>
                <c:pt idx="10">
                  <c:v>9.7471638888888901</c:v>
                </c:pt>
                <c:pt idx="11">
                  <c:v>9.7309222222222207</c:v>
                </c:pt>
                <c:pt idx="12">
                  <c:v>9.7758777777777706</c:v>
                </c:pt>
                <c:pt idx="13">
                  <c:v>9.9101972222222194</c:v>
                </c:pt>
                <c:pt idx="14">
                  <c:v>10.019018055555501</c:v>
                </c:pt>
                <c:pt idx="15">
                  <c:v>10.0024</c:v>
                </c:pt>
                <c:pt idx="16">
                  <c:v>9.9267680555555504</c:v>
                </c:pt>
                <c:pt idx="17">
                  <c:v>9.8343486111111105</c:v>
                </c:pt>
                <c:pt idx="18">
                  <c:v>9.8528374999999997</c:v>
                </c:pt>
                <c:pt idx="19">
                  <c:v>9.8700152777777692</c:v>
                </c:pt>
                <c:pt idx="20">
                  <c:v>9.8897222222222201</c:v>
                </c:pt>
                <c:pt idx="21">
                  <c:v>9.7759402777777709</c:v>
                </c:pt>
                <c:pt idx="22">
                  <c:v>9.7120486111111095</c:v>
                </c:pt>
                <c:pt idx="23">
                  <c:v>9.7010263888888897</c:v>
                </c:pt>
                <c:pt idx="24">
                  <c:v>9.8362208333333303</c:v>
                </c:pt>
                <c:pt idx="25">
                  <c:v>9.8075472222222206</c:v>
                </c:pt>
                <c:pt idx="26">
                  <c:v>9.8061319444444397</c:v>
                </c:pt>
                <c:pt idx="27">
                  <c:v>9.7371305555555505</c:v>
                </c:pt>
                <c:pt idx="28">
                  <c:v>9.8166986111111108</c:v>
                </c:pt>
                <c:pt idx="29">
                  <c:v>9.8623444444444406</c:v>
                </c:pt>
                <c:pt idx="30">
                  <c:v>9.9816847222222194</c:v>
                </c:pt>
                <c:pt idx="31">
                  <c:v>9.8347315821256007</c:v>
                </c:pt>
                <c:pt idx="32">
                  <c:v>9.8352690821256008</c:v>
                </c:pt>
                <c:pt idx="33">
                  <c:v>9.9095621376811494</c:v>
                </c:pt>
                <c:pt idx="34">
                  <c:v>9.9127569444444408</c:v>
                </c:pt>
                <c:pt idx="35">
                  <c:v>9.85819861111111</c:v>
                </c:pt>
                <c:pt idx="36">
                  <c:v>9.8549486111111104</c:v>
                </c:pt>
                <c:pt idx="37">
                  <c:v>9.9747347222222196</c:v>
                </c:pt>
                <c:pt idx="38">
                  <c:v>10.0874305555555</c:v>
                </c:pt>
                <c:pt idx="39">
                  <c:v>10.1345888888888</c:v>
                </c:pt>
                <c:pt idx="40">
                  <c:v>10.1352305555555</c:v>
                </c:pt>
                <c:pt idx="41">
                  <c:v>9.9718347222222192</c:v>
                </c:pt>
                <c:pt idx="42">
                  <c:v>9.8358916666666598</c:v>
                </c:pt>
                <c:pt idx="43">
                  <c:v>9.7663083333333294</c:v>
                </c:pt>
                <c:pt idx="44">
                  <c:v>9.8151680555555494</c:v>
                </c:pt>
                <c:pt idx="45">
                  <c:v>9.9253236111111107</c:v>
                </c:pt>
                <c:pt idx="46">
                  <c:v>9.9696944444444409</c:v>
                </c:pt>
                <c:pt idx="47">
                  <c:v>10.0510208333333</c:v>
                </c:pt>
                <c:pt idx="48">
                  <c:v>10.0960472222222</c:v>
                </c:pt>
                <c:pt idx="49">
                  <c:v>10.137924999999999</c:v>
                </c:pt>
                <c:pt idx="50">
                  <c:v>10.048930555555501</c:v>
                </c:pt>
                <c:pt idx="51">
                  <c:v>9.9906694444444408</c:v>
                </c:pt>
                <c:pt idx="52">
                  <c:v>10.039016666666599</c:v>
                </c:pt>
                <c:pt idx="53">
                  <c:v>10.209300000000001</c:v>
                </c:pt>
                <c:pt idx="54">
                  <c:v>10.4134152777777</c:v>
                </c:pt>
                <c:pt idx="55">
                  <c:v>10.513515277777699</c:v>
                </c:pt>
                <c:pt idx="56">
                  <c:v>10.4126041666666</c:v>
                </c:pt>
                <c:pt idx="57">
                  <c:v>10.3272763888888</c:v>
                </c:pt>
                <c:pt idx="58">
                  <c:v>10.2460194444444</c:v>
                </c:pt>
                <c:pt idx="59">
                  <c:v>10.346198611111101</c:v>
                </c:pt>
                <c:pt idx="60">
                  <c:v>10.472669444444399</c:v>
                </c:pt>
                <c:pt idx="61">
                  <c:v>10.5711986111111</c:v>
                </c:pt>
                <c:pt idx="62">
                  <c:v>10.4098611111111</c:v>
                </c:pt>
                <c:pt idx="63">
                  <c:v>10.0475833333333</c:v>
                </c:pt>
                <c:pt idx="64">
                  <c:v>10.865697222222201</c:v>
                </c:pt>
                <c:pt idx="65">
                  <c:v>10.439447222222199</c:v>
                </c:pt>
                <c:pt idx="66">
                  <c:v>9.9731499999999897</c:v>
                </c:pt>
                <c:pt idx="67">
                  <c:v>9.9704208333333302</c:v>
                </c:pt>
                <c:pt idx="68">
                  <c:v>10.020777777777701</c:v>
                </c:pt>
                <c:pt idx="69">
                  <c:v>10.008451388888799</c:v>
                </c:pt>
                <c:pt idx="70">
                  <c:v>10.1276222222222</c:v>
                </c:pt>
                <c:pt idx="71">
                  <c:v>10.341126388888799</c:v>
                </c:pt>
                <c:pt idx="72">
                  <c:v>10.6640263888888</c:v>
                </c:pt>
                <c:pt idx="73">
                  <c:v>10.920715277777701</c:v>
                </c:pt>
                <c:pt idx="74">
                  <c:v>11.1637077380952</c:v>
                </c:pt>
                <c:pt idx="75">
                  <c:v>11.2885869047619</c:v>
                </c:pt>
                <c:pt idx="76">
                  <c:v>11.2764438492063</c:v>
                </c:pt>
                <c:pt idx="77">
                  <c:v>10.9588236111111</c:v>
                </c:pt>
                <c:pt idx="78">
                  <c:v>10.5872916666666</c:v>
                </c:pt>
                <c:pt idx="79">
                  <c:v>10.355555555555499</c:v>
                </c:pt>
                <c:pt idx="80">
                  <c:v>10.416650757575701</c:v>
                </c:pt>
                <c:pt idx="81">
                  <c:v>10.6083924242424</c:v>
                </c:pt>
                <c:pt idx="82">
                  <c:v>10.6259888888888</c:v>
                </c:pt>
                <c:pt idx="83">
                  <c:v>10.5975375</c:v>
                </c:pt>
                <c:pt idx="84">
                  <c:v>10.3439180555555</c:v>
                </c:pt>
                <c:pt idx="85">
                  <c:v>10.30070189085005</c:v>
                </c:pt>
                <c:pt idx="86">
                  <c:v>10.196263916829531</c:v>
                </c:pt>
                <c:pt idx="87">
                  <c:v>10.255567483761222</c:v>
                </c:pt>
                <c:pt idx="88">
                  <c:v>10.270848063828272</c:v>
                </c:pt>
                <c:pt idx="89">
                  <c:v>10.21999967725227</c:v>
                </c:pt>
                <c:pt idx="90">
                  <c:v>10.100108623266951</c:v>
                </c:pt>
                <c:pt idx="91">
                  <c:v>10.096721255690349</c:v>
                </c:pt>
                <c:pt idx="92">
                  <c:v>10.042357667027369</c:v>
                </c:pt>
                <c:pt idx="93">
                  <c:v>10.059351904357056</c:v>
                </c:pt>
                <c:pt idx="94">
                  <c:v>10.070849634662693</c:v>
                </c:pt>
                <c:pt idx="95">
                  <c:v>10.247800410838009</c:v>
                </c:pt>
                <c:pt idx="96">
                  <c:v>10.369259749443815</c:v>
                </c:pt>
                <c:pt idx="97">
                  <c:v>10.564506207120758</c:v>
                </c:pt>
                <c:pt idx="98">
                  <c:v>10.661981086250892</c:v>
                </c:pt>
                <c:pt idx="99">
                  <c:v>10.896071032006425</c:v>
                </c:pt>
                <c:pt idx="100">
                  <c:v>11.052196442692063</c:v>
                </c:pt>
                <c:pt idx="101">
                  <c:v>11.016372880752847</c:v>
                </c:pt>
                <c:pt idx="102">
                  <c:v>10.99178779864841</c:v>
                </c:pt>
                <c:pt idx="103">
                  <c:v>10.878418785590599</c:v>
                </c:pt>
                <c:pt idx="104">
                  <c:v>11.006449011960187</c:v>
                </c:pt>
                <c:pt idx="105">
                  <c:v>11.067391008833862</c:v>
                </c:pt>
                <c:pt idx="106">
                  <c:v>11.126182156123731</c:v>
                </c:pt>
                <c:pt idx="107">
                  <c:v>11.096240619375742</c:v>
                </c:pt>
                <c:pt idx="108">
                  <c:v>11.050401389684977</c:v>
                </c:pt>
                <c:pt idx="109">
                  <c:v>10.95617716151637</c:v>
                </c:pt>
                <c:pt idx="110">
                  <c:v>10.692041107917234</c:v>
                </c:pt>
                <c:pt idx="111">
                  <c:v>10.492917212169647</c:v>
                </c:pt>
                <c:pt idx="112">
                  <c:v>10.348242780394289</c:v>
                </c:pt>
                <c:pt idx="113">
                  <c:v>10.379365260659119</c:v>
                </c:pt>
                <c:pt idx="114">
                  <c:v>10.493244045455667</c:v>
                </c:pt>
                <c:pt idx="115">
                  <c:v>10.748723852455274</c:v>
                </c:pt>
                <c:pt idx="116">
                  <c:v>11.038892652519948</c:v>
                </c:pt>
                <c:pt idx="117">
                  <c:v>11.288823247326857</c:v>
                </c:pt>
                <c:pt idx="118">
                  <c:v>11.516354424098683</c:v>
                </c:pt>
                <c:pt idx="119">
                  <c:v>11.615959959466883</c:v>
                </c:pt>
                <c:pt idx="120">
                  <c:v>11.67540588430111</c:v>
                </c:pt>
                <c:pt idx="121">
                  <c:v>11.308925454777263</c:v>
                </c:pt>
                <c:pt idx="122">
                  <c:v>10.925133190344955</c:v>
                </c:pt>
                <c:pt idx="123">
                  <c:v>10.41928296388026</c:v>
                </c:pt>
                <c:pt idx="124">
                  <c:v>10.234355446425599</c:v>
                </c:pt>
                <c:pt idx="125">
                  <c:v>10.234965300683218</c:v>
                </c:pt>
                <c:pt idx="126">
                  <c:v>10.339862098859024</c:v>
                </c:pt>
                <c:pt idx="127">
                  <c:v>10.61027573299531</c:v>
                </c:pt>
                <c:pt idx="128">
                  <c:v>10.818160262548794</c:v>
                </c:pt>
                <c:pt idx="129">
                  <c:v>11.093394149538666</c:v>
                </c:pt>
                <c:pt idx="130">
                  <c:v>11.32969659772453</c:v>
                </c:pt>
                <c:pt idx="131">
                  <c:v>11.450459127944587</c:v>
                </c:pt>
                <c:pt idx="132">
                  <c:v>11.561934269648656</c:v>
                </c:pt>
                <c:pt idx="133">
                  <c:v>11.268359541693339</c:v>
                </c:pt>
                <c:pt idx="134">
                  <c:v>11.016892201874674</c:v>
                </c:pt>
                <c:pt idx="135">
                  <c:v>10.832429376877561</c:v>
                </c:pt>
                <c:pt idx="136">
                  <c:v>11.076850364181487</c:v>
                </c:pt>
                <c:pt idx="137">
                  <c:v>11.165015185082929</c:v>
                </c:pt>
                <c:pt idx="138">
                  <c:v>11.142425243491161</c:v>
                </c:pt>
                <c:pt idx="139">
                  <c:v>11.100030621077639</c:v>
                </c:pt>
                <c:pt idx="140">
                  <c:v>11.327700652730497</c:v>
                </c:pt>
                <c:pt idx="141">
                  <c:v>11.58090788587092</c:v>
                </c:pt>
                <c:pt idx="142">
                  <c:v>11.753539805557729</c:v>
                </c:pt>
                <c:pt idx="143">
                  <c:v>11.845003048012142</c:v>
                </c:pt>
                <c:pt idx="144">
                  <c:v>11.869064076058885</c:v>
                </c:pt>
                <c:pt idx="145">
                  <c:v>11.824332217732401</c:v>
                </c:pt>
                <c:pt idx="146">
                  <c:v>11.83003791130437</c:v>
                </c:pt>
                <c:pt idx="147">
                  <c:v>11.74427960943941</c:v>
                </c:pt>
                <c:pt idx="148">
                  <c:v>11.530908379230096</c:v>
                </c:pt>
                <c:pt idx="149">
                  <c:v>11.224097913348913</c:v>
                </c:pt>
                <c:pt idx="150">
                  <c:v>11.155731413763419</c:v>
                </c:pt>
                <c:pt idx="151">
                  <c:v>11.377028056618549</c:v>
                </c:pt>
                <c:pt idx="152">
                  <c:v>11.600814695755505</c:v>
                </c:pt>
                <c:pt idx="153">
                  <c:v>11.511650864792612</c:v>
                </c:pt>
                <c:pt idx="154">
                  <c:v>11.214428754612287</c:v>
                </c:pt>
                <c:pt idx="155">
                  <c:v>11.007244217588346</c:v>
                </c:pt>
                <c:pt idx="156">
                  <c:v>10.903527002232213</c:v>
                </c:pt>
                <c:pt idx="157">
                  <c:v>10.993234321281649</c:v>
                </c:pt>
                <c:pt idx="158">
                  <c:v>11.136858131452197</c:v>
                </c:pt>
                <c:pt idx="159">
                  <c:v>11.324445524471811</c:v>
                </c:pt>
                <c:pt idx="160">
                  <c:v>11.469374643127216</c:v>
                </c:pt>
                <c:pt idx="161">
                  <c:v>11.579146372096879</c:v>
                </c:pt>
                <c:pt idx="162">
                  <c:v>11.68457245572751</c:v>
                </c:pt>
                <c:pt idx="163">
                  <c:v>11.779558027587388</c:v>
                </c:pt>
                <c:pt idx="164">
                  <c:v>11.882534276363666</c:v>
                </c:pt>
                <c:pt idx="165">
                  <c:v>12.20025062323635</c:v>
                </c:pt>
                <c:pt idx="166">
                  <c:v>12.011556776955675</c:v>
                </c:pt>
                <c:pt idx="167">
                  <c:v>11.725304287975174</c:v>
                </c:pt>
                <c:pt idx="168">
                  <c:v>11.290979849092764</c:v>
                </c:pt>
                <c:pt idx="169">
                  <c:v>11.300515273846781</c:v>
                </c:pt>
                <c:pt idx="170">
                  <c:v>11.142237428758806</c:v>
                </c:pt>
                <c:pt idx="171">
                  <c:v>10.971569331475454</c:v>
                </c:pt>
                <c:pt idx="172">
                  <c:v>10.879576585061617</c:v>
                </c:pt>
                <c:pt idx="173">
                  <c:v>10.994489224377793</c:v>
                </c:pt>
                <c:pt idx="174">
                  <c:v>11.142126757815522</c:v>
                </c:pt>
                <c:pt idx="175">
                  <c:v>11.300770830260676</c:v>
                </c:pt>
                <c:pt idx="176">
                  <c:v>11.525382741705506</c:v>
                </c:pt>
                <c:pt idx="177">
                  <c:v>11.433653604218751</c:v>
                </c:pt>
                <c:pt idx="178">
                  <c:v>11.338734571974358</c:v>
                </c:pt>
                <c:pt idx="179">
                  <c:v>11.219885986966908</c:v>
                </c:pt>
                <c:pt idx="180">
                  <c:v>11.457750022493791</c:v>
                </c:pt>
                <c:pt idx="181">
                  <c:v>11.659732960942421</c:v>
                </c:pt>
                <c:pt idx="182">
                  <c:v>11.714211552897943</c:v>
                </c:pt>
                <c:pt idx="183">
                  <c:v>11.742240021920052</c:v>
                </c:pt>
                <c:pt idx="184">
                  <c:v>11.823081218574792</c:v>
                </c:pt>
                <c:pt idx="185">
                  <c:v>12.006278008186495</c:v>
                </c:pt>
                <c:pt idx="186">
                  <c:v>12.072600231547394</c:v>
                </c:pt>
                <c:pt idx="187">
                  <c:v>11.857788234239781</c:v>
                </c:pt>
                <c:pt idx="188">
                  <c:v>11.624186977375528</c:v>
                </c:pt>
                <c:pt idx="189">
                  <c:v>11.416222527439267</c:v>
                </c:pt>
                <c:pt idx="190">
                  <c:v>11.441338751766162</c:v>
                </c:pt>
                <c:pt idx="191">
                  <c:v>11.464343975922894</c:v>
                </c:pt>
                <c:pt idx="192">
                  <c:v>11.387409412178068</c:v>
                </c:pt>
                <c:pt idx="193">
                  <c:v>11.201629325717573</c:v>
                </c:pt>
                <c:pt idx="194">
                  <c:v>10.873052677349062</c:v>
                </c:pt>
                <c:pt idx="195">
                  <c:v>10.583616295896748</c:v>
                </c:pt>
                <c:pt idx="196">
                  <c:v>10.432283688268345</c:v>
                </c:pt>
                <c:pt idx="197">
                  <c:v>10.570550427080468</c:v>
                </c:pt>
                <c:pt idx="198">
                  <c:v>11.02916710023089</c:v>
                </c:pt>
                <c:pt idx="199">
                  <c:v>11.519094176192064</c:v>
                </c:pt>
                <c:pt idx="200">
                  <c:v>10.9017736111111</c:v>
                </c:pt>
                <c:pt idx="201">
                  <c:v>11.0823013888888</c:v>
                </c:pt>
                <c:pt idx="202">
                  <c:v>10.551151388888799</c:v>
                </c:pt>
                <c:pt idx="203">
                  <c:v>10.541204166666599</c:v>
                </c:pt>
                <c:pt idx="204">
                  <c:v>10.483369444444399</c:v>
                </c:pt>
                <c:pt idx="205">
                  <c:v>10.494145833333301</c:v>
                </c:pt>
                <c:pt idx="206">
                  <c:v>10.532490277777701</c:v>
                </c:pt>
                <c:pt idx="207">
                  <c:v>10.5872777777777</c:v>
                </c:pt>
                <c:pt idx="208">
                  <c:v>10.566976388888801</c:v>
                </c:pt>
                <c:pt idx="209">
                  <c:v>10.5554138888888</c:v>
                </c:pt>
                <c:pt idx="210">
                  <c:v>10.5165805555555</c:v>
                </c:pt>
                <c:pt idx="211">
                  <c:v>10.5410277777777</c:v>
                </c:pt>
                <c:pt idx="212">
                  <c:v>10.464655555555501</c:v>
                </c:pt>
                <c:pt idx="213">
                  <c:v>10.296952777777699</c:v>
                </c:pt>
                <c:pt idx="214">
                  <c:v>10.0838902777777</c:v>
                </c:pt>
                <c:pt idx="215">
                  <c:v>9.9633236111111092</c:v>
                </c:pt>
                <c:pt idx="216">
                  <c:v>9.9029208333333294</c:v>
                </c:pt>
                <c:pt idx="217">
                  <c:v>9.9203069444444392</c:v>
                </c:pt>
                <c:pt idx="218">
                  <c:v>9.8994736111111106</c:v>
                </c:pt>
                <c:pt idx="219">
                  <c:v>9.8584388888888892</c:v>
                </c:pt>
                <c:pt idx="220">
                  <c:v>9.74898611111111</c:v>
                </c:pt>
                <c:pt idx="221">
                  <c:v>9.5912305555555495</c:v>
                </c:pt>
                <c:pt idx="222">
                  <c:v>9.5204458333333299</c:v>
                </c:pt>
                <c:pt idx="223">
                  <c:v>9.4968305555555492</c:v>
                </c:pt>
                <c:pt idx="224">
                  <c:v>9.5346847222222202</c:v>
                </c:pt>
                <c:pt idx="225">
                  <c:v>9.7111458333333296</c:v>
                </c:pt>
                <c:pt idx="226">
                  <c:v>9.9330361111111092</c:v>
                </c:pt>
                <c:pt idx="227">
                  <c:v>10.0613833333333</c:v>
                </c:pt>
                <c:pt idx="228">
                  <c:v>10.0218541666666</c:v>
                </c:pt>
                <c:pt idx="229">
                  <c:v>9.9124736111111105</c:v>
                </c:pt>
                <c:pt idx="230">
                  <c:v>9.9332944444444404</c:v>
                </c:pt>
                <c:pt idx="231">
                  <c:v>9.9623041666666605</c:v>
                </c:pt>
                <c:pt idx="232">
                  <c:v>9.9605208333333302</c:v>
                </c:pt>
                <c:pt idx="233">
                  <c:v>9.9538444444444405</c:v>
                </c:pt>
                <c:pt idx="234">
                  <c:v>9.8764097222222205</c:v>
                </c:pt>
                <c:pt idx="235">
                  <c:v>9.7763902777777698</c:v>
                </c:pt>
                <c:pt idx="236">
                  <c:v>9.7147527777777807</c:v>
                </c:pt>
                <c:pt idx="237">
                  <c:v>9.6852374999999995</c:v>
                </c:pt>
                <c:pt idx="238">
                  <c:v>9.7444249999999997</c:v>
                </c:pt>
                <c:pt idx="239">
                  <c:v>9.7627374999999894</c:v>
                </c:pt>
                <c:pt idx="240">
                  <c:v>9.8135694444444397</c:v>
                </c:pt>
                <c:pt idx="241">
                  <c:v>9.8254736111111107</c:v>
                </c:pt>
                <c:pt idx="242">
                  <c:v>9.7887805555555492</c:v>
                </c:pt>
                <c:pt idx="243">
                  <c:v>9.7431486111111099</c:v>
                </c:pt>
                <c:pt idx="244">
                  <c:v>9.7663444444444405</c:v>
                </c:pt>
                <c:pt idx="245">
                  <c:v>9.7858944444444393</c:v>
                </c:pt>
                <c:pt idx="246">
                  <c:v>9.8085416666666596</c:v>
                </c:pt>
                <c:pt idx="247">
                  <c:v>9.7963208333333291</c:v>
                </c:pt>
                <c:pt idx="248">
                  <c:v>9.7915347222222202</c:v>
                </c:pt>
                <c:pt idx="249">
                  <c:v>9.8278430555555492</c:v>
                </c:pt>
                <c:pt idx="250">
                  <c:v>9.7624388888888802</c:v>
                </c:pt>
                <c:pt idx="251">
                  <c:v>9.7279374999999995</c:v>
                </c:pt>
                <c:pt idx="252">
                  <c:v>9.7090083333333297</c:v>
                </c:pt>
                <c:pt idx="253">
                  <c:v>9.7122055555555509</c:v>
                </c:pt>
                <c:pt idx="254">
                  <c:v>9.7248861111111093</c:v>
                </c:pt>
                <c:pt idx="255">
                  <c:v>9.6477611111111106</c:v>
                </c:pt>
                <c:pt idx="256">
                  <c:v>9.6815874999999991</c:v>
                </c:pt>
                <c:pt idx="257">
                  <c:v>9.6965541666666599</c:v>
                </c:pt>
                <c:pt idx="258">
                  <c:v>9.7859944444444409</c:v>
                </c:pt>
                <c:pt idx="259">
                  <c:v>9.8443194444444408</c:v>
                </c:pt>
                <c:pt idx="260">
                  <c:v>9.8091666666666608</c:v>
                </c:pt>
                <c:pt idx="261">
                  <c:v>9.7417388888888894</c:v>
                </c:pt>
                <c:pt idx="262">
                  <c:v>9.6333473290598199</c:v>
                </c:pt>
                <c:pt idx="263">
                  <c:v>9.6337772435897406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xVal>
          <c:yVal>
            <c:numRef>
              <c:f>selhausen_SM_Kdose_daily!$C$8:$C$400</c:f>
              <c:numCache>
                <c:formatCode>General</c:formatCode>
                <c:ptCount val="393"/>
                <c:pt idx="0">
                  <c:v>9.8411265022157508</c:v>
                </c:pt>
                <c:pt idx="1">
                  <c:v>9.8817793537722274</c:v>
                </c:pt>
                <c:pt idx="2">
                  <c:v>9.9133197045397878</c:v>
                </c:pt>
                <c:pt idx="3">
                  <c:v>9.7868159746196071</c:v>
                </c:pt>
                <c:pt idx="4">
                  <c:v>9.828202990283236</c:v>
                </c:pt>
                <c:pt idx="5">
                  <c:v>9.9299881307732765</c:v>
                </c:pt>
                <c:pt idx="6">
                  <c:v>9.7208505896797117</c:v>
                </c:pt>
                <c:pt idx="7">
                  <c:v>9.6580279149542765</c:v>
                </c:pt>
                <c:pt idx="8">
                  <c:v>9.6768813413709722</c:v>
                </c:pt>
                <c:pt idx="9">
                  <c:v>9.7174977859754286</c:v>
                </c:pt>
                <c:pt idx="10">
                  <c:v>9.720736717406524</c:v>
                </c:pt>
                <c:pt idx="11">
                  <c:v>9.7744989692864284</c:v>
                </c:pt>
                <c:pt idx="12">
                  <c:v>9.8342916859265639</c:v>
                </c:pt>
                <c:pt idx="13">
                  <c:v>9.871955966408354</c:v>
                </c:pt>
                <c:pt idx="14">
                  <c:v>9.8577332518137055</c:v>
                </c:pt>
                <c:pt idx="15">
                  <c:v>9.8742612731933672</c:v>
                </c:pt>
                <c:pt idx="16">
                  <c:v>9.8302655462579658</c:v>
                </c:pt>
                <c:pt idx="17">
                  <c:v>9.7940985088042218</c:v>
                </c:pt>
                <c:pt idx="18">
                  <c:v>9.7274945066559404</c:v>
                </c:pt>
                <c:pt idx="19">
                  <c:v>9.7449678298207019</c:v>
                </c:pt>
                <c:pt idx="20">
                  <c:v>9.8232171798683545</c:v>
                </c:pt>
                <c:pt idx="21">
                  <c:v>9.7089838720779351</c:v>
                </c:pt>
                <c:pt idx="22">
                  <c:v>9.7236161632252198</c:v>
                </c:pt>
                <c:pt idx="23">
                  <c:v>9.8259772274014576</c:v>
                </c:pt>
                <c:pt idx="24">
                  <c:v>9.8813202320699762</c:v>
                </c:pt>
                <c:pt idx="25">
                  <c:v>9.6864503826764334</c:v>
                </c:pt>
                <c:pt idx="26">
                  <c:v>9.7047835459283434</c:v>
                </c:pt>
                <c:pt idx="27">
                  <c:v>9.7805028401701541</c:v>
                </c:pt>
                <c:pt idx="28">
                  <c:v>9.8035718700958867</c:v>
                </c:pt>
                <c:pt idx="29">
                  <c:v>9.7968655438294174</c:v>
                </c:pt>
                <c:pt idx="30">
                  <c:v>9.7901683864796922</c:v>
                </c:pt>
                <c:pt idx="31">
                  <c:v>9.7396296761348324</c:v>
                </c:pt>
                <c:pt idx="32">
                  <c:v>9.7034052469127765</c:v>
                </c:pt>
                <c:pt idx="33">
                  <c:v>9.8214180203741055</c:v>
                </c:pt>
                <c:pt idx="34">
                  <c:v>9.8801939125576084</c:v>
                </c:pt>
                <c:pt idx="35">
                  <c:v>9.7487810511396784</c:v>
                </c:pt>
                <c:pt idx="36">
                  <c:v>9.8510659337762476</c:v>
                </c:pt>
                <c:pt idx="37">
                  <c:v>9.8923928517350621</c:v>
                </c:pt>
                <c:pt idx="38">
                  <c:v>9.9511628221363555</c:v>
                </c:pt>
                <c:pt idx="39">
                  <c:v>10.012594013826959</c:v>
                </c:pt>
                <c:pt idx="40">
                  <c:v>10.06618904927211</c:v>
                </c:pt>
                <c:pt idx="41">
                  <c:v>10.088160391832227</c:v>
                </c:pt>
                <c:pt idx="42">
                  <c:v>9.9310001806317736</c:v>
                </c:pt>
                <c:pt idx="43">
                  <c:v>9.8096736396167472</c:v>
                </c:pt>
                <c:pt idx="44">
                  <c:v>9.8645840201566877</c:v>
                </c:pt>
                <c:pt idx="45">
                  <c:v>9.9689819328278304</c:v>
                </c:pt>
                <c:pt idx="46">
                  <c:v>9.9374699852102655</c:v>
                </c:pt>
                <c:pt idx="47">
                  <c:v>9.9241274480391528</c:v>
                </c:pt>
                <c:pt idx="48">
                  <c:v>9.9614641382413325</c:v>
                </c:pt>
                <c:pt idx="49">
                  <c:v>9.9698107023068054</c:v>
                </c:pt>
                <c:pt idx="50">
                  <c:v>9.9781712650277115</c:v>
                </c:pt>
                <c:pt idx="51">
                  <c:v>10.011399492445241</c:v>
                </c:pt>
                <c:pt idx="52">
                  <c:v>9.8941322183929099</c:v>
                </c:pt>
                <c:pt idx="53">
                  <c:v>9.9099660933525353</c:v>
                </c:pt>
                <c:pt idx="54">
                  <c:v>10.028467345444518</c:v>
                </c:pt>
                <c:pt idx="55">
                  <c:v>10.142048730699416</c:v>
                </c:pt>
                <c:pt idx="56">
                  <c:v>10.12150567064249</c:v>
                </c:pt>
                <c:pt idx="57">
                  <c:v>10.177295403528282</c:v>
                </c:pt>
                <c:pt idx="58">
                  <c:v>10.229144054561665</c:v>
                </c:pt>
                <c:pt idx="59">
                  <c:v>10.282202373416371</c:v>
                </c:pt>
                <c:pt idx="60">
                  <c:v>10.32017577207613</c:v>
                </c:pt>
                <c:pt idx="61">
                  <c:v>10.35991927324687</c:v>
                </c:pt>
                <c:pt idx="62">
                  <c:v>10.39836682929278</c:v>
                </c:pt>
                <c:pt idx="63">
                  <c:v>10.437100820181783</c:v>
                </c:pt>
                <c:pt idx="64">
                  <c:v>10.951353617317141</c:v>
                </c:pt>
                <c:pt idx="65">
                  <c:v>10.10983308802405</c:v>
                </c:pt>
                <c:pt idx="66">
                  <c:v>10.03756947088482</c:v>
                </c:pt>
                <c:pt idx="67">
                  <c:v>9.9841521172271488</c:v>
                </c:pt>
                <c:pt idx="68">
                  <c:v>9.9677255819656096</c:v>
                </c:pt>
                <c:pt idx="69">
                  <c:v>9.6962299813685355</c:v>
                </c:pt>
                <c:pt idx="70">
                  <c:v>9.8337215384003684</c:v>
                </c:pt>
                <c:pt idx="71">
                  <c:v>9.9481795244615174</c:v>
                </c:pt>
                <c:pt idx="72">
                  <c:v>10.087967892936746</c:v>
                </c:pt>
                <c:pt idx="73">
                  <c:v>10.217414635938486</c:v>
                </c:pt>
                <c:pt idx="74">
                  <c:v>10.338248006244292</c:v>
                </c:pt>
                <c:pt idx="75">
                  <c:v>10.445811773080299</c:v>
                </c:pt>
                <c:pt idx="76">
                  <c:v>10.536319839183195</c:v>
                </c:pt>
                <c:pt idx="77">
                  <c:v>10.569380024576851</c:v>
                </c:pt>
                <c:pt idx="78">
                  <c:v>10.361272931436075</c:v>
                </c:pt>
                <c:pt idx="79">
                  <c:v>10.385576186794893</c:v>
                </c:pt>
                <c:pt idx="80">
                  <c:v>10.428864572540249</c:v>
                </c:pt>
                <c:pt idx="81">
                  <c:v>10.471592743172911</c:v>
                </c:pt>
                <c:pt idx="82">
                  <c:v>10.479027418710089</c:v>
                </c:pt>
                <c:pt idx="83">
                  <c:v>10.289178604653719</c:v>
                </c:pt>
                <c:pt idx="84">
                  <c:v>10.364013087987665</c:v>
                </c:pt>
                <c:pt idx="85">
                  <c:v>10.081275688185213</c:v>
                </c:pt>
                <c:pt idx="86">
                  <c:v>9.9559185477963581</c:v>
                </c:pt>
                <c:pt idx="87">
                  <c:v>10.087602226153615</c:v>
                </c:pt>
                <c:pt idx="88">
                  <c:v>10.150062107021853</c:v>
                </c:pt>
                <c:pt idx="89">
                  <c:v>10.112513033768892</c:v>
                </c:pt>
                <c:pt idx="90">
                  <c:v>10.158719676829103</c:v>
                </c:pt>
                <c:pt idx="91">
                  <c:v>9.8614500975853066</c:v>
                </c:pt>
                <c:pt idx="92">
                  <c:v>9.917228569883374</c:v>
                </c:pt>
                <c:pt idx="93">
                  <c:v>10.011786138992285</c:v>
                </c:pt>
                <c:pt idx="94">
                  <c:v>9.9693824058650904</c:v>
                </c:pt>
                <c:pt idx="95">
                  <c:v>10.048795655339212</c:v>
                </c:pt>
                <c:pt idx="96">
                  <c:v>10.150631268956978</c:v>
                </c:pt>
                <c:pt idx="97">
                  <c:v>10.24236439637161</c:v>
                </c:pt>
                <c:pt idx="98">
                  <c:v>10.316049195806274</c:v>
                </c:pt>
                <c:pt idx="99">
                  <c:v>10.418170576494584</c:v>
                </c:pt>
                <c:pt idx="100">
                  <c:v>10.523012243705887</c:v>
                </c:pt>
                <c:pt idx="101">
                  <c:v>10.611423584807868</c:v>
                </c:pt>
                <c:pt idx="102">
                  <c:v>10.680617770555276</c:v>
                </c:pt>
                <c:pt idx="103">
                  <c:v>10.70637494306926</c:v>
                </c:pt>
                <c:pt idx="104">
                  <c:v>10.749701557773253</c:v>
                </c:pt>
                <c:pt idx="105">
                  <c:v>10.775818292562615</c:v>
                </c:pt>
                <c:pt idx="106">
                  <c:v>10.828745444852592</c:v>
                </c:pt>
                <c:pt idx="107">
                  <c:v>10.853712675765188</c:v>
                </c:pt>
                <c:pt idx="108">
                  <c:v>10.892960359475877</c:v>
                </c:pt>
                <c:pt idx="109">
                  <c:v>10.885970858726779</c:v>
                </c:pt>
                <c:pt idx="110">
                  <c:v>10.639823490678472</c:v>
                </c:pt>
                <c:pt idx="111">
                  <c:v>10.083580274159885</c:v>
                </c:pt>
                <c:pt idx="112">
                  <c:v>10.244163131725587</c:v>
                </c:pt>
                <c:pt idx="113">
                  <c:v>10.126905296022809</c:v>
                </c:pt>
                <c:pt idx="114">
                  <c:v>10.091110993401225</c:v>
                </c:pt>
                <c:pt idx="115">
                  <c:v>10.286534086602618</c:v>
                </c:pt>
                <c:pt idx="116">
                  <c:v>10.468689104269925</c:v>
                </c:pt>
                <c:pt idx="117">
                  <c:v>10.591368401846529</c:v>
                </c:pt>
                <c:pt idx="118">
                  <c:v>10.735172217649726</c:v>
                </c:pt>
                <c:pt idx="119">
                  <c:v>10.870899266167088</c:v>
                </c:pt>
                <c:pt idx="120">
                  <c:v>11.001416195553791</c:v>
                </c:pt>
                <c:pt idx="121">
                  <c:v>11.098721989067259</c:v>
                </c:pt>
                <c:pt idx="122">
                  <c:v>10.718042467123661</c:v>
                </c:pt>
                <c:pt idx="123">
                  <c:v>10.660408221927801</c:v>
                </c:pt>
                <c:pt idx="124">
                  <c:v>10.71660350954291</c:v>
                </c:pt>
                <c:pt idx="125">
                  <c:v>10.625199313487173</c:v>
                </c:pt>
                <c:pt idx="126">
                  <c:v>10.616451582235754</c:v>
                </c:pt>
                <c:pt idx="127">
                  <c:v>10.716691176492812</c:v>
                </c:pt>
                <c:pt idx="128">
                  <c:v>10.781994605404755</c:v>
                </c:pt>
                <c:pt idx="129">
                  <c:v>10.881498746539611</c:v>
                </c:pt>
                <c:pt idx="130">
                  <c:v>10.963702761788804</c:v>
                </c:pt>
                <c:pt idx="131">
                  <c:v>11.047484027577143</c:v>
                </c:pt>
                <c:pt idx="132">
                  <c:v>11.11878084262198</c:v>
                </c:pt>
                <c:pt idx="133">
                  <c:v>11.165398717695071</c:v>
                </c:pt>
                <c:pt idx="134">
                  <c:v>11.085617487801924</c:v>
                </c:pt>
                <c:pt idx="135">
                  <c:v>10.998191335038484</c:v>
                </c:pt>
                <c:pt idx="136">
                  <c:v>11.040191758341741</c:v>
                </c:pt>
                <c:pt idx="137">
                  <c:v>11.109886678605061</c:v>
                </c:pt>
                <c:pt idx="138">
                  <c:v>11.061091823088317</c:v>
                </c:pt>
                <c:pt idx="139">
                  <c:v>11.060977045510587</c:v>
                </c:pt>
                <c:pt idx="140">
                  <c:v>11.12729185793448</c:v>
                </c:pt>
                <c:pt idx="141">
                  <c:v>11.193419022568218</c:v>
                </c:pt>
                <c:pt idx="142">
                  <c:v>11.260034321485263</c:v>
                </c:pt>
                <c:pt idx="143">
                  <c:v>11.329253757078808</c:v>
                </c:pt>
                <c:pt idx="144">
                  <c:v>11.400141637742751</c:v>
                </c:pt>
                <c:pt idx="145">
                  <c:v>11.472547428196242</c:v>
                </c:pt>
                <c:pt idx="146">
                  <c:v>11.539967640229156</c:v>
                </c:pt>
                <c:pt idx="147">
                  <c:v>11.609241297384317</c:v>
                </c:pt>
                <c:pt idx="148">
                  <c:v>11.647321236443986</c:v>
                </c:pt>
                <c:pt idx="149">
                  <c:v>11.612124495120558</c:v>
                </c:pt>
                <c:pt idx="150">
                  <c:v>11.523617185211027</c:v>
                </c:pt>
                <c:pt idx="151">
                  <c:v>11.552219620697857</c:v>
                </c:pt>
                <c:pt idx="152">
                  <c:v>11.601633908975481</c:v>
                </c:pt>
                <c:pt idx="153">
                  <c:v>11.620387114973363</c:v>
                </c:pt>
                <c:pt idx="154">
                  <c:v>11.220991982507448</c:v>
                </c:pt>
                <c:pt idx="155">
                  <c:v>10.882871232099612</c:v>
                </c:pt>
                <c:pt idx="156">
                  <c:v>10.976504371662703</c:v>
                </c:pt>
                <c:pt idx="157">
                  <c:v>11.019852830948706</c:v>
                </c:pt>
                <c:pt idx="158">
                  <c:v>11.068216568442489</c:v>
                </c:pt>
                <c:pt idx="159">
                  <c:v>11.150008868752355</c:v>
                </c:pt>
                <c:pt idx="160">
                  <c:v>11.219564887923008</c:v>
                </c:pt>
                <c:pt idx="161">
                  <c:v>11.286422992998226</c:v>
                </c:pt>
                <c:pt idx="162">
                  <c:v>11.362202848509785</c:v>
                </c:pt>
                <c:pt idx="163">
                  <c:v>11.441145731442903</c:v>
                </c:pt>
                <c:pt idx="164">
                  <c:v>11.524619813997157</c:v>
                </c:pt>
                <c:pt idx="165">
                  <c:v>11.598261168436652</c:v>
                </c:pt>
                <c:pt idx="166">
                  <c:v>11.657731436630241</c:v>
                </c:pt>
                <c:pt idx="167">
                  <c:v>11.579015156703953</c:v>
                </c:pt>
                <c:pt idx="168">
                  <c:v>11.381877213807778</c:v>
                </c:pt>
                <c:pt idx="169">
                  <c:v>11.407773143554502</c:v>
                </c:pt>
                <c:pt idx="170">
                  <c:v>11.409984098539345</c:v>
                </c:pt>
                <c:pt idx="171">
                  <c:v>10.859259683993118</c:v>
                </c:pt>
                <c:pt idx="172">
                  <c:v>10.867469773248905</c:v>
                </c:pt>
                <c:pt idx="173">
                  <c:v>10.952480076132066</c:v>
                </c:pt>
                <c:pt idx="174">
                  <c:v>11.03450775808237</c:v>
                </c:pt>
                <c:pt idx="175">
                  <c:v>11.117548825273813</c:v>
                </c:pt>
                <c:pt idx="176">
                  <c:v>11.198446132105694</c:v>
                </c:pt>
                <c:pt idx="177">
                  <c:v>11.258738890711204</c:v>
                </c:pt>
                <c:pt idx="178">
                  <c:v>11.256584612377459</c:v>
                </c:pt>
                <c:pt idx="179">
                  <c:v>11.297025457349454</c:v>
                </c:pt>
                <c:pt idx="180">
                  <c:v>11.34482472959677</c:v>
                </c:pt>
                <c:pt idx="181">
                  <c:v>11.405583466810697</c:v>
                </c:pt>
                <c:pt idx="182">
                  <c:v>11.469325833162115</c:v>
                </c:pt>
                <c:pt idx="183">
                  <c:v>11.519190540232232</c:v>
                </c:pt>
                <c:pt idx="184">
                  <c:v>11.561424487856021</c:v>
                </c:pt>
                <c:pt idx="185">
                  <c:v>11.611200205492759</c:v>
                </c:pt>
                <c:pt idx="186">
                  <c:v>11.660945869618647</c:v>
                </c:pt>
                <c:pt idx="187">
                  <c:v>11.690678065132785</c:v>
                </c:pt>
                <c:pt idx="188">
                  <c:v>11.62718932680426</c:v>
                </c:pt>
                <c:pt idx="189">
                  <c:v>11.58507835718714</c:v>
                </c:pt>
                <c:pt idx="190">
                  <c:v>11.584380870681155</c:v>
                </c:pt>
                <c:pt idx="191">
                  <c:v>11.592534156405973</c:v>
                </c:pt>
                <c:pt idx="192">
                  <c:v>11.606898907421842</c:v>
                </c:pt>
                <c:pt idx="193">
                  <c:v>11.59548231119653</c:v>
                </c:pt>
                <c:pt idx="194">
                  <c:v>11.541160900888267</c:v>
                </c:pt>
                <c:pt idx="195">
                  <c:v>11.369621641905528</c:v>
                </c:pt>
                <c:pt idx="196">
                  <c:v>11.276869047711594</c:v>
                </c:pt>
                <c:pt idx="197">
                  <c:v>11.064247655249421</c:v>
                </c:pt>
                <c:pt idx="198">
                  <c:v>11.083795372091782</c:v>
                </c:pt>
                <c:pt idx="199">
                  <c:v>11.092127336963033</c:v>
                </c:pt>
                <c:pt idx="200">
                  <c:v>11.093006472695409</c:v>
                </c:pt>
                <c:pt idx="201">
                  <c:v>11.093885747795264</c:v>
                </c:pt>
                <c:pt idx="202">
                  <c:v>11.086579419537328</c:v>
                </c:pt>
                <c:pt idx="203">
                  <c:v>11.108462744178309</c:v>
                </c:pt>
                <c:pt idx="204">
                  <c:v>11.126307600317233</c:v>
                </c:pt>
                <c:pt idx="205">
                  <c:v>11.143070817547374</c:v>
                </c:pt>
                <c:pt idx="206">
                  <c:v>11.164566223857658</c:v>
                </c:pt>
                <c:pt idx="207">
                  <c:v>11.184302273792365</c:v>
                </c:pt>
                <c:pt idx="208">
                  <c:v>11.197030177187514</c:v>
                </c:pt>
                <c:pt idx="209">
                  <c:v>11.193779812359258</c:v>
                </c:pt>
                <c:pt idx="210">
                  <c:v>11.208117012404154</c:v>
                </c:pt>
                <c:pt idx="211">
                  <c:v>11.221222372562634</c:v>
                </c:pt>
                <c:pt idx="212">
                  <c:v>11.228836651521018</c:v>
                </c:pt>
                <c:pt idx="213">
                  <c:v>11.161520669240014</c:v>
                </c:pt>
                <c:pt idx="214">
                  <c:v>10.533538888681392</c:v>
                </c:pt>
                <c:pt idx="215">
                  <c:v>10.615155606931125</c:v>
                </c:pt>
                <c:pt idx="216">
                  <c:v>10.476980378697801</c:v>
                </c:pt>
                <c:pt idx="217">
                  <c:v>10.466930950361945</c:v>
                </c:pt>
                <c:pt idx="218">
                  <c:v>10.523907332206177</c:v>
                </c:pt>
                <c:pt idx="219">
                  <c:v>10.384963981513652</c:v>
                </c:pt>
                <c:pt idx="220">
                  <c:v>10.113955789461116</c:v>
                </c:pt>
                <c:pt idx="221">
                  <c:v>9.8969936145810777</c:v>
                </c:pt>
                <c:pt idx="222">
                  <c:v>9.8890596811693374</c:v>
                </c:pt>
                <c:pt idx="223">
                  <c:v>9.9267980278871555</c:v>
                </c:pt>
                <c:pt idx="224">
                  <c:v>10.020678741670542</c:v>
                </c:pt>
                <c:pt idx="225">
                  <c:v>9.9597200677831967</c:v>
                </c:pt>
                <c:pt idx="226">
                  <c:v>10.041253912131223</c:v>
                </c:pt>
                <c:pt idx="227">
                  <c:v>10.164721003144457</c:v>
                </c:pt>
                <c:pt idx="228">
                  <c:v>10.174678445938429</c:v>
                </c:pt>
                <c:pt idx="229">
                  <c:v>10.195270338384987</c:v>
                </c:pt>
                <c:pt idx="230">
                  <c:v>10.211493086278086</c:v>
                </c:pt>
                <c:pt idx="231">
                  <c:v>10.239700719239508</c:v>
                </c:pt>
                <c:pt idx="232">
                  <c:v>10.273952531664387</c:v>
                </c:pt>
                <c:pt idx="233">
                  <c:v>10.303690345130713</c:v>
                </c:pt>
                <c:pt idx="234">
                  <c:v>10.275922512878976</c:v>
                </c:pt>
                <c:pt idx="235">
                  <c:v>10.178521221378618</c:v>
                </c:pt>
                <c:pt idx="236">
                  <c:v>10.178925132218763</c:v>
                </c:pt>
                <c:pt idx="237">
                  <c:v>10.125689843541439</c:v>
                </c:pt>
                <c:pt idx="238">
                  <c:v>9.9475433304865248</c:v>
                </c:pt>
                <c:pt idx="239">
                  <c:v>10.051219841330486</c:v>
                </c:pt>
                <c:pt idx="240">
                  <c:v>10.102692432520152</c:v>
                </c:pt>
                <c:pt idx="241">
                  <c:v>10.101850015772522</c:v>
                </c:pt>
                <c:pt idx="242">
                  <c:v>10.057974946321098</c:v>
                </c:pt>
                <c:pt idx="243">
                  <c:v>10.087278843563688</c:v>
                </c:pt>
                <c:pt idx="244">
                  <c:v>10.119807323381066</c:v>
                </c:pt>
                <c:pt idx="245">
                  <c:v>10.156294554967152</c:v>
                </c:pt>
                <c:pt idx="246">
                  <c:v>10.190627299859417</c:v>
                </c:pt>
                <c:pt idx="247">
                  <c:v>10.101523239319787</c:v>
                </c:pt>
                <c:pt idx="248">
                  <c:v>10.122465548104779</c:v>
                </c:pt>
                <c:pt idx="249">
                  <c:v>10.127370257947312</c:v>
                </c:pt>
                <c:pt idx="250">
                  <c:v>10.145990820213017</c:v>
                </c:pt>
                <c:pt idx="251">
                  <c:v>10.022871193195845</c:v>
                </c:pt>
                <c:pt idx="252">
                  <c:v>9.9436423146989803</c:v>
                </c:pt>
                <c:pt idx="253">
                  <c:v>10.008450655181203</c:v>
                </c:pt>
                <c:pt idx="254">
                  <c:v>9.9657314236904302</c:v>
                </c:pt>
                <c:pt idx="255">
                  <c:v>9.9211132452463637</c:v>
                </c:pt>
                <c:pt idx="256">
                  <c:v>9.9015589651438827</c:v>
                </c:pt>
                <c:pt idx="257">
                  <c:v>9.8538761499304943</c:v>
                </c:pt>
                <c:pt idx="258">
                  <c:v>9.916364684001957</c:v>
                </c:pt>
                <c:pt idx="259">
                  <c:v>9.968824092668271</c:v>
                </c:pt>
                <c:pt idx="260">
                  <c:v>10.046873874320257</c:v>
                </c:pt>
                <c:pt idx="261">
                  <c:v>10.085851532467659</c:v>
                </c:pt>
                <c:pt idx="262">
                  <c:v>10.055590216454208</c:v>
                </c:pt>
                <c:pt idx="263">
                  <c:v>10.076275154211064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2.5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xVal>
          <c:yVal>
            <c:numRef>
              <c:f>selhausen_SM_Kdose_daily!$F$8:$F$400</c:f>
              <c:numCache>
                <c:formatCode>General</c:formatCode>
                <c:ptCount val="393"/>
                <c:pt idx="0">
                  <c:v>37.803915253783408</c:v>
                </c:pt>
                <c:pt idx="1">
                  <c:v>37.339768240019282</c:v>
                </c:pt>
                <c:pt idx="2">
                  <c:v>37.165831622456551</c:v>
                </c:pt>
                <c:pt idx="3">
                  <c:v>36.997330409616197</c:v>
                </c:pt>
                <c:pt idx="4">
                  <c:v>37.07615564847621</c:v>
                </c:pt>
                <c:pt idx="5">
                  <c:v>37.182458708397611</c:v>
                </c:pt>
                <c:pt idx="6">
                  <c:v>38.191333553919108</c:v>
                </c:pt>
                <c:pt idx="7">
                  <c:v>38.816067651166115</c:v>
                </c:pt>
                <c:pt idx="8">
                  <c:v>38.724950248917075</c:v>
                </c:pt>
                <c:pt idx="9">
                  <c:v>38.070065708229976</c:v>
                </c:pt>
                <c:pt idx="10">
                  <c:v>38.241330796973116</c:v>
                </c:pt>
                <c:pt idx="11">
                  <c:v>38.414527937152776</c:v>
                </c:pt>
                <c:pt idx="12">
                  <c:v>37.936541033249121</c:v>
                </c:pt>
                <c:pt idx="13">
                  <c:v>36.53423365356673</c:v>
                </c:pt>
                <c:pt idx="14">
                  <c:v>35.425704845358624</c:v>
                </c:pt>
                <c:pt idx="15">
                  <c:v>35.59342807727883</c:v>
                </c:pt>
                <c:pt idx="16">
                  <c:v>36.363862301226597</c:v>
                </c:pt>
                <c:pt idx="17">
                  <c:v>37.321392044542826</c:v>
                </c:pt>
                <c:pt idx="18">
                  <c:v>37.128396942902683</c:v>
                </c:pt>
                <c:pt idx="19">
                  <c:v>36.949735750421333</c:v>
                </c:pt>
                <c:pt idx="20">
                  <c:v>36.74553385583598</c:v>
                </c:pt>
                <c:pt idx="21">
                  <c:v>37.935879566363049</c:v>
                </c:pt>
                <c:pt idx="22">
                  <c:v>38.616519182470121</c:v>
                </c:pt>
                <c:pt idx="23">
                  <c:v>38.734845956000704</c:v>
                </c:pt>
                <c:pt idx="24">
                  <c:v>37.30181595606156</c:v>
                </c:pt>
                <c:pt idx="25">
                  <c:v>37.602448578787744</c:v>
                </c:pt>
                <c:pt idx="26">
                  <c:v>37.617332793985774</c:v>
                </c:pt>
                <c:pt idx="27">
                  <c:v>38.348255578793143</c:v>
                </c:pt>
                <c:pt idx="28">
                  <c:v>37.506308706938285</c:v>
                </c:pt>
                <c:pt idx="29">
                  <c:v>37.029441004199981</c:v>
                </c:pt>
                <c:pt idx="30">
                  <c:v>35.803285863943643</c:v>
                </c:pt>
                <c:pt idx="31">
                  <c:v>37.317387066051758</c:v>
                </c:pt>
                <c:pt idx="32">
                  <c:v>37.31176660290663</c:v>
                </c:pt>
                <c:pt idx="33">
                  <c:v>36.540774548484997</c:v>
                </c:pt>
                <c:pt idx="34">
                  <c:v>36.50787892928804</c:v>
                </c:pt>
                <c:pt idx="35">
                  <c:v>37.072570710674732</c:v>
                </c:pt>
                <c:pt idx="36">
                  <c:v>37.106406306359148</c:v>
                </c:pt>
                <c:pt idx="37">
                  <c:v>35.873888675371404</c:v>
                </c:pt>
                <c:pt idx="38">
                  <c:v>34.741049288682454</c:v>
                </c:pt>
                <c:pt idx="39">
                  <c:v>34.274482150181782</c:v>
                </c:pt>
                <c:pt idx="40">
                  <c:v>34.268163677620663</c:v>
                </c:pt>
                <c:pt idx="41">
                  <c:v>35.903377941515927</c:v>
                </c:pt>
                <c:pt idx="42">
                  <c:v>37.305257206150415</c:v>
                </c:pt>
                <c:pt idx="43">
                  <c:v>38.037918847696588</c:v>
                </c:pt>
                <c:pt idx="44">
                  <c:v>37.522375466470884</c:v>
                </c:pt>
                <c:pt idx="45">
                  <c:v>36.378690578081915</c:v>
                </c:pt>
                <c:pt idx="46">
                  <c:v>35.925152813770154</c:v>
                </c:pt>
                <c:pt idx="47">
                  <c:v>35.104268681258553</c:v>
                </c:pt>
                <c:pt idx="48">
                  <c:v>34.655473727691025</c:v>
                </c:pt>
                <c:pt idx="49">
                  <c:v>34.24164029438986</c:v>
                </c:pt>
                <c:pt idx="50">
                  <c:v>35.125200953701622</c:v>
                </c:pt>
                <c:pt idx="51">
                  <c:v>35.712158541498177</c:v>
                </c:pt>
                <c:pt idx="52">
                  <c:v>35.224598444295637</c:v>
                </c:pt>
                <c:pt idx="53">
                  <c:v>33.544141478251746</c:v>
                </c:pt>
                <c:pt idx="54">
                  <c:v>31.602233026598707</c:v>
                </c:pt>
                <c:pt idx="55">
                  <c:v>30.677459619494762</c:v>
                </c:pt>
                <c:pt idx="56">
                  <c:v>31.60979909384427</c:v>
                </c:pt>
                <c:pt idx="57">
                  <c:v>32.412377867226454</c:v>
                </c:pt>
                <c:pt idx="58">
                  <c:v>33.189093246835206</c:v>
                </c:pt>
                <c:pt idx="59">
                  <c:v>32.233256283470148</c:v>
                </c:pt>
                <c:pt idx="60">
                  <c:v>31.052678607902884</c:v>
                </c:pt>
                <c:pt idx="61">
                  <c:v>30.152506453044165</c:v>
                </c:pt>
                <c:pt idx="62">
                  <c:v>31.635395129270371</c:v>
                </c:pt>
                <c:pt idx="63">
                  <c:v>35.138696801422434</c:v>
                </c:pt>
                <c:pt idx="64">
                  <c:v>27.559259879108929</c:v>
                </c:pt>
                <c:pt idx="65">
                  <c:v>31.360030699792713</c:v>
                </c:pt>
                <c:pt idx="66">
                  <c:v>35.890001134762258</c:v>
                </c:pt>
                <c:pt idx="67">
                  <c:v>35.917761591746128</c:v>
                </c:pt>
                <c:pt idx="68">
                  <c:v>35.40797683808519</c:v>
                </c:pt>
                <c:pt idx="69">
                  <c:v>35.532287947747051</c:v>
                </c:pt>
                <c:pt idx="70">
                  <c:v>34.343134245292219</c:v>
                </c:pt>
                <c:pt idx="71">
                  <c:v>32.281206658535673</c:v>
                </c:pt>
                <c:pt idx="72">
                  <c:v>29.319640893303323</c:v>
                </c:pt>
                <c:pt idx="73">
                  <c:v>27.090296481711889</c:v>
                </c:pt>
                <c:pt idx="74">
                  <c:v>25.074365548433892</c:v>
                </c:pt>
                <c:pt idx="75">
                  <c:v>24.072096436887698</c:v>
                </c:pt>
                <c:pt idx="76">
                  <c:v>24.168581177323983</c:v>
                </c:pt>
                <c:pt idx="77">
                  <c:v>26.768228666312083</c:v>
                </c:pt>
                <c:pt idx="78">
                  <c:v>30.007070495742518</c:v>
                </c:pt>
                <c:pt idx="79">
                  <c:v>32.144923436047719</c:v>
                </c:pt>
                <c:pt idx="80">
                  <c:v>31.572064104466062</c:v>
                </c:pt>
                <c:pt idx="81">
                  <c:v>29.817047575916806</c:v>
                </c:pt>
                <c:pt idx="82">
                  <c:v>29.659159664277819</c:v>
                </c:pt>
                <c:pt idx="83">
                  <c:v>29.914707110758222</c:v>
                </c:pt>
                <c:pt idx="84">
                  <c:v>32.254809751872585</c:v>
                </c:pt>
                <c:pt idx="85">
                  <c:v>32.665048544509574</c:v>
                </c:pt>
                <c:pt idx="86">
                  <c:v>33.670805269234357</c:v>
                </c:pt>
                <c:pt idx="87">
                  <c:v>33.097187700824527</c:v>
                </c:pt>
                <c:pt idx="88">
                  <c:v>32.950458607932617</c:v>
                </c:pt>
                <c:pt idx="89">
                  <c:v>33.440420590991145</c:v>
                </c:pt>
                <c:pt idx="90">
                  <c:v>34.615188961092599</c:v>
                </c:pt>
                <c:pt idx="91">
                  <c:v>34.648785791594889</c:v>
                </c:pt>
                <c:pt idx="92">
                  <c:v>35.191079366958341</c:v>
                </c:pt>
                <c:pt idx="93">
                  <c:v>35.020926846761867</c:v>
                </c:pt>
                <c:pt idx="94">
                  <c:v>34.906133055918197</c:v>
                </c:pt>
                <c:pt idx="95">
                  <c:v>33.1719373951234</c:v>
                </c:pt>
                <c:pt idx="96">
                  <c:v>32.015838747522288</c:v>
                </c:pt>
                <c:pt idx="97">
                  <c:v>30.213117405373662</c:v>
                </c:pt>
                <c:pt idx="98">
                  <c:v>29.337835423785574</c:v>
                </c:pt>
                <c:pt idx="99">
                  <c:v>27.299773756061789</c:v>
                </c:pt>
                <c:pt idx="100">
                  <c:v>25.988487631186835</c:v>
                </c:pt>
                <c:pt idx="101">
                  <c:v>26.286081470228691</c:v>
                </c:pt>
                <c:pt idx="102">
                  <c:v>26.491437326916863</c:v>
                </c:pt>
                <c:pt idx="103">
                  <c:v>27.450402090893171</c:v>
                </c:pt>
                <c:pt idx="104">
                  <c:v>26.368863782608187</c:v>
                </c:pt>
                <c:pt idx="105">
                  <c:v>25.862845050552117</c:v>
                </c:pt>
                <c:pt idx="106">
                  <c:v>25.379938708499743</c:v>
                </c:pt>
                <c:pt idx="107">
                  <c:v>25.625236957673113</c:v>
                </c:pt>
                <c:pt idx="108">
                  <c:v>26.003353593312379</c:v>
                </c:pt>
                <c:pt idx="109">
                  <c:v>26.79052241171015</c:v>
                </c:pt>
                <c:pt idx="110">
                  <c:v>29.071129197182078</c:v>
                </c:pt>
                <c:pt idx="111">
                  <c:v>30.866312943798302</c:v>
                </c:pt>
                <c:pt idx="112">
                  <c:v>32.213944969220719</c:v>
                </c:pt>
                <c:pt idx="113">
                  <c:v>31.920869689021696</c:v>
                </c:pt>
                <c:pt idx="114">
                  <c:v>30.863310584569575</c:v>
                </c:pt>
                <c:pt idx="115">
                  <c:v>28.572272578935703</c:v>
                </c:pt>
                <c:pt idx="116">
                  <c:v>26.098779545383344</c:v>
                </c:pt>
                <c:pt idx="117">
                  <c:v>24.070220595628914</c:v>
                </c:pt>
                <c:pt idx="118">
                  <c:v>22.300031704797838</c:v>
                </c:pt>
                <c:pt idx="119">
                  <c:v>21.546926344174953</c:v>
                </c:pt>
                <c:pt idx="120">
                  <c:v>21.103585863664104</c:v>
                </c:pt>
                <c:pt idx="121">
                  <c:v>23.910957141965465</c:v>
                </c:pt>
                <c:pt idx="122">
                  <c:v>27.052843906456236</c:v>
                </c:pt>
                <c:pt idx="123">
                  <c:v>31.547534170336593</c:v>
                </c:pt>
                <c:pt idx="124">
                  <c:v>33.301598851603941</c:v>
                </c:pt>
                <c:pt idx="125">
                  <c:v>33.295710122413233</c:v>
                </c:pt>
                <c:pt idx="126">
                  <c:v>32.293165979279351</c:v>
                </c:pt>
                <c:pt idx="127">
                  <c:v>29.800124173902031</c:v>
                </c:pt>
                <c:pt idx="128">
                  <c:v>27.968297058953549</c:v>
                </c:pt>
                <c:pt idx="129">
                  <c:v>25.648625796970322</c:v>
                </c:pt>
                <c:pt idx="130">
                  <c:v>23.746987606362772</c:v>
                </c:pt>
                <c:pt idx="131">
                  <c:v>22.805459224043688</c:v>
                </c:pt>
                <c:pt idx="132">
                  <c:v>21.953797695867998</c:v>
                </c:pt>
                <c:pt idx="133">
                  <c:v>24.23293174181277</c:v>
                </c:pt>
                <c:pt idx="134">
                  <c:v>26.281753535997311</c:v>
                </c:pt>
                <c:pt idx="135">
                  <c:v>27.845139766158834</c:v>
                </c:pt>
                <c:pt idx="136">
                  <c:v>25.784800534669689</c:v>
                </c:pt>
                <c:pt idx="137">
                  <c:v>25.063755955880236</c:v>
                </c:pt>
                <c:pt idx="138">
                  <c:v>25.247417594282791</c:v>
                </c:pt>
                <c:pt idx="139">
                  <c:v>25.594113935961758</c:v>
                </c:pt>
                <c:pt idx="140">
                  <c:v>23.762717685882535</c:v>
                </c:pt>
                <c:pt idx="141">
                  <c:v>21.810473536937565</c:v>
                </c:pt>
                <c:pt idx="142">
                  <c:v>20.527693467929982</c:v>
                </c:pt>
                <c:pt idx="143">
                  <c:v>19.863208550890022</c:v>
                </c:pt>
                <c:pt idx="144">
                  <c:v>19.690105420618316</c:v>
                </c:pt>
                <c:pt idx="145">
                  <c:v>20.012484043988806</c:v>
                </c:pt>
                <c:pt idx="146">
                  <c:v>19.971227952871288</c:v>
                </c:pt>
                <c:pt idx="147">
                  <c:v>20.595546227160934</c:v>
                </c:pt>
                <c:pt idx="148">
                  <c:v>22.189179360629474</c:v>
                </c:pt>
                <c:pt idx="149">
                  <c:v>24.586894555119692</c:v>
                </c:pt>
                <c:pt idx="150">
                  <c:v>25.139145212312819</c:v>
                </c:pt>
                <c:pt idx="151">
                  <c:v>23.375584804927822</c:v>
                </c:pt>
                <c:pt idx="152">
                  <c:v>21.660604138123105</c:v>
                </c:pt>
                <c:pt idx="153">
                  <c:v>22.3359169886633</c:v>
                </c:pt>
                <c:pt idx="154">
                  <c:v>24.664591238489713</c:v>
                </c:pt>
                <c:pt idx="155">
                  <c:v>26.362224884394593</c:v>
                </c:pt>
                <c:pt idx="156">
                  <c:v>27.236297744704359</c:v>
                </c:pt>
                <c:pt idx="157">
                  <c:v>26.479329288061127</c:v>
                </c:pt>
                <c:pt idx="158">
                  <c:v>25.292793983939482</c:v>
                </c:pt>
                <c:pt idx="159">
                  <c:v>23.788383307536428</c:v>
                </c:pt>
                <c:pt idx="160">
                  <c:v>22.659779896665043</c:v>
                </c:pt>
                <c:pt idx="161">
                  <c:v>21.823759996975422</c:v>
                </c:pt>
                <c:pt idx="162">
                  <c:v>21.035624120939307</c:v>
                </c:pt>
                <c:pt idx="163">
                  <c:v>20.337619635947586</c:v>
                </c:pt>
                <c:pt idx="164">
                  <c:v>19.593502357588264</c:v>
                </c:pt>
                <c:pt idx="165">
                  <c:v>17.376816626676831</c:v>
                </c:pt>
                <c:pt idx="166">
                  <c:v>18.679179717311207</c:v>
                </c:pt>
                <c:pt idx="167">
                  <c:v>20.734919991768617</c:v>
                </c:pt>
                <c:pt idx="168">
                  <c:v>24.053107363382644</c:v>
                </c:pt>
                <c:pt idx="169">
                  <c:v>23.977519415013145</c:v>
                </c:pt>
                <c:pt idx="170">
                  <c:v>25.248947694622075</c:v>
                </c:pt>
                <c:pt idx="171">
                  <c:v>26.661009089017806</c:v>
                </c:pt>
                <c:pt idx="172">
                  <c:v>27.440507497031675</c:v>
                </c:pt>
                <c:pt idx="173">
                  <c:v>26.468827771029069</c:v>
                </c:pt>
                <c:pt idx="174">
                  <c:v>25.24984933946175</c:v>
                </c:pt>
                <c:pt idx="175">
                  <c:v>23.97549535742867</c:v>
                </c:pt>
                <c:pt idx="176">
                  <c:v>22.231233224796135</c:v>
                </c:pt>
                <c:pt idx="177">
                  <c:v>22.935292648807156</c:v>
                </c:pt>
                <c:pt idx="178">
                  <c:v>23.675828477291766</c:v>
                </c:pt>
                <c:pt idx="179">
                  <c:v>24.62072309668957</c:v>
                </c:pt>
                <c:pt idx="180">
                  <c:v>22.749250857252772</c:v>
                </c:pt>
                <c:pt idx="181">
                  <c:v>21.220033804115648</c:v>
                </c:pt>
                <c:pt idx="182">
                  <c:v>20.816605280668185</c:v>
                </c:pt>
                <c:pt idx="183">
                  <c:v>20.610505393905548</c:v>
                </c:pt>
                <c:pt idx="184">
                  <c:v>20.021534951237243</c:v>
                </c:pt>
                <c:pt idx="185">
                  <c:v>18.716202353393331</c:v>
                </c:pt>
                <c:pt idx="186">
                  <c:v>18.253403520441186</c:v>
                </c:pt>
                <c:pt idx="187">
                  <c:v>19.771140153264021</c:v>
                </c:pt>
                <c:pt idx="188">
                  <c:v>21.485299895347609</c:v>
                </c:pt>
                <c:pt idx="189">
                  <c:v>23.070362727529648</c:v>
                </c:pt>
                <c:pt idx="190">
                  <c:v>22.87587263773711</c:v>
                </c:pt>
                <c:pt idx="191">
                  <c:v>22.69847705142498</c:v>
                </c:pt>
                <c:pt idx="192">
                  <c:v>23.294536731674675</c:v>
                </c:pt>
                <c:pt idx="193">
                  <c:v>24.767647558848452</c:v>
                </c:pt>
                <c:pt idx="194">
                  <c:v>27.496288551066446</c:v>
                </c:pt>
                <c:pt idx="195">
                  <c:v>30.04024653884121</c:v>
                </c:pt>
                <c:pt idx="196">
                  <c:v>31.426559980122253</c:v>
                </c:pt>
                <c:pt idx="197">
                  <c:v>30.158373490834961</c:v>
                </c:pt>
                <c:pt idx="198">
                  <c:v>26.179575281061208</c:v>
                </c:pt>
                <c:pt idx="199">
                  <c:v>22.279142576865709</c:v>
                </c:pt>
                <c:pt idx="200">
                  <c:v>27.251217339691646</c:v>
                </c:pt>
                <c:pt idx="201">
                  <c:v>25.739887303744034</c:v>
                </c:pt>
                <c:pt idx="202">
                  <c:v>30.334297508476709</c:v>
                </c:pt>
                <c:pt idx="203">
                  <c:v>30.424756998317427</c:v>
                </c:pt>
                <c:pt idx="204">
                  <c:v>30.954103358597489</c:v>
                </c:pt>
                <c:pt idx="205">
                  <c:v>30.855027541537751</c:v>
                </c:pt>
                <c:pt idx="206">
                  <c:v>30.50414102408218</c:v>
                </c:pt>
                <c:pt idx="207">
                  <c:v>30.007195821607834</c:v>
                </c:pt>
                <c:pt idx="208">
                  <c:v>30.190736823910751</c:v>
                </c:pt>
                <c:pt idx="209">
                  <c:v>30.29558675150788</c:v>
                </c:pt>
                <c:pt idx="210">
                  <c:v>30.649418862931434</c:v>
                </c:pt>
                <c:pt idx="211">
                  <c:v>30.426362609687935</c:v>
                </c:pt>
                <c:pt idx="212">
                  <c:v>31.126639710362081</c:v>
                </c:pt>
                <c:pt idx="213">
                  <c:v>32.700800137087974</c:v>
                </c:pt>
                <c:pt idx="214">
                  <c:v>34.776251590559291</c:v>
                </c:pt>
                <c:pt idx="215">
                  <c:v>35.990024106490246</c:v>
                </c:pt>
                <c:pt idx="216">
                  <c:v>36.609225265827071</c:v>
                </c:pt>
                <c:pt idx="217">
                  <c:v>36.430223866100924</c:v>
                </c:pt>
                <c:pt idx="218">
                  <c:v>36.644791367408445</c:v>
                </c:pt>
                <c:pt idx="219">
                  <c:v>37.070070075776414</c:v>
                </c:pt>
                <c:pt idx="220">
                  <c:v>38.221935072241592</c:v>
                </c:pt>
                <c:pt idx="221">
                  <c:v>39.928383915307002</c:v>
                </c:pt>
                <c:pt idx="222">
                  <c:v>40.712445738681311</c:v>
                </c:pt>
                <c:pt idx="223">
                  <c:v>40.976625458923408</c:v>
                </c:pt>
                <c:pt idx="224">
                  <c:v>40.553790334106452</c:v>
                </c:pt>
                <c:pt idx="225">
                  <c:v>38.626200666424488</c:v>
                </c:pt>
                <c:pt idx="226">
                  <c:v>36.299566095992404</c:v>
                </c:pt>
                <c:pt idx="227">
                  <c:v>35.000625897803893</c:v>
                </c:pt>
                <c:pt idx="228">
                  <c:v>35.397136019187833</c:v>
                </c:pt>
                <c:pt idx="229">
                  <c:v>36.510795439910197</c:v>
                </c:pt>
                <c:pt idx="230">
                  <c:v>36.2969179158926</c:v>
                </c:pt>
                <c:pt idx="231">
                  <c:v>36.000412345253231</c:v>
                </c:pt>
                <c:pt idx="232">
                  <c:v>36.018589800122506</c:v>
                </c:pt>
                <c:pt idx="233">
                  <c:v>36.086699837934162</c:v>
                </c:pt>
                <c:pt idx="234">
                  <c:v>36.883387681273739</c:v>
                </c:pt>
                <c:pt idx="235">
                  <c:v>37.931117254447372</c:v>
                </c:pt>
                <c:pt idx="236">
                  <c:v>38.587530181565342</c:v>
                </c:pt>
                <c:pt idx="237">
                  <c:v>38.904813500766586</c:v>
                </c:pt>
                <c:pt idx="238">
                  <c:v>38.270497163005416</c:v>
                </c:pt>
                <c:pt idx="239">
                  <c:v>38.075798844179538</c:v>
                </c:pt>
                <c:pt idx="240">
                  <c:v>37.53916197905837</c:v>
                </c:pt>
                <c:pt idx="241">
                  <c:v>37.414291177831615</c:v>
                </c:pt>
                <c:pt idx="242">
                  <c:v>37.800163994820217</c:v>
                </c:pt>
                <c:pt idx="243">
                  <c:v>38.284095001045053</c:v>
                </c:pt>
                <c:pt idx="244">
                  <c:v>38.037535916475704</c:v>
                </c:pt>
                <c:pt idx="245">
                  <c:v>37.830637774302971</c:v>
                </c:pt>
                <c:pt idx="246">
                  <c:v>37.591992759465242</c:v>
                </c:pt>
                <c:pt idx="247">
                  <c:v>37.720632683004645</c:v>
                </c:pt>
                <c:pt idx="248">
                  <c:v>37.771100137680506</c:v>
                </c:pt>
                <c:pt idx="249">
                  <c:v>37.389472581370683</c:v>
                </c:pt>
                <c:pt idx="250">
                  <c:v>38.078967816284575</c:v>
                </c:pt>
                <c:pt idx="251">
                  <c:v>38.446419186954849</c:v>
                </c:pt>
                <c:pt idx="252">
                  <c:v>38.649130619545467</c:v>
                </c:pt>
                <c:pt idx="253">
                  <c:v>38.61483627736704</c:v>
                </c:pt>
                <c:pt idx="254">
                  <c:v>38.479042995378364</c:v>
                </c:pt>
                <c:pt idx="255">
                  <c:v>39.310474554108382</c:v>
                </c:pt>
                <c:pt idx="256">
                  <c:v>38.944184678654963</c:v>
                </c:pt>
                <c:pt idx="257">
                  <c:v>38.782933284979549</c:v>
                </c:pt>
                <c:pt idx="258">
                  <c:v>37.829581596826962</c:v>
                </c:pt>
                <c:pt idx="259">
                  <c:v>37.217222071201284</c:v>
                </c:pt>
                <c:pt idx="260">
                  <c:v>37.585422449544083</c:v>
                </c:pt>
                <c:pt idx="261">
                  <c:v>38.299117428914982</c:v>
                </c:pt>
                <c:pt idx="262">
                  <c:v>39.467336133632671</c:v>
                </c:pt>
                <c:pt idx="263">
                  <c:v>39.462650690216584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1-4B44-A6B1-5424842E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123825</xdr:rowOff>
    </xdr:from>
    <xdr:to>
      <xdr:col>24</xdr:col>
      <xdr:colOff>330200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48</xdr:row>
      <xdr:rowOff>85725</xdr:rowOff>
    </xdr:from>
    <xdr:to>
      <xdr:col>7</xdr:col>
      <xdr:colOff>419100</xdr:colOff>
      <xdr:row>63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8959C-58EB-4134-9E1A-CECB8D6EC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workbookViewId="0">
      <selection activeCell="A2" sqref="A2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282</v>
      </c>
      <c r="B2">
        <v>15.435589697515699</v>
      </c>
    </row>
    <row r="3" spans="1:16" x14ac:dyDescent="0.35">
      <c r="A3" t="s">
        <v>3</v>
      </c>
      <c r="B3">
        <v>1.36</v>
      </c>
    </row>
    <row r="4" spans="1:16" x14ac:dyDescent="0.35">
      <c r="A4" t="s">
        <v>4</v>
      </c>
      <c r="B4">
        <v>2.0754856781361992</v>
      </c>
      <c r="J4" t="s">
        <v>8</v>
      </c>
      <c r="O4" t="s">
        <v>10</v>
      </c>
    </row>
    <row r="5" spans="1:16" x14ac:dyDescent="0.35">
      <c r="A5" t="s">
        <v>15</v>
      </c>
      <c r="B5">
        <v>0.01</v>
      </c>
      <c r="J5" t="s">
        <v>5</v>
      </c>
      <c r="K5">
        <f>RSQ(B8:B400,C8:C400)</f>
        <v>0.77785435120978674</v>
      </c>
      <c r="O5" t="s">
        <v>9</v>
      </c>
    </row>
    <row r="6" spans="1:16" x14ac:dyDescent="0.35">
      <c r="J6" t="s">
        <v>6</v>
      </c>
      <c r="K6" cm="1">
        <f t="array" ref="K6">SQRT(SUMSQ(B8:B400-C8:C400) / COUNTA(B8:B400))</f>
        <v>0.3270279030096479</v>
      </c>
      <c r="N6" t="s">
        <v>6</v>
      </c>
      <c r="O6" cm="1">
        <f t="array" ref="O6">SQRT(SUMSQ(D8:D400-E8:E400) / COUNTA(D8:D400))</f>
        <v>2.955742226858566</v>
      </c>
      <c r="P6" cm="1">
        <f t="array" ref="P6">SQRT(SUMSQ(D8:D400-F8:F400) / COUNTA(D8:D400))</f>
        <v>2.9234945391234648</v>
      </c>
    </row>
    <row r="7" spans="1:16" x14ac:dyDescent="0.35">
      <c r="A7" t="s">
        <v>0</v>
      </c>
      <c r="B7" t="s">
        <v>14</v>
      </c>
      <c r="C7" t="s">
        <v>281</v>
      </c>
      <c r="D7" t="s">
        <v>11</v>
      </c>
      <c r="E7" t="s">
        <v>7</v>
      </c>
      <c r="F7" t="s">
        <v>12</v>
      </c>
      <c r="G7" t="s">
        <v>280</v>
      </c>
      <c r="H7" t="s">
        <v>13</v>
      </c>
    </row>
    <row r="8" spans="1:16" x14ac:dyDescent="0.35">
      <c r="A8" t="s">
        <v>16</v>
      </c>
      <c r="B8">
        <f xml:space="preserve"> H8/(1-$B$5*G8)</f>
        <v>9.78842518939393</v>
      </c>
      <c r="C8">
        <f>$B$2/(1+$B$4*((D8/100)/$B$3))</f>
        <v>9.8411265022157508</v>
      </c>
      <c r="D8">
        <v>37.250557261724502</v>
      </c>
      <c r="E8">
        <f xml:space="preserve"> (13.958 - B8)/0.1111</f>
        <v>37.529926288083438</v>
      </c>
      <c r="F8">
        <f xml:space="preserve"> ((($B$3 *($B$2-B8))/($B$4*B8)))*100</f>
        <v>37.803915253783408</v>
      </c>
      <c r="G8">
        <v>0</v>
      </c>
      <c r="H8">
        <v>9.78842518939393</v>
      </c>
    </row>
    <row r="9" spans="1:16" x14ac:dyDescent="0.35">
      <c r="A9" t="s">
        <v>17</v>
      </c>
      <c r="B9">
        <f t="shared" ref="B9:B72" si="0" xml:space="preserve"> H9/(1-$B$5*G9)</f>
        <v>9.8325917929292892</v>
      </c>
      <c r="C9">
        <f t="shared" ref="C9:C72" si="1">$B$2/(1+$B$4*((D9/100)/$B$3))</f>
        <v>9.8817793537722274</v>
      </c>
      <c r="D9">
        <v>36.827739288057799</v>
      </c>
      <c r="E9">
        <f t="shared" ref="E9:E72" si="2" xml:space="preserve"> (13.958 - B9)/0.1111</f>
        <v>37.132387102346634</v>
      </c>
      <c r="F9">
        <f t="shared" ref="F9:F72" si="3" xml:space="preserve"> ((($B$3 *($B$2-B9))/($B$4*B9)))*100</f>
        <v>37.339768240019282</v>
      </c>
      <c r="G9">
        <v>0</v>
      </c>
      <c r="H9">
        <v>9.8325917929292892</v>
      </c>
    </row>
    <row r="10" spans="1:16" x14ac:dyDescent="0.35">
      <c r="A10" t="s">
        <v>18</v>
      </c>
      <c r="B10">
        <f t="shared" si="0"/>
        <v>9.8492458333333293</v>
      </c>
      <c r="C10">
        <f t="shared" si="1"/>
        <v>9.9133197045397878</v>
      </c>
      <c r="D10">
        <v>36.502086615008203</v>
      </c>
      <c r="E10">
        <f t="shared" si="2"/>
        <v>36.982485748574895</v>
      </c>
      <c r="F10">
        <f t="shared" si="3"/>
        <v>37.165831622456551</v>
      </c>
      <c r="G10">
        <v>0</v>
      </c>
      <c r="H10">
        <v>9.8492458333333293</v>
      </c>
    </row>
    <row r="11" spans="1:16" x14ac:dyDescent="0.35">
      <c r="A11" t="s">
        <v>19</v>
      </c>
      <c r="B11">
        <f t="shared" si="0"/>
        <v>9.8654333333333302</v>
      </c>
      <c r="C11">
        <f t="shared" si="1"/>
        <v>9.7868159746196071</v>
      </c>
      <c r="D11">
        <v>37.820905597170601</v>
      </c>
      <c r="E11">
        <f t="shared" si="2"/>
        <v>36.836783678367865</v>
      </c>
      <c r="F11">
        <f t="shared" si="3"/>
        <v>36.997330409616197</v>
      </c>
      <c r="G11">
        <v>0</v>
      </c>
      <c r="H11">
        <v>9.8654333333333302</v>
      </c>
    </row>
    <row r="12" spans="1:16" x14ac:dyDescent="0.35">
      <c r="A12" t="s">
        <v>20</v>
      </c>
      <c r="B12">
        <f t="shared" si="0"/>
        <v>9.8578541666666606</v>
      </c>
      <c r="C12">
        <f t="shared" si="1"/>
        <v>9.828202990283236</v>
      </c>
      <c r="D12">
        <v>37.385703514750197</v>
      </c>
      <c r="E12">
        <f t="shared" si="2"/>
        <v>36.905003000300084</v>
      </c>
      <c r="F12">
        <f t="shared" si="3"/>
        <v>37.07615564847621</v>
      </c>
      <c r="G12">
        <v>0</v>
      </c>
      <c r="H12">
        <v>9.8578541666666606</v>
      </c>
    </row>
    <row r="13" spans="1:16" x14ac:dyDescent="0.35">
      <c r="A13" t="s">
        <v>21</v>
      </c>
      <c r="B13">
        <f t="shared" si="0"/>
        <v>9.8476513888888899</v>
      </c>
      <c r="C13">
        <f t="shared" si="1"/>
        <v>9.9299881307732765</v>
      </c>
      <c r="D13">
        <v>36.330821405988701</v>
      </c>
      <c r="E13">
        <f t="shared" si="2"/>
        <v>36.996837183718362</v>
      </c>
      <c r="F13">
        <f t="shared" si="3"/>
        <v>37.182458708397611</v>
      </c>
      <c r="G13">
        <v>0</v>
      </c>
      <c r="H13">
        <v>9.8476513888888899</v>
      </c>
    </row>
    <row r="14" spans="1:16" x14ac:dyDescent="0.35">
      <c r="A14" t="s">
        <v>22</v>
      </c>
      <c r="B14">
        <f t="shared" si="0"/>
        <v>9.7518624999999997</v>
      </c>
      <c r="C14">
        <f t="shared" si="1"/>
        <v>9.7208505896797117</v>
      </c>
      <c r="D14">
        <v>38.522220074486697</v>
      </c>
      <c r="E14">
        <f t="shared" si="2"/>
        <v>37.859023402340235</v>
      </c>
      <c r="F14">
        <f t="shared" si="3"/>
        <v>38.191333553919108</v>
      </c>
      <c r="G14">
        <v>0</v>
      </c>
      <c r="H14">
        <v>9.7518624999999997</v>
      </c>
    </row>
    <row r="15" spans="1:16" x14ac:dyDescent="0.35">
      <c r="A15" t="s">
        <v>23</v>
      </c>
      <c r="B15">
        <f t="shared" si="0"/>
        <v>9.6934749999999994</v>
      </c>
      <c r="C15">
        <f t="shared" si="1"/>
        <v>9.6580279149542765</v>
      </c>
      <c r="D15">
        <v>39.199029022511397</v>
      </c>
      <c r="E15">
        <f t="shared" si="2"/>
        <v>38.384563456345639</v>
      </c>
      <c r="F15">
        <f t="shared" si="3"/>
        <v>38.816067651166115</v>
      </c>
      <c r="G15">
        <v>0</v>
      </c>
      <c r="H15">
        <v>9.6934749999999994</v>
      </c>
    </row>
    <row r="16" spans="1:16" x14ac:dyDescent="0.35">
      <c r="A16" t="s">
        <v>24</v>
      </c>
      <c r="B16">
        <f t="shared" si="0"/>
        <v>9.7019472222222198</v>
      </c>
      <c r="C16">
        <f t="shared" si="1"/>
        <v>9.6768813413709722</v>
      </c>
      <c r="D16">
        <v>38.994992077880099</v>
      </c>
      <c r="E16">
        <f t="shared" si="2"/>
        <v>38.30830583058308</v>
      </c>
      <c r="F16">
        <f t="shared" si="3"/>
        <v>38.724950248917075</v>
      </c>
      <c r="G16">
        <v>0</v>
      </c>
      <c r="H16">
        <v>9.7019472222222198</v>
      </c>
    </row>
    <row r="17" spans="1:8" x14ac:dyDescent="0.35">
      <c r="A17" t="s">
        <v>25</v>
      </c>
      <c r="B17">
        <f t="shared" si="0"/>
        <v>9.7632777777777697</v>
      </c>
      <c r="C17">
        <f t="shared" si="1"/>
        <v>9.7174977859754286</v>
      </c>
      <c r="D17">
        <v>38.558119855760197</v>
      </c>
      <c r="E17">
        <f t="shared" si="2"/>
        <v>37.756275627562829</v>
      </c>
      <c r="F17">
        <f t="shared" si="3"/>
        <v>38.070065708229976</v>
      </c>
      <c r="G17">
        <v>0</v>
      </c>
      <c r="H17">
        <v>9.7632777777777697</v>
      </c>
    </row>
    <row r="18" spans="1:8" x14ac:dyDescent="0.35">
      <c r="A18" t="s">
        <v>26</v>
      </c>
      <c r="B18">
        <f t="shared" si="0"/>
        <v>9.7471638888888901</v>
      </c>
      <c r="C18">
        <f t="shared" si="1"/>
        <v>9.720736717406524</v>
      </c>
      <c r="D18">
        <v>38.523438943215801</v>
      </c>
      <c r="E18">
        <f t="shared" si="2"/>
        <v>37.901315131513144</v>
      </c>
      <c r="F18">
        <f t="shared" si="3"/>
        <v>38.241330796973116</v>
      </c>
      <c r="G18">
        <v>0</v>
      </c>
      <c r="H18">
        <v>9.7471638888888901</v>
      </c>
    </row>
    <row r="19" spans="1:8" x14ac:dyDescent="0.35">
      <c r="A19" t="s">
        <v>27</v>
      </c>
      <c r="B19">
        <f t="shared" si="0"/>
        <v>9.7309222222222207</v>
      </c>
      <c r="C19">
        <f t="shared" si="1"/>
        <v>9.7744989692864284</v>
      </c>
      <c r="D19">
        <v>37.951135763560401</v>
      </c>
      <c r="E19">
        <f t="shared" si="2"/>
        <v>38.047504750475063</v>
      </c>
      <c r="F19">
        <f t="shared" si="3"/>
        <v>38.414527937152776</v>
      </c>
      <c r="G19">
        <v>0</v>
      </c>
      <c r="H19">
        <v>9.7309222222222207</v>
      </c>
    </row>
    <row r="20" spans="1:8" x14ac:dyDescent="0.35">
      <c r="A20" t="s">
        <v>28</v>
      </c>
      <c r="B20">
        <f t="shared" si="0"/>
        <v>9.7758777777777706</v>
      </c>
      <c r="C20">
        <f t="shared" si="1"/>
        <v>9.8342916859265639</v>
      </c>
      <c r="D20">
        <v>37.3219873750744</v>
      </c>
      <c r="E20">
        <f t="shared" si="2"/>
        <v>37.642864286428711</v>
      </c>
      <c r="F20">
        <f t="shared" si="3"/>
        <v>37.936541033249121</v>
      </c>
      <c r="G20">
        <v>0</v>
      </c>
      <c r="H20">
        <v>9.7758777777777706</v>
      </c>
    </row>
    <row r="21" spans="1:8" x14ac:dyDescent="0.35">
      <c r="A21" t="s">
        <v>29</v>
      </c>
      <c r="B21">
        <f t="shared" si="0"/>
        <v>9.9101972222222194</v>
      </c>
      <c r="C21">
        <f t="shared" si="1"/>
        <v>9.871955966408354</v>
      </c>
      <c r="D21">
        <v>36.929590288939401</v>
      </c>
      <c r="E21">
        <f t="shared" si="2"/>
        <v>36.433868386838711</v>
      </c>
      <c r="F21">
        <f t="shared" si="3"/>
        <v>36.53423365356673</v>
      </c>
      <c r="G21">
        <v>0</v>
      </c>
      <c r="H21">
        <v>9.9101972222222194</v>
      </c>
    </row>
    <row r="22" spans="1:8" x14ac:dyDescent="0.35">
      <c r="A22" t="s">
        <v>30</v>
      </c>
      <c r="B22">
        <f t="shared" si="0"/>
        <v>10.019018055555501</v>
      </c>
      <c r="C22">
        <f t="shared" si="1"/>
        <v>9.8577332518137055</v>
      </c>
      <c r="D22">
        <v>37.077414175641501</v>
      </c>
      <c r="E22">
        <f t="shared" si="2"/>
        <v>35.454382938294323</v>
      </c>
      <c r="F22">
        <f t="shared" si="3"/>
        <v>35.425704845358624</v>
      </c>
      <c r="G22">
        <v>0</v>
      </c>
      <c r="H22">
        <v>10.019018055555501</v>
      </c>
    </row>
    <row r="23" spans="1:8" x14ac:dyDescent="0.35">
      <c r="A23" t="s">
        <v>31</v>
      </c>
      <c r="B23">
        <f t="shared" si="0"/>
        <v>10.0024</v>
      </c>
      <c r="C23">
        <f t="shared" si="1"/>
        <v>9.8742612731933672</v>
      </c>
      <c r="D23">
        <v>36.905670172037802</v>
      </c>
      <c r="E23">
        <f t="shared" si="2"/>
        <v>35.603960396039604</v>
      </c>
      <c r="F23">
        <f t="shared" si="3"/>
        <v>35.59342807727883</v>
      </c>
      <c r="G23">
        <v>0</v>
      </c>
      <c r="H23">
        <v>10.0024</v>
      </c>
    </row>
    <row r="24" spans="1:8" x14ac:dyDescent="0.35">
      <c r="A24" t="s">
        <v>32</v>
      </c>
      <c r="B24">
        <f t="shared" si="0"/>
        <v>9.9267680555555504</v>
      </c>
      <c r="C24">
        <f t="shared" si="1"/>
        <v>9.8302655462579658</v>
      </c>
      <c r="D24">
        <v>37.364110724335703</v>
      </c>
      <c r="E24">
        <f t="shared" si="2"/>
        <v>36.284715971597208</v>
      </c>
      <c r="F24">
        <f t="shared" si="3"/>
        <v>36.363862301226597</v>
      </c>
      <c r="G24">
        <v>0</v>
      </c>
      <c r="H24">
        <v>9.9267680555555504</v>
      </c>
    </row>
    <row r="25" spans="1:8" x14ac:dyDescent="0.35">
      <c r="A25" t="s">
        <v>33</v>
      </c>
      <c r="B25">
        <f t="shared" si="0"/>
        <v>9.8343486111111105</v>
      </c>
      <c r="C25">
        <f t="shared" si="1"/>
        <v>9.7940985088042218</v>
      </c>
      <c r="D25">
        <v>37.744059991978702</v>
      </c>
      <c r="E25">
        <f t="shared" si="2"/>
        <v>37.116574157415748</v>
      </c>
      <c r="F25">
        <f t="shared" si="3"/>
        <v>37.321392044542826</v>
      </c>
      <c r="G25">
        <v>0</v>
      </c>
      <c r="H25">
        <v>9.8343486111111105</v>
      </c>
    </row>
    <row r="26" spans="1:8" x14ac:dyDescent="0.35">
      <c r="A26" t="s">
        <v>34</v>
      </c>
      <c r="B26">
        <f t="shared" si="0"/>
        <v>9.8528374999999997</v>
      </c>
      <c r="C26">
        <f t="shared" si="1"/>
        <v>9.7274945066559404</v>
      </c>
      <c r="D26">
        <v>38.451154163460501</v>
      </c>
      <c r="E26">
        <f t="shared" si="2"/>
        <v>36.950157515751577</v>
      </c>
      <c r="F26">
        <f t="shared" si="3"/>
        <v>37.128396942902683</v>
      </c>
      <c r="G26">
        <v>0</v>
      </c>
      <c r="H26">
        <v>9.8528374999999997</v>
      </c>
    </row>
    <row r="27" spans="1:8" x14ac:dyDescent="0.35">
      <c r="A27" t="s">
        <v>35</v>
      </c>
      <c r="B27">
        <f t="shared" si="0"/>
        <v>9.8700152777777692</v>
      </c>
      <c r="C27">
        <f t="shared" si="1"/>
        <v>9.7449678298207019</v>
      </c>
      <c r="D27">
        <v>38.264715277809898</v>
      </c>
      <c r="E27">
        <f t="shared" si="2"/>
        <v>36.795542054205498</v>
      </c>
      <c r="F27">
        <f t="shared" si="3"/>
        <v>36.949735750421333</v>
      </c>
      <c r="G27">
        <v>0</v>
      </c>
      <c r="H27">
        <v>9.8700152777777692</v>
      </c>
    </row>
    <row r="28" spans="1:8" x14ac:dyDescent="0.35">
      <c r="A28" t="s">
        <v>36</v>
      </c>
      <c r="B28">
        <f t="shared" si="0"/>
        <v>9.8897222222222201</v>
      </c>
      <c r="C28">
        <f t="shared" si="1"/>
        <v>9.8232171798683545</v>
      </c>
      <c r="D28">
        <v>37.437937154580602</v>
      </c>
      <c r="E28">
        <f t="shared" si="2"/>
        <v>36.61816181618164</v>
      </c>
      <c r="F28">
        <f t="shared" si="3"/>
        <v>36.74553385583598</v>
      </c>
      <c r="G28">
        <v>0</v>
      </c>
      <c r="H28">
        <v>9.8897222222222201</v>
      </c>
    </row>
    <row r="29" spans="1:8" x14ac:dyDescent="0.35">
      <c r="A29" t="s">
        <v>37</v>
      </c>
      <c r="B29">
        <f t="shared" si="0"/>
        <v>9.7759402777777709</v>
      </c>
      <c r="C29">
        <f t="shared" si="1"/>
        <v>9.7089838720779351</v>
      </c>
      <c r="D29">
        <v>38.649393085200501</v>
      </c>
      <c r="E29">
        <f t="shared" si="2"/>
        <v>37.642301730173081</v>
      </c>
      <c r="F29">
        <f t="shared" si="3"/>
        <v>37.935879566363049</v>
      </c>
      <c r="G29">
        <v>0</v>
      </c>
      <c r="H29">
        <v>9.7759402777777709</v>
      </c>
    </row>
    <row r="30" spans="1:8" x14ac:dyDescent="0.35">
      <c r="A30" t="s">
        <v>38</v>
      </c>
      <c r="B30">
        <f t="shared" si="0"/>
        <v>9.7120486111111095</v>
      </c>
      <c r="C30">
        <f t="shared" si="1"/>
        <v>9.7236161632252198</v>
      </c>
      <c r="D30">
        <v>38.492626629082899</v>
      </c>
      <c r="E30">
        <f t="shared" si="2"/>
        <v>38.217384238423854</v>
      </c>
      <c r="F30">
        <f t="shared" si="3"/>
        <v>38.616519182470121</v>
      </c>
      <c r="G30">
        <v>0</v>
      </c>
      <c r="H30">
        <v>9.7120486111111095</v>
      </c>
    </row>
    <row r="31" spans="1:8" x14ac:dyDescent="0.35">
      <c r="A31" t="s">
        <v>39</v>
      </c>
      <c r="B31">
        <f t="shared" si="0"/>
        <v>9.7010263888888897</v>
      </c>
      <c r="C31">
        <f t="shared" si="1"/>
        <v>9.8259772274014576</v>
      </c>
      <c r="D31">
        <v>37.409015079073001</v>
      </c>
      <c r="E31">
        <f t="shared" si="2"/>
        <v>38.316594159415935</v>
      </c>
      <c r="F31">
        <f t="shared" si="3"/>
        <v>38.734845956000704</v>
      </c>
      <c r="G31">
        <v>0</v>
      </c>
      <c r="H31">
        <v>9.7010263888888897</v>
      </c>
    </row>
    <row r="32" spans="1:8" x14ac:dyDescent="0.35">
      <c r="A32" t="s">
        <v>40</v>
      </c>
      <c r="B32">
        <f t="shared" si="0"/>
        <v>9.8362208333333303</v>
      </c>
      <c r="C32">
        <f t="shared" si="1"/>
        <v>9.8813202320699762</v>
      </c>
      <c r="D32">
        <v>36.832495049798197</v>
      </c>
      <c r="E32">
        <f t="shared" si="2"/>
        <v>37.099722472247251</v>
      </c>
      <c r="F32">
        <f t="shared" si="3"/>
        <v>37.30181595606156</v>
      </c>
      <c r="G32">
        <v>0</v>
      </c>
      <c r="H32">
        <v>9.8362208333333303</v>
      </c>
    </row>
    <row r="33" spans="1:8" x14ac:dyDescent="0.35">
      <c r="A33" t="s">
        <v>41</v>
      </c>
      <c r="B33">
        <f t="shared" si="0"/>
        <v>9.8075472222222206</v>
      </c>
      <c r="C33">
        <f t="shared" si="1"/>
        <v>9.6864503826764334</v>
      </c>
      <c r="D33">
        <v>38.891737159288901</v>
      </c>
      <c r="E33">
        <f t="shared" si="2"/>
        <v>37.357810781078122</v>
      </c>
      <c r="F33">
        <f t="shared" si="3"/>
        <v>37.602448578787744</v>
      </c>
      <c r="G33">
        <v>0</v>
      </c>
      <c r="H33">
        <v>9.8075472222222206</v>
      </c>
    </row>
    <row r="34" spans="1:8" x14ac:dyDescent="0.35">
      <c r="A34" t="s">
        <v>42</v>
      </c>
      <c r="B34">
        <f t="shared" si="0"/>
        <v>9.8061319444444397</v>
      </c>
      <c r="C34">
        <f t="shared" si="1"/>
        <v>9.7047835459283434</v>
      </c>
      <c r="D34">
        <v>38.694481583835099</v>
      </c>
      <c r="E34">
        <f t="shared" si="2"/>
        <v>37.370549554955538</v>
      </c>
      <c r="F34">
        <f t="shared" si="3"/>
        <v>37.617332793985774</v>
      </c>
      <c r="G34">
        <v>0</v>
      </c>
      <c r="H34">
        <v>9.8061319444444397</v>
      </c>
    </row>
    <row r="35" spans="1:8" x14ac:dyDescent="0.35">
      <c r="A35" t="s">
        <v>43</v>
      </c>
      <c r="B35">
        <f t="shared" si="0"/>
        <v>9.7371305555555505</v>
      </c>
      <c r="C35">
        <f t="shared" si="1"/>
        <v>9.7805028401701541</v>
      </c>
      <c r="D35">
        <v>37.887614657947402</v>
      </c>
      <c r="E35">
        <f t="shared" si="2"/>
        <v>37.991624162416286</v>
      </c>
      <c r="F35">
        <f t="shared" si="3"/>
        <v>38.348255578793143</v>
      </c>
      <c r="G35">
        <v>0</v>
      </c>
      <c r="H35">
        <v>9.7371305555555505</v>
      </c>
    </row>
    <row r="36" spans="1:8" x14ac:dyDescent="0.35">
      <c r="A36" t="s">
        <v>44</v>
      </c>
      <c r="B36">
        <f t="shared" si="0"/>
        <v>9.8166986111111108</v>
      </c>
      <c r="C36">
        <f t="shared" si="1"/>
        <v>9.8035718700958867</v>
      </c>
      <c r="D36">
        <v>37.644267541068402</v>
      </c>
      <c r="E36">
        <f t="shared" si="2"/>
        <v>37.275440044004405</v>
      </c>
      <c r="F36">
        <f t="shared" si="3"/>
        <v>37.506308706938285</v>
      </c>
      <c r="G36">
        <v>0</v>
      </c>
      <c r="H36">
        <v>9.8166986111111108</v>
      </c>
    </row>
    <row r="37" spans="1:8" x14ac:dyDescent="0.35">
      <c r="A37" t="s">
        <v>45</v>
      </c>
      <c r="B37">
        <f t="shared" si="0"/>
        <v>9.8623444444444406</v>
      </c>
      <c r="C37">
        <f t="shared" si="1"/>
        <v>9.7968655438294174</v>
      </c>
      <c r="D37">
        <v>37.714892073714701</v>
      </c>
      <c r="E37">
        <f t="shared" si="2"/>
        <v>36.864586458645903</v>
      </c>
      <c r="F37">
        <f t="shared" si="3"/>
        <v>37.029441004199981</v>
      </c>
      <c r="G37">
        <v>0</v>
      </c>
      <c r="H37">
        <v>9.8623444444444406</v>
      </c>
    </row>
    <row r="38" spans="1:8" x14ac:dyDescent="0.35">
      <c r="A38" t="s">
        <v>46</v>
      </c>
      <c r="B38">
        <f t="shared" si="0"/>
        <v>9.9816847222222194</v>
      </c>
      <c r="C38">
        <f t="shared" si="1"/>
        <v>9.7901683864796922</v>
      </c>
      <c r="D38">
        <v>37.785516606361</v>
      </c>
      <c r="E38">
        <f t="shared" si="2"/>
        <v>35.790416541654189</v>
      </c>
      <c r="F38">
        <f t="shared" si="3"/>
        <v>35.803285863943643</v>
      </c>
      <c r="G38">
        <v>0</v>
      </c>
      <c r="H38">
        <v>9.9816847222222194</v>
      </c>
    </row>
    <row r="39" spans="1:8" x14ac:dyDescent="0.35">
      <c r="A39" t="s">
        <v>47</v>
      </c>
      <c r="B39">
        <f t="shared" si="0"/>
        <v>9.8347315821256007</v>
      </c>
      <c r="C39">
        <f t="shared" si="1"/>
        <v>9.7396296761348324</v>
      </c>
      <c r="D39">
        <v>38.3216019609401</v>
      </c>
      <c r="E39">
        <f t="shared" si="2"/>
        <v>37.113127073576955</v>
      </c>
      <c r="F39">
        <f t="shared" si="3"/>
        <v>37.317387066051758</v>
      </c>
      <c r="G39">
        <v>0</v>
      </c>
      <c r="H39">
        <v>9.8347315821256007</v>
      </c>
    </row>
    <row r="40" spans="1:8" x14ac:dyDescent="0.35">
      <c r="A40" t="s">
        <v>48</v>
      </c>
      <c r="B40">
        <f t="shared" si="0"/>
        <v>9.8352690821256008</v>
      </c>
      <c r="C40">
        <f t="shared" si="1"/>
        <v>9.7034052469127765</v>
      </c>
      <c r="D40">
        <v>38.709285472713503</v>
      </c>
      <c r="E40">
        <f t="shared" si="2"/>
        <v>37.108289089778573</v>
      </c>
      <c r="F40">
        <f t="shared" si="3"/>
        <v>37.31176660290663</v>
      </c>
      <c r="G40">
        <v>0</v>
      </c>
      <c r="H40">
        <v>9.8352690821256008</v>
      </c>
    </row>
    <row r="41" spans="1:8" x14ac:dyDescent="0.35">
      <c r="A41" t="s">
        <v>49</v>
      </c>
      <c r="B41">
        <f t="shared" si="0"/>
        <v>9.9095621376811494</v>
      </c>
      <c r="C41">
        <f t="shared" si="1"/>
        <v>9.8214180203741055</v>
      </c>
      <c r="D41">
        <v>37.456798997182503</v>
      </c>
      <c r="E41">
        <f t="shared" si="2"/>
        <v>36.439584719341589</v>
      </c>
      <c r="F41">
        <f t="shared" si="3"/>
        <v>36.540774548484997</v>
      </c>
      <c r="G41">
        <v>0</v>
      </c>
      <c r="H41">
        <v>9.9095621376811494</v>
      </c>
    </row>
    <row r="42" spans="1:8" x14ac:dyDescent="0.35">
      <c r="A42" t="s">
        <v>50</v>
      </c>
      <c r="B42">
        <f t="shared" si="0"/>
        <v>9.9127569444444408</v>
      </c>
      <c r="C42">
        <f t="shared" si="1"/>
        <v>9.8801939125576084</v>
      </c>
      <c r="D42">
        <v>36.844163778936199</v>
      </c>
      <c r="E42">
        <f t="shared" si="2"/>
        <v>36.410828582858322</v>
      </c>
      <c r="F42">
        <f t="shared" si="3"/>
        <v>36.50787892928804</v>
      </c>
      <c r="G42">
        <v>0</v>
      </c>
      <c r="H42">
        <v>9.9127569444444408</v>
      </c>
    </row>
    <row r="43" spans="1:8" x14ac:dyDescent="0.35">
      <c r="A43" t="s">
        <v>51</v>
      </c>
      <c r="B43">
        <f t="shared" si="0"/>
        <v>9.85819861111111</v>
      </c>
      <c r="C43">
        <f t="shared" si="1"/>
        <v>9.7487810511396784</v>
      </c>
      <c r="D43">
        <v>38.224117367542597</v>
      </c>
      <c r="E43">
        <f t="shared" si="2"/>
        <v>36.90190269026904</v>
      </c>
      <c r="F43">
        <f t="shared" si="3"/>
        <v>37.072570710674732</v>
      </c>
      <c r="G43">
        <v>0</v>
      </c>
      <c r="H43">
        <v>9.85819861111111</v>
      </c>
    </row>
    <row r="44" spans="1:8" x14ac:dyDescent="0.35">
      <c r="A44" t="s">
        <v>52</v>
      </c>
      <c r="B44">
        <f t="shared" si="0"/>
        <v>9.8549486111111104</v>
      </c>
      <c r="C44">
        <f t="shared" si="1"/>
        <v>9.8510659337762476</v>
      </c>
      <c r="D44">
        <v>37.1468579436063</v>
      </c>
      <c r="E44">
        <f t="shared" si="2"/>
        <v>36.931155615561565</v>
      </c>
      <c r="F44">
        <f t="shared" si="3"/>
        <v>37.106406306359148</v>
      </c>
      <c r="G44">
        <v>0</v>
      </c>
      <c r="H44">
        <v>9.8549486111111104</v>
      </c>
    </row>
    <row r="45" spans="1:8" x14ac:dyDescent="0.35">
      <c r="A45" t="s">
        <v>53</v>
      </c>
      <c r="B45">
        <f t="shared" si="0"/>
        <v>9.9747347222222196</v>
      </c>
      <c r="C45">
        <f t="shared" si="1"/>
        <v>9.8923928517350621</v>
      </c>
      <c r="D45">
        <v>36.717923589951901</v>
      </c>
      <c r="E45">
        <f t="shared" si="2"/>
        <v>35.852972797279755</v>
      </c>
      <c r="F45">
        <f t="shared" si="3"/>
        <v>35.873888675371404</v>
      </c>
      <c r="G45">
        <v>0</v>
      </c>
      <c r="H45">
        <v>9.9747347222222196</v>
      </c>
    </row>
    <row r="46" spans="1:8" x14ac:dyDescent="0.35">
      <c r="A46" t="s">
        <v>54</v>
      </c>
      <c r="B46">
        <f t="shared" si="0"/>
        <v>10.0874305555555</v>
      </c>
      <c r="C46">
        <f t="shared" si="1"/>
        <v>9.9511628221363555</v>
      </c>
      <c r="D46">
        <v>36.1140824782252</v>
      </c>
      <c r="E46">
        <f t="shared" si="2"/>
        <v>34.838608860886595</v>
      </c>
      <c r="F46">
        <f t="shared" si="3"/>
        <v>34.741049288682454</v>
      </c>
      <c r="G46">
        <v>0</v>
      </c>
      <c r="H46">
        <v>10.0874305555555</v>
      </c>
    </row>
    <row r="47" spans="1:8" x14ac:dyDescent="0.35">
      <c r="A47" t="s">
        <v>55</v>
      </c>
      <c r="B47">
        <f t="shared" si="0"/>
        <v>10.1345888888888</v>
      </c>
      <c r="C47">
        <f t="shared" si="1"/>
        <v>10.012594013826959</v>
      </c>
      <c r="D47">
        <v>35.4904756034882</v>
      </c>
      <c r="E47">
        <f t="shared" si="2"/>
        <v>34.414141414142215</v>
      </c>
      <c r="F47">
        <f t="shared" si="3"/>
        <v>34.274482150181782</v>
      </c>
      <c r="G47">
        <v>0</v>
      </c>
      <c r="H47">
        <v>10.1345888888888</v>
      </c>
    </row>
    <row r="48" spans="1:8" x14ac:dyDescent="0.35">
      <c r="A48" t="s">
        <v>56</v>
      </c>
      <c r="B48">
        <f t="shared" si="0"/>
        <v>10.1352305555555</v>
      </c>
      <c r="C48">
        <f t="shared" si="1"/>
        <v>10.06618904927211</v>
      </c>
      <c r="D48">
        <v>34.9526329184134</v>
      </c>
      <c r="E48">
        <f t="shared" si="2"/>
        <v>34.40836583658416</v>
      </c>
      <c r="F48">
        <f t="shared" si="3"/>
        <v>34.268163677620663</v>
      </c>
      <c r="G48">
        <v>0</v>
      </c>
      <c r="H48">
        <v>10.1352305555555</v>
      </c>
    </row>
    <row r="49" spans="1:8" x14ac:dyDescent="0.35">
      <c r="A49" t="s">
        <v>57</v>
      </c>
      <c r="B49">
        <f t="shared" si="0"/>
        <v>9.9718347222222192</v>
      </c>
      <c r="C49">
        <f t="shared" si="1"/>
        <v>10.088160391832227</v>
      </c>
      <c r="D49">
        <v>34.733795326231601</v>
      </c>
      <c r="E49">
        <f t="shared" si="2"/>
        <v>35.879075407540782</v>
      </c>
      <c r="F49">
        <f t="shared" si="3"/>
        <v>35.903377941515927</v>
      </c>
      <c r="G49">
        <v>0</v>
      </c>
      <c r="H49">
        <v>9.9718347222222192</v>
      </c>
    </row>
    <row r="50" spans="1:8" x14ac:dyDescent="0.35">
      <c r="A50" t="s">
        <v>58</v>
      </c>
      <c r="B50">
        <f t="shared" si="0"/>
        <v>9.8358916666666598</v>
      </c>
      <c r="C50">
        <f t="shared" si="1"/>
        <v>9.9310001806317736</v>
      </c>
      <c r="D50">
        <v>36.320441281008002</v>
      </c>
      <c r="E50">
        <f t="shared" si="2"/>
        <v>37.102685268526912</v>
      </c>
      <c r="F50">
        <f t="shared" si="3"/>
        <v>37.305257206150415</v>
      </c>
      <c r="G50">
        <v>0</v>
      </c>
      <c r="H50">
        <v>9.8358916666666598</v>
      </c>
    </row>
    <row r="51" spans="1:8" x14ac:dyDescent="0.35">
      <c r="A51" t="s">
        <v>59</v>
      </c>
      <c r="B51">
        <f t="shared" si="0"/>
        <v>9.7663083333333294</v>
      </c>
      <c r="C51">
        <f t="shared" si="1"/>
        <v>9.8096736396167472</v>
      </c>
      <c r="D51">
        <v>37.5800935134939</v>
      </c>
      <c r="E51">
        <f t="shared" si="2"/>
        <v>37.728997899790016</v>
      </c>
      <c r="F51">
        <f t="shared" si="3"/>
        <v>38.037918847696588</v>
      </c>
      <c r="G51">
        <v>0</v>
      </c>
      <c r="H51">
        <v>9.7663083333333294</v>
      </c>
    </row>
    <row r="52" spans="1:8" x14ac:dyDescent="0.35">
      <c r="A52" t="s">
        <v>60</v>
      </c>
      <c r="B52">
        <f t="shared" si="0"/>
        <v>9.8151680555555494</v>
      </c>
      <c r="C52">
        <f t="shared" si="1"/>
        <v>9.8645840201566877</v>
      </c>
      <c r="D52">
        <v>37.006157454053998</v>
      </c>
      <c r="E52">
        <f t="shared" si="2"/>
        <v>37.289216421642223</v>
      </c>
      <c r="F52">
        <f t="shared" si="3"/>
        <v>37.522375466470884</v>
      </c>
      <c r="G52">
        <v>0</v>
      </c>
      <c r="H52">
        <v>9.8151680555555494</v>
      </c>
    </row>
    <row r="53" spans="1:8" x14ac:dyDescent="0.35">
      <c r="A53" t="s">
        <v>61</v>
      </c>
      <c r="B53">
        <f t="shared" si="0"/>
        <v>9.9253236111111107</v>
      </c>
      <c r="C53">
        <f t="shared" si="1"/>
        <v>9.9689819328278304</v>
      </c>
      <c r="D53">
        <v>35.932403876890902</v>
      </c>
      <c r="E53">
        <f t="shared" si="2"/>
        <v>36.29771727172718</v>
      </c>
      <c r="F53">
        <f t="shared" si="3"/>
        <v>36.378690578081915</v>
      </c>
      <c r="G53">
        <v>0</v>
      </c>
      <c r="H53">
        <v>9.9253236111111107</v>
      </c>
    </row>
    <row r="54" spans="1:8" x14ac:dyDescent="0.35">
      <c r="A54" t="s">
        <v>62</v>
      </c>
      <c r="B54">
        <f t="shared" si="0"/>
        <v>9.9696944444444409</v>
      </c>
      <c r="C54">
        <f t="shared" si="1"/>
        <v>9.9374699852102655</v>
      </c>
      <c r="D54">
        <v>36.254133463046898</v>
      </c>
      <c r="E54">
        <f t="shared" si="2"/>
        <v>35.898339833983428</v>
      </c>
      <c r="F54">
        <f t="shared" si="3"/>
        <v>35.925152813770154</v>
      </c>
      <c r="G54">
        <v>0</v>
      </c>
      <c r="H54">
        <v>9.9696944444444409</v>
      </c>
    </row>
    <row r="55" spans="1:8" x14ac:dyDescent="0.35">
      <c r="A55" t="s">
        <v>63</v>
      </c>
      <c r="B55">
        <f t="shared" si="0"/>
        <v>10.0510208333333</v>
      </c>
      <c r="C55">
        <f t="shared" si="1"/>
        <v>9.9241274480391528</v>
      </c>
      <c r="D55">
        <v>36.390973332691502</v>
      </c>
      <c r="E55">
        <f t="shared" si="2"/>
        <v>35.166329132913589</v>
      </c>
      <c r="F55">
        <f t="shared" si="3"/>
        <v>35.104268681258553</v>
      </c>
      <c r="G55">
        <v>0</v>
      </c>
      <c r="H55">
        <v>10.0510208333333</v>
      </c>
    </row>
    <row r="56" spans="1:8" x14ac:dyDescent="0.35">
      <c r="A56" t="s">
        <v>64</v>
      </c>
      <c r="B56">
        <f t="shared" si="0"/>
        <v>10.0960472222222</v>
      </c>
      <c r="C56">
        <f t="shared" si="1"/>
        <v>9.9614641382413325</v>
      </c>
      <c r="D56">
        <v>36.008973915065198</v>
      </c>
      <c r="E56">
        <f t="shared" si="2"/>
        <v>34.76105110511071</v>
      </c>
      <c r="F56">
        <f t="shared" si="3"/>
        <v>34.655473727691025</v>
      </c>
      <c r="G56">
        <v>0</v>
      </c>
      <c r="H56">
        <v>10.0960472222222</v>
      </c>
    </row>
    <row r="57" spans="1:8" x14ac:dyDescent="0.35">
      <c r="A57" t="s">
        <v>65</v>
      </c>
      <c r="B57">
        <f t="shared" si="0"/>
        <v>10.137924999999999</v>
      </c>
      <c r="C57">
        <f t="shared" si="1"/>
        <v>9.9698107023068054</v>
      </c>
      <c r="D57">
        <v>35.9239697832028</v>
      </c>
      <c r="E57">
        <f t="shared" si="2"/>
        <v>34.38411341134114</v>
      </c>
      <c r="F57">
        <f t="shared" si="3"/>
        <v>34.24164029438986</v>
      </c>
      <c r="G57">
        <v>0</v>
      </c>
      <c r="H57">
        <v>10.137924999999999</v>
      </c>
    </row>
    <row r="58" spans="1:8" x14ac:dyDescent="0.35">
      <c r="A58" t="s">
        <v>66</v>
      </c>
      <c r="B58">
        <f t="shared" si="0"/>
        <v>10.048930555555501</v>
      </c>
      <c r="C58">
        <f t="shared" si="1"/>
        <v>9.9781712650277115</v>
      </c>
      <c r="D58">
        <v>35.838965651340402</v>
      </c>
      <c r="E58">
        <f t="shared" si="2"/>
        <v>35.185143514351928</v>
      </c>
      <c r="F58">
        <f t="shared" si="3"/>
        <v>35.125200953701622</v>
      </c>
      <c r="G58">
        <v>0</v>
      </c>
      <c r="H58">
        <v>10.048930555555501</v>
      </c>
    </row>
    <row r="59" spans="1:8" x14ac:dyDescent="0.35">
      <c r="A59" t="s">
        <v>67</v>
      </c>
      <c r="B59">
        <f t="shared" si="0"/>
        <v>9.9906694444444408</v>
      </c>
      <c r="C59">
        <f t="shared" si="1"/>
        <v>10.011399492445241</v>
      </c>
      <c r="D59">
        <v>35.502528596995298</v>
      </c>
      <c r="E59">
        <f t="shared" si="2"/>
        <v>35.709545954595491</v>
      </c>
      <c r="F59">
        <f t="shared" si="3"/>
        <v>35.712158541498177</v>
      </c>
      <c r="G59">
        <v>0</v>
      </c>
      <c r="H59">
        <v>9.9906694444444408</v>
      </c>
    </row>
    <row r="60" spans="1:8" x14ac:dyDescent="0.35">
      <c r="A60" t="s">
        <v>68</v>
      </c>
      <c r="B60">
        <f t="shared" si="0"/>
        <v>10.039016666666599</v>
      </c>
      <c r="C60">
        <f t="shared" si="1"/>
        <v>9.8941322183929099</v>
      </c>
      <c r="D60">
        <v>36.699949187168897</v>
      </c>
      <c r="E60">
        <f t="shared" si="2"/>
        <v>35.274377437744377</v>
      </c>
      <c r="F60">
        <f t="shared" si="3"/>
        <v>35.224598444295637</v>
      </c>
      <c r="G60">
        <v>0</v>
      </c>
      <c r="H60">
        <v>10.039016666666599</v>
      </c>
    </row>
    <row r="61" spans="1:8" x14ac:dyDescent="0.35">
      <c r="A61" t="s">
        <v>69</v>
      </c>
      <c r="B61">
        <f t="shared" si="0"/>
        <v>10.209300000000001</v>
      </c>
      <c r="C61">
        <f t="shared" si="1"/>
        <v>9.9099660933525353</v>
      </c>
      <c r="D61">
        <v>36.536614010711297</v>
      </c>
      <c r="E61">
        <f t="shared" si="2"/>
        <v>33.741674167416733</v>
      </c>
      <c r="F61">
        <f t="shared" si="3"/>
        <v>33.544141478251746</v>
      </c>
      <c r="G61">
        <v>0</v>
      </c>
      <c r="H61">
        <v>10.209300000000001</v>
      </c>
    </row>
    <row r="62" spans="1:8" x14ac:dyDescent="0.35">
      <c r="A62" t="s">
        <v>70</v>
      </c>
      <c r="B62">
        <f t="shared" si="0"/>
        <v>10.4134152777777</v>
      </c>
      <c r="C62">
        <f t="shared" si="1"/>
        <v>10.028467345444518</v>
      </c>
      <c r="D62">
        <v>35.3305826550299</v>
      </c>
      <c r="E62">
        <f t="shared" si="2"/>
        <v>31.90445294529523</v>
      </c>
      <c r="F62">
        <f t="shared" si="3"/>
        <v>31.602233026598707</v>
      </c>
      <c r="G62">
        <v>0</v>
      </c>
      <c r="H62">
        <v>10.4134152777777</v>
      </c>
    </row>
    <row r="63" spans="1:8" x14ac:dyDescent="0.35">
      <c r="A63" t="s">
        <v>71</v>
      </c>
      <c r="B63">
        <f t="shared" si="0"/>
        <v>10.513515277777699</v>
      </c>
      <c r="C63">
        <f t="shared" si="1"/>
        <v>10.142048730699416</v>
      </c>
      <c r="D63">
        <v>34.201074692677899</v>
      </c>
      <c r="E63">
        <f t="shared" si="2"/>
        <v>31.003462846285334</v>
      </c>
      <c r="F63">
        <f t="shared" si="3"/>
        <v>30.677459619494762</v>
      </c>
      <c r="G63">
        <v>0</v>
      </c>
      <c r="H63">
        <v>10.513515277777699</v>
      </c>
    </row>
    <row r="64" spans="1:8" x14ac:dyDescent="0.35">
      <c r="A64" t="s">
        <v>72</v>
      </c>
      <c r="B64">
        <f t="shared" si="0"/>
        <v>10.4126041666666</v>
      </c>
      <c r="C64">
        <f t="shared" si="1"/>
        <v>10.12150567064249</v>
      </c>
      <c r="D64">
        <v>34.403486905825503</v>
      </c>
      <c r="E64">
        <f t="shared" si="2"/>
        <v>31.911753675368132</v>
      </c>
      <c r="F64">
        <f t="shared" si="3"/>
        <v>31.60979909384427</v>
      </c>
      <c r="G64">
        <v>0</v>
      </c>
      <c r="H64">
        <v>10.4126041666666</v>
      </c>
    </row>
    <row r="65" spans="1:8" x14ac:dyDescent="0.35">
      <c r="A65" t="s">
        <v>73</v>
      </c>
      <c r="B65">
        <f t="shared" si="0"/>
        <v>10.3272763888888</v>
      </c>
      <c r="C65">
        <f t="shared" si="1"/>
        <v>10.177295403528282</v>
      </c>
      <c r="D65">
        <v>33.855690507900697</v>
      </c>
      <c r="E65">
        <f t="shared" si="2"/>
        <v>32.679780478048606</v>
      </c>
      <c r="F65">
        <f t="shared" si="3"/>
        <v>32.412377867226454</v>
      </c>
      <c r="G65">
        <v>0</v>
      </c>
      <c r="H65">
        <v>10.3272763888888</v>
      </c>
    </row>
    <row r="66" spans="1:8" x14ac:dyDescent="0.35">
      <c r="A66" t="s">
        <v>74</v>
      </c>
      <c r="B66">
        <f t="shared" si="0"/>
        <v>10.2460194444444</v>
      </c>
      <c r="C66">
        <f t="shared" si="1"/>
        <v>10.229144054561665</v>
      </c>
      <c r="D66">
        <v>33.351948487343698</v>
      </c>
      <c r="E66">
        <f t="shared" si="2"/>
        <v>33.411166116612065</v>
      </c>
      <c r="F66">
        <f t="shared" si="3"/>
        <v>33.189093246835206</v>
      </c>
      <c r="G66">
        <v>0</v>
      </c>
      <c r="H66">
        <v>10.2460194444444</v>
      </c>
    </row>
    <row r="67" spans="1:8" x14ac:dyDescent="0.35">
      <c r="A67" t="s">
        <v>75</v>
      </c>
      <c r="B67">
        <f t="shared" si="0"/>
        <v>10.346198611111101</v>
      </c>
      <c r="C67">
        <f t="shared" si="1"/>
        <v>10.282202373416371</v>
      </c>
      <c r="D67">
        <v>32.841713263601797</v>
      </c>
      <c r="E67">
        <f t="shared" si="2"/>
        <v>32.509463446344732</v>
      </c>
      <c r="F67">
        <f t="shared" si="3"/>
        <v>32.233256283470148</v>
      </c>
      <c r="G67">
        <v>0</v>
      </c>
      <c r="H67">
        <v>10.346198611111101</v>
      </c>
    </row>
    <row r="68" spans="1:8" x14ac:dyDescent="0.35">
      <c r="A68" t="s">
        <v>76</v>
      </c>
      <c r="B68">
        <f t="shared" si="0"/>
        <v>10.472669444444399</v>
      </c>
      <c r="C68">
        <f t="shared" si="1"/>
        <v>10.32017577207613</v>
      </c>
      <c r="D68">
        <v>32.4797632307071</v>
      </c>
      <c r="E68">
        <f t="shared" si="2"/>
        <v>31.371112111211527</v>
      </c>
      <c r="F68">
        <f t="shared" si="3"/>
        <v>31.052678607902884</v>
      </c>
      <c r="G68">
        <v>0</v>
      </c>
      <c r="H68">
        <v>10.472669444444399</v>
      </c>
    </row>
    <row r="69" spans="1:8" x14ac:dyDescent="0.35">
      <c r="A69" t="s">
        <v>77</v>
      </c>
      <c r="B69">
        <f t="shared" si="0"/>
        <v>10.5711986111111</v>
      </c>
      <c r="C69">
        <f t="shared" si="1"/>
        <v>10.35991927324687</v>
      </c>
      <c r="D69">
        <v>32.103782964479898</v>
      </c>
      <c r="E69">
        <f t="shared" si="2"/>
        <v>30.484260926092709</v>
      </c>
      <c r="F69">
        <f t="shared" si="3"/>
        <v>30.152506453044165</v>
      </c>
      <c r="G69">
        <v>0</v>
      </c>
      <c r="H69">
        <v>10.5711986111111</v>
      </c>
    </row>
    <row r="70" spans="1:8" x14ac:dyDescent="0.35">
      <c r="A70" t="s">
        <v>78</v>
      </c>
      <c r="B70">
        <f t="shared" si="0"/>
        <v>10.4098611111111</v>
      </c>
      <c r="C70">
        <f t="shared" si="1"/>
        <v>10.39836682929278</v>
      </c>
      <c r="D70">
        <v>31.742797573479098</v>
      </c>
      <c r="E70">
        <f t="shared" si="2"/>
        <v>31.936443644364537</v>
      </c>
      <c r="F70">
        <f t="shared" si="3"/>
        <v>31.635395129270371</v>
      </c>
      <c r="G70">
        <v>0</v>
      </c>
      <c r="H70">
        <v>10.4098611111111</v>
      </c>
    </row>
    <row r="71" spans="1:8" x14ac:dyDescent="0.35">
      <c r="A71" t="s">
        <v>79</v>
      </c>
      <c r="B71">
        <f t="shared" si="0"/>
        <v>10.0475833333333</v>
      </c>
      <c r="C71">
        <f t="shared" si="1"/>
        <v>10.437100820181783</v>
      </c>
      <c r="D71">
        <v>31.381812182478299</v>
      </c>
      <c r="E71">
        <f t="shared" si="2"/>
        <v>35.197269726972998</v>
      </c>
      <c r="F71">
        <f t="shared" si="3"/>
        <v>35.138696801422434</v>
      </c>
      <c r="G71">
        <v>0</v>
      </c>
      <c r="H71">
        <v>10.0475833333333</v>
      </c>
    </row>
    <row r="72" spans="1:8" x14ac:dyDescent="0.35">
      <c r="A72" t="s">
        <v>80</v>
      </c>
      <c r="B72">
        <f t="shared" si="0"/>
        <v>10.865697222222201</v>
      </c>
      <c r="C72">
        <f t="shared" si="1"/>
        <v>10.951353617317141</v>
      </c>
      <c r="D72">
        <v>26.831183762971801</v>
      </c>
      <c r="E72">
        <f t="shared" si="2"/>
        <v>27.833508350835277</v>
      </c>
      <c r="F72">
        <f t="shared" si="3"/>
        <v>27.559259879108929</v>
      </c>
      <c r="G72">
        <v>0</v>
      </c>
      <c r="H72">
        <v>10.865697222222201</v>
      </c>
    </row>
    <row r="73" spans="1:8" x14ac:dyDescent="0.35">
      <c r="A73" t="s">
        <v>81</v>
      </c>
      <c r="B73">
        <f t="shared" ref="B73:B136" si="4" xml:space="preserve"> H73/(1-$B$5*G73)</f>
        <v>10.439447222222199</v>
      </c>
      <c r="C73">
        <f t="shared" ref="C73:C136" si="5">$B$2/(1+$B$4*((D73/100)/$B$3))</f>
        <v>10.10983308802405</v>
      </c>
      <c r="D73">
        <v>34.518864171282701</v>
      </c>
      <c r="E73">
        <f t="shared" ref="E73:E136" si="6" xml:space="preserve"> (13.958 - B73)/0.1111</f>
        <v>31.670142014201627</v>
      </c>
      <c r="F73">
        <f t="shared" ref="F73:F136" si="7" xml:space="preserve"> ((($B$3 *($B$2-B73))/($B$4*B73)))*100</f>
        <v>31.360030699792713</v>
      </c>
      <c r="G73">
        <v>0</v>
      </c>
      <c r="H73">
        <v>10.439447222222199</v>
      </c>
    </row>
    <row r="74" spans="1:8" x14ac:dyDescent="0.35">
      <c r="A74" t="s">
        <v>82</v>
      </c>
      <c r="B74">
        <f t="shared" si="4"/>
        <v>9.9731499999999897</v>
      </c>
      <c r="C74">
        <f t="shared" si="5"/>
        <v>10.03756947088482</v>
      </c>
      <c r="D74">
        <v>35.2391245748125</v>
      </c>
      <c r="E74">
        <f t="shared" si="6"/>
        <v>35.867236723672463</v>
      </c>
      <c r="F74">
        <f t="shared" si="7"/>
        <v>35.890001134762258</v>
      </c>
      <c r="G74">
        <v>0</v>
      </c>
      <c r="H74">
        <v>9.9731499999999897</v>
      </c>
    </row>
    <row r="75" spans="1:8" x14ac:dyDescent="0.35">
      <c r="A75" t="s">
        <v>83</v>
      </c>
      <c r="B75">
        <f t="shared" si="4"/>
        <v>9.9704208333333302</v>
      </c>
      <c r="C75">
        <f t="shared" si="5"/>
        <v>9.9841521172271488</v>
      </c>
      <c r="D75">
        <v>35.778244035441197</v>
      </c>
      <c r="E75">
        <f t="shared" si="6"/>
        <v>35.891801680168044</v>
      </c>
      <c r="F75">
        <f t="shared" si="7"/>
        <v>35.917761591746128</v>
      </c>
      <c r="G75">
        <v>0</v>
      </c>
      <c r="H75">
        <v>9.9704208333333302</v>
      </c>
    </row>
    <row r="76" spans="1:8" x14ac:dyDescent="0.35">
      <c r="A76" t="s">
        <v>84</v>
      </c>
      <c r="B76">
        <f t="shared" si="4"/>
        <v>10.020777777777701</v>
      </c>
      <c r="C76">
        <f t="shared" si="5"/>
        <v>9.9677255819656096</v>
      </c>
      <c r="D76">
        <v>35.945191989545997</v>
      </c>
      <c r="E76">
        <f t="shared" si="6"/>
        <v>35.438543854386133</v>
      </c>
      <c r="F76">
        <f t="shared" si="7"/>
        <v>35.40797683808519</v>
      </c>
      <c r="G76">
        <v>0</v>
      </c>
      <c r="H76">
        <v>10.020777777777701</v>
      </c>
    </row>
    <row r="77" spans="1:8" x14ac:dyDescent="0.35">
      <c r="A77" t="s">
        <v>85</v>
      </c>
      <c r="B77">
        <f t="shared" si="4"/>
        <v>10.008451388888799</v>
      </c>
      <c r="C77">
        <f t="shared" si="5"/>
        <v>9.6962299813685355</v>
      </c>
      <c r="D77">
        <v>38.786420794270299</v>
      </c>
      <c r="E77">
        <f t="shared" si="6"/>
        <v>35.549492449245733</v>
      </c>
      <c r="F77">
        <f t="shared" si="7"/>
        <v>35.532287947747051</v>
      </c>
      <c r="G77">
        <v>0</v>
      </c>
      <c r="H77">
        <v>10.008451388888799</v>
      </c>
    </row>
    <row r="78" spans="1:8" x14ac:dyDescent="0.35">
      <c r="A78" t="s">
        <v>86</v>
      </c>
      <c r="B78">
        <f t="shared" si="4"/>
        <v>10.1276222222222</v>
      </c>
      <c r="C78">
        <f t="shared" si="5"/>
        <v>9.8337215384003684</v>
      </c>
      <c r="D78">
        <v>37.327950427753798</v>
      </c>
      <c r="E78">
        <f t="shared" si="6"/>
        <v>34.476847684768671</v>
      </c>
      <c r="F78">
        <f t="shared" si="7"/>
        <v>34.343134245292219</v>
      </c>
      <c r="G78">
        <v>0</v>
      </c>
      <c r="H78">
        <v>10.1276222222222</v>
      </c>
    </row>
    <row r="79" spans="1:8" x14ac:dyDescent="0.35">
      <c r="A79" t="s">
        <v>87</v>
      </c>
      <c r="B79">
        <f t="shared" si="4"/>
        <v>10.341126388888799</v>
      </c>
      <c r="C79">
        <f t="shared" si="5"/>
        <v>9.9481795244615174</v>
      </c>
      <c r="D79">
        <v>36.144562939614701</v>
      </c>
      <c r="E79">
        <f t="shared" si="6"/>
        <v>32.555118011801987</v>
      </c>
      <c r="F79">
        <f t="shared" si="7"/>
        <v>32.281206658535673</v>
      </c>
      <c r="G79">
        <v>0</v>
      </c>
      <c r="H79">
        <v>10.341126388888799</v>
      </c>
    </row>
    <row r="80" spans="1:8" x14ac:dyDescent="0.35">
      <c r="A80" t="s">
        <v>88</v>
      </c>
      <c r="B80">
        <f t="shared" si="4"/>
        <v>10.6640263888888</v>
      </c>
      <c r="C80">
        <f t="shared" si="5"/>
        <v>10.087967892936746</v>
      </c>
      <c r="D80">
        <v>34.735708502413402</v>
      </c>
      <c r="E80">
        <f t="shared" si="6"/>
        <v>29.648727372738072</v>
      </c>
      <c r="F80">
        <f t="shared" si="7"/>
        <v>29.319640893303323</v>
      </c>
      <c r="G80">
        <v>0</v>
      </c>
      <c r="H80">
        <v>10.6640263888888</v>
      </c>
    </row>
    <row r="81" spans="1:8" x14ac:dyDescent="0.35">
      <c r="A81" t="s">
        <v>89</v>
      </c>
      <c r="B81">
        <f t="shared" si="4"/>
        <v>10.920715277777701</v>
      </c>
      <c r="C81">
        <f t="shared" si="5"/>
        <v>10.217414635938486</v>
      </c>
      <c r="D81">
        <v>33.465459648726799</v>
      </c>
      <c r="E81">
        <f t="shared" si="6"/>
        <v>27.338296329633657</v>
      </c>
      <c r="F81">
        <f t="shared" si="7"/>
        <v>27.090296481711889</v>
      </c>
      <c r="G81">
        <v>0</v>
      </c>
      <c r="H81">
        <v>10.920715277777701</v>
      </c>
    </row>
    <row r="82" spans="1:8" x14ac:dyDescent="0.35">
      <c r="A82" t="s">
        <v>90</v>
      </c>
      <c r="B82">
        <f t="shared" si="4"/>
        <v>11.1637077380952</v>
      </c>
      <c r="C82">
        <f t="shared" si="5"/>
        <v>10.338248006244292</v>
      </c>
      <c r="D82">
        <v>32.308438444707399</v>
      </c>
      <c r="E82">
        <f t="shared" si="6"/>
        <v>25.151145471690374</v>
      </c>
      <c r="F82">
        <f t="shared" si="7"/>
        <v>25.074365548433892</v>
      </c>
      <c r="G82">
        <v>0</v>
      </c>
      <c r="H82">
        <v>11.1637077380952</v>
      </c>
    </row>
    <row r="83" spans="1:8" x14ac:dyDescent="0.35">
      <c r="A83" t="s">
        <v>91</v>
      </c>
      <c r="B83">
        <f t="shared" si="4"/>
        <v>11.2885869047619</v>
      </c>
      <c r="C83">
        <f t="shared" si="5"/>
        <v>10.445811773080299</v>
      </c>
      <c r="D83">
        <v>31.300998297678699</v>
      </c>
      <c r="E83">
        <f t="shared" si="6"/>
        <v>24.027120569199823</v>
      </c>
      <c r="F83">
        <f t="shared" si="7"/>
        <v>24.072096436887698</v>
      </c>
      <c r="G83">
        <v>0</v>
      </c>
      <c r="H83">
        <v>11.2885869047619</v>
      </c>
    </row>
    <row r="84" spans="1:8" x14ac:dyDescent="0.35">
      <c r="A84" t="s">
        <v>92</v>
      </c>
      <c r="B84">
        <f t="shared" si="4"/>
        <v>11.2764438492063</v>
      </c>
      <c r="C84">
        <f t="shared" si="5"/>
        <v>10.536319839183195</v>
      </c>
      <c r="D84">
        <v>30.469237327995899</v>
      </c>
      <c r="E84">
        <f t="shared" si="6"/>
        <v>24.136418999043201</v>
      </c>
      <c r="F84">
        <f t="shared" si="7"/>
        <v>24.168581177323983</v>
      </c>
      <c r="G84">
        <v>0</v>
      </c>
      <c r="H84">
        <v>11.2764438492063</v>
      </c>
    </row>
    <row r="85" spans="1:8" x14ac:dyDescent="0.35">
      <c r="A85" t="s">
        <v>93</v>
      </c>
      <c r="B85">
        <f t="shared" si="4"/>
        <v>10.9588236111111</v>
      </c>
      <c r="C85">
        <f t="shared" si="5"/>
        <v>10.569380024576851</v>
      </c>
      <c r="D85">
        <v>30.168969211969401</v>
      </c>
      <c r="E85">
        <f t="shared" si="6"/>
        <v>26.995287028702968</v>
      </c>
      <c r="F85">
        <f t="shared" si="7"/>
        <v>26.768228666312083</v>
      </c>
      <c r="G85">
        <v>0</v>
      </c>
      <c r="H85">
        <v>10.9588236111111</v>
      </c>
    </row>
    <row r="86" spans="1:8" x14ac:dyDescent="0.35">
      <c r="A86" t="s">
        <v>94</v>
      </c>
      <c r="B86">
        <f t="shared" si="4"/>
        <v>10.5872916666666</v>
      </c>
      <c r="C86">
        <f t="shared" si="5"/>
        <v>10.361272931436075</v>
      </c>
      <c r="D86">
        <v>32.0910279215949</v>
      </c>
      <c r="E86">
        <f t="shared" si="6"/>
        <v>30.339408940894693</v>
      </c>
      <c r="F86">
        <f t="shared" si="7"/>
        <v>30.007070495742518</v>
      </c>
      <c r="G86">
        <v>0</v>
      </c>
      <c r="H86">
        <v>10.5872916666666</v>
      </c>
    </row>
    <row r="87" spans="1:8" x14ac:dyDescent="0.35">
      <c r="A87" t="s">
        <v>95</v>
      </c>
      <c r="B87">
        <f t="shared" si="4"/>
        <v>10.355555555555499</v>
      </c>
      <c r="C87">
        <f t="shared" si="5"/>
        <v>10.385576186794893</v>
      </c>
      <c r="D87">
        <v>31.8625926649677</v>
      </c>
      <c r="E87">
        <f t="shared" si="6"/>
        <v>32.42524252425293</v>
      </c>
      <c r="F87">
        <f t="shared" si="7"/>
        <v>32.144923436047719</v>
      </c>
      <c r="G87">
        <v>0</v>
      </c>
      <c r="H87">
        <v>10.355555555555499</v>
      </c>
    </row>
    <row r="88" spans="1:8" x14ac:dyDescent="0.35">
      <c r="A88" t="s">
        <v>96</v>
      </c>
      <c r="B88">
        <f t="shared" si="4"/>
        <v>10.416650757575701</v>
      </c>
      <c r="C88">
        <f t="shared" si="5"/>
        <v>10.428864572540249</v>
      </c>
      <c r="D88">
        <v>31.4583462654731</v>
      </c>
      <c r="E88">
        <f t="shared" si="6"/>
        <v>31.875330714890183</v>
      </c>
      <c r="F88">
        <f t="shared" si="7"/>
        <v>31.572064104466062</v>
      </c>
      <c r="G88">
        <v>0</v>
      </c>
      <c r="H88">
        <v>10.416650757575701</v>
      </c>
    </row>
    <row r="89" spans="1:8" x14ac:dyDescent="0.35">
      <c r="A89" t="s">
        <v>97</v>
      </c>
      <c r="B89">
        <f t="shared" si="4"/>
        <v>10.6083924242424</v>
      </c>
      <c r="C89">
        <f t="shared" si="5"/>
        <v>10.471592743172911</v>
      </c>
      <c r="D89">
        <v>31.062609024766999</v>
      </c>
      <c r="E89">
        <f t="shared" si="6"/>
        <v>30.149483130131415</v>
      </c>
      <c r="F89">
        <f t="shared" si="7"/>
        <v>29.817047575916806</v>
      </c>
      <c r="G89">
        <v>0</v>
      </c>
      <c r="H89">
        <v>10.6083924242424</v>
      </c>
    </row>
    <row r="90" spans="1:8" x14ac:dyDescent="0.35">
      <c r="A90" t="s">
        <v>98</v>
      </c>
      <c r="B90">
        <f t="shared" si="4"/>
        <v>10.6259888888888</v>
      </c>
      <c r="C90">
        <f t="shared" si="5"/>
        <v>10.479027418710089</v>
      </c>
      <c r="D90">
        <v>30.994080608836001</v>
      </c>
      <c r="E90">
        <f t="shared" si="6"/>
        <v>29.99109910991179</v>
      </c>
      <c r="F90">
        <f t="shared" si="7"/>
        <v>29.659159664277819</v>
      </c>
      <c r="G90">
        <v>0</v>
      </c>
      <c r="H90">
        <v>10.6259888888888</v>
      </c>
    </row>
    <row r="91" spans="1:8" x14ac:dyDescent="0.35">
      <c r="A91" t="s">
        <v>99</v>
      </c>
      <c r="B91">
        <f t="shared" si="4"/>
        <v>10.5975375</v>
      </c>
      <c r="C91">
        <f t="shared" si="5"/>
        <v>10.289178604653719</v>
      </c>
      <c r="D91">
        <v>32.7750177828378</v>
      </c>
      <c r="E91">
        <f t="shared" si="6"/>
        <v>30.247187218721876</v>
      </c>
      <c r="F91">
        <f t="shared" si="7"/>
        <v>29.914707110758222</v>
      </c>
      <c r="G91">
        <v>0</v>
      </c>
      <c r="H91">
        <v>10.5975375</v>
      </c>
    </row>
    <row r="92" spans="1:8" x14ac:dyDescent="0.35">
      <c r="A92" t="s">
        <v>100</v>
      </c>
      <c r="B92">
        <f t="shared" si="4"/>
        <v>10.3439180555555</v>
      </c>
      <c r="C92">
        <f t="shared" si="5"/>
        <v>10.364013087987665</v>
      </c>
      <c r="D92">
        <v>32.065218593262003</v>
      </c>
      <c r="E92">
        <f t="shared" si="6"/>
        <v>32.529990499050406</v>
      </c>
      <c r="F92">
        <f t="shared" si="7"/>
        <v>32.254809751872585</v>
      </c>
      <c r="G92">
        <v>0</v>
      </c>
      <c r="H92">
        <v>10.3439180555555</v>
      </c>
    </row>
    <row r="93" spans="1:8" x14ac:dyDescent="0.35">
      <c r="A93" t="s">
        <v>101</v>
      </c>
      <c r="B93">
        <f t="shared" si="4"/>
        <v>10.30070189085005</v>
      </c>
      <c r="C93">
        <f t="shared" si="5"/>
        <v>10.081275688185213</v>
      </c>
      <c r="D93">
        <v>34.802265302004301</v>
      </c>
      <c r="E93">
        <f t="shared" si="6"/>
        <v>32.918974879837535</v>
      </c>
      <c r="F93">
        <f t="shared" si="7"/>
        <v>32.665048544509574</v>
      </c>
      <c r="G93">
        <v>2.30750377521356E-2</v>
      </c>
      <c r="H93">
        <v>10.298325</v>
      </c>
    </row>
    <row r="94" spans="1:8" x14ac:dyDescent="0.35">
      <c r="A94" t="s">
        <v>102</v>
      </c>
      <c r="B94">
        <f t="shared" si="4"/>
        <v>10.196263916829531</v>
      </c>
      <c r="C94">
        <f t="shared" si="5"/>
        <v>9.9559185477963581</v>
      </c>
      <c r="D94">
        <v>36.065530825288597</v>
      </c>
      <c r="E94">
        <f t="shared" si="6"/>
        <v>33.859010649599178</v>
      </c>
      <c r="F94">
        <f t="shared" si="7"/>
        <v>33.670805269234357</v>
      </c>
      <c r="G94">
        <v>4.61500755042712E-2</v>
      </c>
      <c r="H94">
        <v>10.191558333333299</v>
      </c>
    </row>
    <row r="95" spans="1:8" x14ac:dyDescent="0.35">
      <c r="A95" t="s">
        <v>103</v>
      </c>
      <c r="B95">
        <f t="shared" si="4"/>
        <v>10.255567483761222</v>
      </c>
      <c r="C95">
        <f t="shared" si="5"/>
        <v>10.087602226153615</v>
      </c>
      <c r="D95">
        <v>34.739342932042398</v>
      </c>
      <c r="E95">
        <f t="shared" si="6"/>
        <v>33.325225168665867</v>
      </c>
      <c r="F95">
        <f t="shared" si="7"/>
        <v>33.097187700824527</v>
      </c>
      <c r="G95">
        <v>6.9225113256406803E-2</v>
      </c>
      <c r="H95">
        <v>10.248468055555501</v>
      </c>
    </row>
    <row r="96" spans="1:8" x14ac:dyDescent="0.35">
      <c r="A96" t="s">
        <v>104</v>
      </c>
      <c r="B96">
        <f t="shared" si="4"/>
        <v>10.270848063828272</v>
      </c>
      <c r="C96">
        <f t="shared" si="5"/>
        <v>10.150062107021853</v>
      </c>
      <c r="D96">
        <v>34.122340470902699</v>
      </c>
      <c r="E96">
        <f t="shared" si="6"/>
        <v>33.187686194164975</v>
      </c>
      <c r="F96">
        <f t="shared" si="7"/>
        <v>32.950458607932617</v>
      </c>
      <c r="G96">
        <v>9.2300151008542497E-2</v>
      </c>
      <c r="H96">
        <v>10.261368055555501</v>
      </c>
    </row>
    <row r="97" spans="1:8" x14ac:dyDescent="0.35">
      <c r="A97" t="s">
        <v>105</v>
      </c>
      <c r="B97">
        <f t="shared" si="4"/>
        <v>10.21999967725227</v>
      </c>
      <c r="C97">
        <f t="shared" si="5"/>
        <v>10.112513033768892</v>
      </c>
      <c r="D97">
        <v>34.492350777914901</v>
      </c>
      <c r="E97">
        <f t="shared" si="6"/>
        <v>33.645367441473716</v>
      </c>
      <c r="F97">
        <f t="shared" si="7"/>
        <v>33.440420590991145</v>
      </c>
      <c r="G97">
        <v>0.115375188760678</v>
      </c>
      <c r="H97">
        <v>10.2082083333333</v>
      </c>
    </row>
    <row r="98" spans="1:8" x14ac:dyDescent="0.35">
      <c r="A98" t="s">
        <v>106</v>
      </c>
      <c r="B98">
        <f t="shared" si="4"/>
        <v>10.100108623266951</v>
      </c>
      <c r="C98">
        <f t="shared" si="5"/>
        <v>10.158719676829103</v>
      </c>
      <c r="D98">
        <v>34.037416416620601</v>
      </c>
      <c r="E98">
        <f t="shared" si="6"/>
        <v>34.724494840081448</v>
      </c>
      <c r="F98">
        <f t="shared" si="7"/>
        <v>34.615188961092599</v>
      </c>
      <c r="G98">
        <v>0.138450226512813</v>
      </c>
      <c r="H98">
        <v>10.086124999999999</v>
      </c>
    </row>
    <row r="99" spans="1:8" x14ac:dyDescent="0.35">
      <c r="A99" t="s">
        <v>107</v>
      </c>
      <c r="B99">
        <f t="shared" si="4"/>
        <v>10.096721255690349</v>
      </c>
      <c r="C99">
        <f t="shared" si="5"/>
        <v>9.8614500975853066</v>
      </c>
      <c r="D99">
        <v>37.0387419568141</v>
      </c>
      <c r="E99">
        <f t="shared" si="6"/>
        <v>34.754984197206575</v>
      </c>
      <c r="F99">
        <f t="shared" si="7"/>
        <v>34.648785791594889</v>
      </c>
      <c r="G99">
        <v>0.16152526426494901</v>
      </c>
      <c r="H99">
        <v>10.0804125</v>
      </c>
    </row>
    <row r="100" spans="1:8" x14ac:dyDescent="0.35">
      <c r="A100" t="s">
        <v>108</v>
      </c>
      <c r="B100">
        <f t="shared" si="4"/>
        <v>10.042357667027369</v>
      </c>
      <c r="C100">
        <f t="shared" si="5"/>
        <v>9.917228569883374</v>
      </c>
      <c r="D100">
        <v>36.461872022930798</v>
      </c>
      <c r="E100">
        <f t="shared" si="6"/>
        <v>35.244305427296403</v>
      </c>
      <c r="F100">
        <f t="shared" si="7"/>
        <v>35.191079366958341</v>
      </c>
      <c r="G100">
        <v>0.18460030201708499</v>
      </c>
      <c r="H100">
        <v>10.023819444444401</v>
      </c>
    </row>
    <row r="101" spans="1:8" x14ac:dyDescent="0.35">
      <c r="A101" t="s">
        <v>109</v>
      </c>
      <c r="B101">
        <f t="shared" si="4"/>
        <v>10.059351904357056</v>
      </c>
      <c r="C101">
        <f t="shared" si="5"/>
        <v>10.011786138992285</v>
      </c>
      <c r="D101">
        <v>35.498626930236597</v>
      </c>
      <c r="E101">
        <f t="shared" si="6"/>
        <v>35.091341994985996</v>
      </c>
      <c r="F101">
        <f t="shared" si="7"/>
        <v>35.020926846761867</v>
      </c>
      <c r="G101">
        <v>0.20767533976922001</v>
      </c>
      <c r="H101">
        <v>10.038461111111101</v>
      </c>
    </row>
    <row r="102" spans="1:8" x14ac:dyDescent="0.35">
      <c r="A102" t="s">
        <v>110</v>
      </c>
      <c r="B102">
        <f t="shared" si="4"/>
        <v>10.070849634662693</v>
      </c>
      <c r="C102">
        <f t="shared" si="5"/>
        <v>9.9693824058650904</v>
      </c>
      <c r="D102">
        <v>35.928328229430001</v>
      </c>
      <c r="E102">
        <f t="shared" si="6"/>
        <v>34.98785207324309</v>
      </c>
      <c r="F102">
        <f t="shared" si="7"/>
        <v>34.906133055918197</v>
      </c>
      <c r="G102">
        <v>0.23075037752135599</v>
      </c>
      <c r="H102">
        <v>10.047611111111101</v>
      </c>
    </row>
    <row r="103" spans="1:8" x14ac:dyDescent="0.35">
      <c r="A103" t="s">
        <v>111</v>
      </c>
      <c r="B103">
        <f t="shared" si="4"/>
        <v>10.247800410838009</v>
      </c>
      <c r="C103">
        <f t="shared" si="5"/>
        <v>10.048795655339212</v>
      </c>
      <c r="D103">
        <v>35.126552158502001</v>
      </c>
      <c r="E103">
        <f t="shared" si="6"/>
        <v>33.395135816039527</v>
      </c>
      <c r="F103">
        <f t="shared" si="7"/>
        <v>33.1719373951234</v>
      </c>
      <c r="G103">
        <v>0.25382541527349101</v>
      </c>
      <c r="H103">
        <v>10.221788888888801</v>
      </c>
    </row>
    <row r="104" spans="1:8" x14ac:dyDescent="0.35">
      <c r="A104" t="s">
        <v>112</v>
      </c>
      <c r="B104">
        <f t="shared" si="4"/>
        <v>10.369259749443815</v>
      </c>
      <c r="C104">
        <f t="shared" si="5"/>
        <v>10.150631268956978</v>
      </c>
      <c r="D104">
        <v>34.1167529843746</v>
      </c>
      <c r="E104">
        <f t="shared" si="6"/>
        <v>32.301892444250093</v>
      </c>
      <c r="F104">
        <f t="shared" si="7"/>
        <v>32.015838747522288</v>
      </c>
      <c r="G104">
        <v>0.27690045302562699</v>
      </c>
      <c r="H104">
        <v>10.340547222222201</v>
      </c>
    </row>
    <row r="105" spans="1:8" x14ac:dyDescent="0.35">
      <c r="A105" t="s">
        <v>113</v>
      </c>
      <c r="B105">
        <f t="shared" si="4"/>
        <v>10.564506207120758</v>
      </c>
      <c r="C105">
        <f t="shared" si="5"/>
        <v>10.24236439637161</v>
      </c>
      <c r="D105">
        <v>33.224320606064701</v>
      </c>
      <c r="E105">
        <f t="shared" si="6"/>
        <v>30.544498585771759</v>
      </c>
      <c r="F105">
        <f t="shared" si="7"/>
        <v>30.213117405373662</v>
      </c>
      <c r="G105">
        <v>0.29997549077776298</v>
      </c>
      <c r="H105">
        <v>10.532815277777701</v>
      </c>
    </row>
    <row r="106" spans="1:8" x14ac:dyDescent="0.35">
      <c r="A106" t="s">
        <v>114</v>
      </c>
      <c r="B106">
        <f t="shared" si="4"/>
        <v>10.661981086250892</v>
      </c>
      <c r="C106">
        <f t="shared" si="5"/>
        <v>10.316049195806274</v>
      </c>
      <c r="D106">
        <v>32.518967356221502</v>
      </c>
      <c r="E106">
        <f t="shared" si="6"/>
        <v>29.667136937435718</v>
      </c>
      <c r="F106">
        <f t="shared" si="7"/>
        <v>29.337835423785574</v>
      </c>
      <c r="G106">
        <v>0.32305052852989802</v>
      </c>
      <c r="H106">
        <v>10.627537500000001</v>
      </c>
    </row>
    <row r="107" spans="1:8" x14ac:dyDescent="0.35">
      <c r="A107" t="s">
        <v>115</v>
      </c>
      <c r="B107">
        <f t="shared" si="4"/>
        <v>10.896071032006425</v>
      </c>
      <c r="C107">
        <f t="shared" si="5"/>
        <v>10.418170576494584</v>
      </c>
      <c r="D107">
        <v>31.557899166655702</v>
      </c>
      <c r="E107">
        <f t="shared" si="6"/>
        <v>27.560116723614534</v>
      </c>
      <c r="F107">
        <f t="shared" si="7"/>
        <v>27.299773756061789</v>
      </c>
      <c r="G107">
        <v>0.346125566282034</v>
      </c>
      <c r="H107">
        <v>10.858356944444401</v>
      </c>
    </row>
    <row r="108" spans="1:8" x14ac:dyDescent="0.35">
      <c r="A108" t="s">
        <v>116</v>
      </c>
      <c r="B108">
        <f t="shared" si="4"/>
        <v>11.052196442692063</v>
      </c>
      <c r="C108">
        <f t="shared" si="5"/>
        <v>10.523012243705887</v>
      </c>
      <c r="D108">
        <v>30.590635727977698</v>
      </c>
      <c r="E108">
        <f t="shared" si="6"/>
        <v>26.154847500521488</v>
      </c>
      <c r="F108">
        <f t="shared" si="7"/>
        <v>25.988487631186835</v>
      </c>
      <c r="G108">
        <v>0.36920060403416999</v>
      </c>
      <c r="H108">
        <v>11.011391666666601</v>
      </c>
    </row>
    <row r="109" spans="1:8" x14ac:dyDescent="0.35">
      <c r="A109" t="s">
        <v>117</v>
      </c>
      <c r="B109">
        <f t="shared" si="4"/>
        <v>11.016372880752847</v>
      </c>
      <c r="C109">
        <f t="shared" si="5"/>
        <v>10.611423584807868</v>
      </c>
      <c r="D109">
        <v>29.7898125302466</v>
      </c>
      <c r="E109">
        <f t="shared" si="6"/>
        <v>26.477291802404618</v>
      </c>
      <c r="F109">
        <f t="shared" si="7"/>
        <v>26.286081470228691</v>
      </c>
      <c r="G109">
        <v>0.39227564178630497</v>
      </c>
      <c r="H109">
        <v>10.9731583333333</v>
      </c>
    </row>
    <row r="110" spans="1:8" x14ac:dyDescent="0.35">
      <c r="A110" t="s">
        <v>118</v>
      </c>
      <c r="B110">
        <f t="shared" si="4"/>
        <v>10.99178779864841</v>
      </c>
      <c r="C110">
        <f t="shared" si="5"/>
        <v>10.680617770555276</v>
      </c>
      <c r="D110">
        <v>29.1723054063017</v>
      </c>
      <c r="E110">
        <f t="shared" si="6"/>
        <v>26.698579670131323</v>
      </c>
      <c r="F110">
        <f t="shared" si="7"/>
        <v>26.491437326916863</v>
      </c>
      <c r="G110">
        <v>0.41535067953844101</v>
      </c>
      <c r="H110">
        <v>10.9461333333333</v>
      </c>
    </row>
    <row r="111" spans="1:8" x14ac:dyDescent="0.35">
      <c r="A111" t="s">
        <v>119</v>
      </c>
      <c r="B111">
        <f t="shared" si="4"/>
        <v>10.878418785590599</v>
      </c>
      <c r="C111">
        <f t="shared" si="5"/>
        <v>10.70637494306926</v>
      </c>
      <c r="D111">
        <v>28.944480207266501</v>
      </c>
      <c r="E111">
        <f t="shared" si="6"/>
        <v>27.719002829967607</v>
      </c>
      <c r="F111">
        <f t="shared" si="7"/>
        <v>27.450402090893171</v>
      </c>
      <c r="G111">
        <v>0.438425717290576</v>
      </c>
      <c r="H111">
        <v>10.830724999999999</v>
      </c>
    </row>
    <row r="112" spans="1:8" x14ac:dyDescent="0.35">
      <c r="A112" t="s">
        <v>120</v>
      </c>
      <c r="B112">
        <f t="shared" si="4"/>
        <v>11.006449011960187</v>
      </c>
      <c r="C112">
        <f t="shared" si="5"/>
        <v>10.749701557773253</v>
      </c>
      <c r="D112">
        <v>28.5637140906992</v>
      </c>
      <c r="E112">
        <f t="shared" si="6"/>
        <v>26.566615553913707</v>
      </c>
      <c r="F112">
        <f t="shared" si="7"/>
        <v>26.368863782608187</v>
      </c>
      <c r="G112">
        <v>0.46150075504271199</v>
      </c>
      <c r="H112">
        <v>10.9556541666666</v>
      </c>
    </row>
    <row r="113" spans="1:8" x14ac:dyDescent="0.35">
      <c r="A113" t="s">
        <v>121</v>
      </c>
      <c r="B113">
        <f t="shared" si="4"/>
        <v>11.067391008833862</v>
      </c>
      <c r="C113">
        <f t="shared" si="5"/>
        <v>10.775818292562615</v>
      </c>
      <c r="D113">
        <v>28.3356722144595</v>
      </c>
      <c r="E113">
        <f t="shared" si="6"/>
        <v>26.018082728768118</v>
      </c>
      <c r="F113">
        <f t="shared" si="7"/>
        <v>25.862845050552117</v>
      </c>
      <c r="G113">
        <v>0.48457579279484803</v>
      </c>
      <c r="H113">
        <v>11.0137611111111</v>
      </c>
    </row>
    <row r="114" spans="1:8" x14ac:dyDescent="0.35">
      <c r="A114" t="s">
        <v>122</v>
      </c>
      <c r="B114">
        <f t="shared" si="4"/>
        <v>11.126182156123731</v>
      </c>
      <c r="C114">
        <f t="shared" si="5"/>
        <v>10.828745444852592</v>
      </c>
      <c r="D114">
        <v>27.8769048488621</v>
      </c>
      <c r="E114">
        <f t="shared" si="6"/>
        <v>25.488909485835006</v>
      </c>
      <c r="F114">
        <f t="shared" si="7"/>
        <v>25.379938708499743</v>
      </c>
      <c r="G114">
        <v>0.50765083054698301</v>
      </c>
      <c r="H114">
        <v>11.069699999999999</v>
      </c>
    </row>
    <row r="115" spans="1:8" x14ac:dyDescent="0.35">
      <c r="A115" t="s">
        <v>123</v>
      </c>
      <c r="B115">
        <f t="shared" si="4"/>
        <v>11.096240619375742</v>
      </c>
      <c r="C115">
        <f t="shared" si="5"/>
        <v>10.853712675765188</v>
      </c>
      <c r="D115">
        <v>27.662044485460701</v>
      </c>
      <c r="E115">
        <f t="shared" si="6"/>
        <v>25.75841026664499</v>
      </c>
      <c r="F115">
        <f t="shared" si="7"/>
        <v>25.625236957673113</v>
      </c>
      <c r="G115">
        <v>0.53072586829911905</v>
      </c>
      <c r="H115">
        <v>11.03735</v>
      </c>
    </row>
    <row r="116" spans="1:8" x14ac:dyDescent="0.35">
      <c r="A116" t="s">
        <v>124</v>
      </c>
      <c r="B116">
        <f t="shared" si="4"/>
        <v>11.050401389684977</v>
      </c>
      <c r="C116">
        <f t="shared" si="5"/>
        <v>10.892960359475877</v>
      </c>
      <c r="D116">
        <v>27.326281992673099</v>
      </c>
      <c r="E116">
        <f t="shared" si="6"/>
        <v>26.171004593294541</v>
      </c>
      <c r="F116">
        <f t="shared" si="7"/>
        <v>26.003353593312379</v>
      </c>
      <c r="G116">
        <v>0.55380090605125498</v>
      </c>
      <c r="H116">
        <v>10.9892041666666</v>
      </c>
    </row>
    <row r="117" spans="1:8" x14ac:dyDescent="0.35">
      <c r="A117" t="s">
        <v>125</v>
      </c>
      <c r="B117">
        <f t="shared" si="4"/>
        <v>10.95617716151637</v>
      </c>
      <c r="C117">
        <f t="shared" si="5"/>
        <v>10.885970858726779</v>
      </c>
      <c r="D117">
        <v>27.385899725779801</v>
      </c>
      <c r="E117">
        <f t="shared" si="6"/>
        <v>27.019107457098379</v>
      </c>
      <c r="F117">
        <f t="shared" si="7"/>
        <v>26.79052241171015</v>
      </c>
      <c r="G117">
        <v>0.57687594380339002</v>
      </c>
      <c r="H117">
        <v>10.892973611111101</v>
      </c>
    </row>
    <row r="118" spans="1:8" x14ac:dyDescent="0.35">
      <c r="A118" t="s">
        <v>126</v>
      </c>
      <c r="B118">
        <f t="shared" si="4"/>
        <v>10.692041107917234</v>
      </c>
      <c r="C118">
        <f t="shared" si="5"/>
        <v>10.639823490678472</v>
      </c>
      <c r="D118">
        <v>29.5353925470143</v>
      </c>
      <c r="E118">
        <f t="shared" si="6"/>
        <v>29.396569685713466</v>
      </c>
      <c r="F118">
        <f t="shared" si="7"/>
        <v>29.071129197182078</v>
      </c>
      <c r="G118">
        <v>0.65997425857428105</v>
      </c>
      <c r="H118">
        <v>10.6214763888888</v>
      </c>
    </row>
    <row r="119" spans="1:8" x14ac:dyDescent="0.35">
      <c r="A119" t="s">
        <v>127</v>
      </c>
      <c r="B119">
        <f t="shared" si="4"/>
        <v>10.492917212169647</v>
      </c>
      <c r="C119">
        <f t="shared" si="5"/>
        <v>10.083580274159885</v>
      </c>
      <c r="D119">
        <v>34.779335249115498</v>
      </c>
      <c r="E119">
        <f t="shared" si="6"/>
        <v>31.188863976870859</v>
      </c>
      <c r="F119">
        <f t="shared" si="7"/>
        <v>30.866312943798302</v>
      </c>
      <c r="G119">
        <v>0.74307257334517296</v>
      </c>
      <c r="H119">
        <v>10.414947222222199</v>
      </c>
    </row>
    <row r="120" spans="1:8" x14ac:dyDescent="0.35">
      <c r="A120" t="s">
        <v>128</v>
      </c>
      <c r="B120">
        <f t="shared" si="4"/>
        <v>10.348242780394289</v>
      </c>
      <c r="C120">
        <f t="shared" si="5"/>
        <v>10.244163131725587</v>
      </c>
      <c r="D120">
        <v>33.206981250376501</v>
      </c>
      <c r="E120">
        <f t="shared" si="6"/>
        <v>32.491064082859687</v>
      </c>
      <c r="F120">
        <f t="shared" si="7"/>
        <v>32.213944969220719</v>
      </c>
      <c r="G120">
        <v>0.82617088811606398</v>
      </c>
      <c r="H120">
        <v>10.2627486111111</v>
      </c>
    </row>
    <row r="121" spans="1:8" x14ac:dyDescent="0.35">
      <c r="A121" t="s">
        <v>129</v>
      </c>
      <c r="B121">
        <f t="shared" si="4"/>
        <v>10.379365260659119</v>
      </c>
      <c r="C121">
        <f t="shared" si="5"/>
        <v>10.126905296022809</v>
      </c>
      <c r="D121">
        <v>34.350204460009799</v>
      </c>
      <c r="E121">
        <f t="shared" si="6"/>
        <v>32.210933747442674</v>
      </c>
      <c r="F121">
        <f t="shared" si="7"/>
        <v>31.920869689021696</v>
      </c>
      <c r="G121">
        <v>0.90926920288695501</v>
      </c>
      <c r="H121">
        <v>10.284988888888799</v>
      </c>
    </row>
    <row r="122" spans="1:8" x14ac:dyDescent="0.35">
      <c r="A122" t="s">
        <v>130</v>
      </c>
      <c r="B122">
        <f t="shared" si="4"/>
        <v>10.493244045455667</v>
      </c>
      <c r="C122">
        <f t="shared" si="5"/>
        <v>10.091110993401225</v>
      </c>
      <c r="D122">
        <v>34.704479509313899</v>
      </c>
      <c r="E122">
        <f t="shared" si="6"/>
        <v>31.185922183117313</v>
      </c>
      <c r="F122">
        <f t="shared" si="7"/>
        <v>30.863310584569575</v>
      </c>
      <c r="G122">
        <v>0.99236751765784603</v>
      </c>
      <c r="H122">
        <v>10.3891125</v>
      </c>
    </row>
    <row r="123" spans="1:8" x14ac:dyDescent="0.35">
      <c r="A123" t="s">
        <v>131</v>
      </c>
      <c r="B123">
        <f t="shared" si="4"/>
        <v>10.748723852455274</v>
      </c>
      <c r="C123">
        <f t="shared" si="5"/>
        <v>10.286534086602618</v>
      </c>
      <c r="D123">
        <v>32.800289756108803</v>
      </c>
      <c r="E123">
        <f t="shared" si="6"/>
        <v>28.886373965299061</v>
      </c>
      <c r="F123">
        <f t="shared" si="7"/>
        <v>28.572272578935703</v>
      </c>
      <c r="G123">
        <v>1.0754658324287301</v>
      </c>
      <c r="H123">
        <v>10.633125</v>
      </c>
    </row>
    <row r="124" spans="1:8" x14ac:dyDescent="0.35">
      <c r="A124" t="s">
        <v>132</v>
      </c>
      <c r="B124">
        <f t="shared" si="4"/>
        <v>11.038892652519948</v>
      </c>
      <c r="C124">
        <f t="shared" si="5"/>
        <v>10.468689104269925</v>
      </c>
      <c r="D124">
        <v>31.089399471392699</v>
      </c>
      <c r="E124">
        <f t="shared" si="6"/>
        <v>26.274593586679135</v>
      </c>
      <c r="F124">
        <f t="shared" si="7"/>
        <v>26.098779545383344</v>
      </c>
      <c r="G124">
        <v>1.15856414719962</v>
      </c>
      <c r="H124">
        <v>10.911</v>
      </c>
    </row>
    <row r="125" spans="1:8" x14ac:dyDescent="0.35">
      <c r="A125" t="s">
        <v>133</v>
      </c>
      <c r="B125">
        <f t="shared" si="4"/>
        <v>11.288823247326857</v>
      </c>
      <c r="C125">
        <f t="shared" si="5"/>
        <v>10.591368401846529</v>
      </c>
      <c r="D125">
        <v>29.9702984372367</v>
      </c>
      <c r="E125">
        <f t="shared" si="6"/>
        <v>24.024993273385629</v>
      </c>
      <c r="F125">
        <f t="shared" si="7"/>
        <v>24.070220595628914</v>
      </c>
      <c r="G125">
        <v>1.2416624619705099</v>
      </c>
      <c r="H125">
        <v>11.148654166666599</v>
      </c>
    </row>
    <row r="126" spans="1:8" x14ac:dyDescent="0.35">
      <c r="A126" t="s">
        <v>134</v>
      </c>
      <c r="B126">
        <f t="shared" si="4"/>
        <v>11.516354424098683</v>
      </c>
      <c r="C126">
        <f t="shared" si="5"/>
        <v>10.735172217649726</v>
      </c>
      <c r="D126">
        <v>28.691059373047299</v>
      </c>
      <c r="E126">
        <f t="shared" si="6"/>
        <v>21.977007883900242</v>
      </c>
      <c r="F126">
        <f t="shared" si="7"/>
        <v>22.300031704797838</v>
      </c>
      <c r="G126">
        <v>1.32476077674141</v>
      </c>
      <c r="H126">
        <v>11.363790277777699</v>
      </c>
    </row>
    <row r="127" spans="1:8" x14ac:dyDescent="0.35">
      <c r="A127" t="s">
        <v>135</v>
      </c>
      <c r="B127">
        <f t="shared" si="4"/>
        <v>11.615959959466883</v>
      </c>
      <c r="C127">
        <f t="shared" si="5"/>
        <v>10.870899266167088</v>
      </c>
      <c r="D127">
        <v>27.514715455931601</v>
      </c>
      <c r="E127">
        <f t="shared" si="6"/>
        <v>21.080468411639217</v>
      </c>
      <c r="F127">
        <f t="shared" si="7"/>
        <v>21.546926344174953</v>
      </c>
      <c r="G127">
        <v>1.4078590915122999</v>
      </c>
      <c r="H127">
        <v>11.452423611111101</v>
      </c>
    </row>
    <row r="128" spans="1:8" x14ac:dyDescent="0.35">
      <c r="A128" t="s">
        <v>136</v>
      </c>
      <c r="B128">
        <f t="shared" si="4"/>
        <v>11.67540588430111</v>
      </c>
      <c r="C128">
        <f t="shared" si="5"/>
        <v>11.001416195553791</v>
      </c>
      <c r="D128">
        <v>26.410903294059999</v>
      </c>
      <c r="E128">
        <f t="shared" si="6"/>
        <v>20.545401581448154</v>
      </c>
      <c r="F128">
        <f t="shared" si="7"/>
        <v>21.103585863664104</v>
      </c>
      <c r="G128">
        <v>1.4909574062831901</v>
      </c>
      <c r="H128">
        <v>11.5013305555555</v>
      </c>
    </row>
    <row r="129" spans="1:8" x14ac:dyDescent="0.35">
      <c r="A129" t="s">
        <v>137</v>
      </c>
      <c r="B129">
        <f t="shared" si="4"/>
        <v>11.308925454777263</v>
      </c>
      <c r="C129">
        <f t="shared" si="5"/>
        <v>11.098721989067259</v>
      </c>
      <c r="D129">
        <v>25.604857856382001</v>
      </c>
      <c r="E129">
        <f t="shared" si="6"/>
        <v>23.844055312535886</v>
      </c>
      <c r="F129">
        <f t="shared" si="7"/>
        <v>23.910957141965465</v>
      </c>
      <c r="G129">
        <v>1.57405572105408</v>
      </c>
      <c r="H129">
        <v>11.1309166666666</v>
      </c>
    </row>
    <row r="130" spans="1:8" x14ac:dyDescent="0.35">
      <c r="A130" t="s">
        <v>138</v>
      </c>
      <c r="B130">
        <f t="shared" si="4"/>
        <v>10.925133190344955</v>
      </c>
      <c r="C130">
        <f t="shared" si="5"/>
        <v>10.718042467123661</v>
      </c>
      <c r="D130">
        <v>28.841639944837699</v>
      </c>
      <c r="E130">
        <f t="shared" si="6"/>
        <v>27.298531140009409</v>
      </c>
      <c r="F130">
        <f t="shared" si="7"/>
        <v>27.052843906456236</v>
      </c>
      <c r="G130">
        <v>1.6571540358249699</v>
      </c>
      <c r="H130">
        <v>10.7440869047619</v>
      </c>
    </row>
    <row r="131" spans="1:8" x14ac:dyDescent="0.35">
      <c r="A131" t="s">
        <v>139</v>
      </c>
      <c r="B131">
        <f t="shared" si="4"/>
        <v>10.41928296388026</v>
      </c>
      <c r="C131">
        <f t="shared" si="5"/>
        <v>10.660408221927801</v>
      </c>
      <c r="D131">
        <v>29.3518320031645</v>
      </c>
      <c r="E131">
        <f t="shared" si="6"/>
        <v>31.851638488926554</v>
      </c>
      <c r="F131">
        <f t="shared" si="7"/>
        <v>31.547534170336593</v>
      </c>
      <c r="G131">
        <v>1.74025235059586</v>
      </c>
      <c r="H131">
        <v>10.2379611471861</v>
      </c>
    </row>
    <row r="132" spans="1:8" x14ac:dyDescent="0.35">
      <c r="A132" t="s">
        <v>140</v>
      </c>
      <c r="B132">
        <f t="shared" si="4"/>
        <v>10.234355446425599</v>
      </c>
      <c r="C132">
        <f t="shared" si="5"/>
        <v>10.71660350954291</v>
      </c>
      <c r="D132">
        <v>28.854311144908898</v>
      </c>
      <c r="E132">
        <f t="shared" si="6"/>
        <v>33.516152597429347</v>
      </c>
      <c r="F132">
        <f t="shared" si="7"/>
        <v>33.301598851603941</v>
      </c>
      <c r="G132">
        <v>1.8233506653667499</v>
      </c>
      <c r="H132">
        <v>10.0477472582972</v>
      </c>
    </row>
    <row r="133" spans="1:8" x14ac:dyDescent="0.35">
      <c r="A133" t="s">
        <v>141</v>
      </c>
      <c r="B133">
        <f t="shared" si="4"/>
        <v>10.234965300683218</v>
      </c>
      <c r="C133">
        <f t="shared" si="5"/>
        <v>10.625199313487173</v>
      </c>
      <c r="D133">
        <v>29.666233086137201</v>
      </c>
      <c r="E133">
        <f t="shared" si="6"/>
        <v>33.51066336018706</v>
      </c>
      <c r="F133">
        <f t="shared" si="7"/>
        <v>33.295710122413233</v>
      </c>
      <c r="G133">
        <v>1.9064489801376401</v>
      </c>
      <c r="H133">
        <v>10.0398409090909</v>
      </c>
    </row>
    <row r="134" spans="1:8" x14ac:dyDescent="0.35">
      <c r="A134" t="s">
        <v>142</v>
      </c>
      <c r="B134">
        <f t="shared" si="4"/>
        <v>10.339862098859024</v>
      </c>
      <c r="C134">
        <f t="shared" si="5"/>
        <v>10.616451582235754</v>
      </c>
      <c r="D134">
        <v>29.744670155080001</v>
      </c>
      <c r="E134">
        <f t="shared" si="6"/>
        <v>32.56649776004479</v>
      </c>
      <c r="F134">
        <f t="shared" si="7"/>
        <v>32.293165979279351</v>
      </c>
      <c r="G134">
        <v>1.98954729490854</v>
      </c>
      <c r="H134">
        <v>10.134145652173901</v>
      </c>
    </row>
    <row r="135" spans="1:8" x14ac:dyDescent="0.35">
      <c r="A135" t="s">
        <v>143</v>
      </c>
      <c r="B135">
        <f t="shared" si="4"/>
        <v>10.61027573299531</v>
      </c>
      <c r="C135">
        <f t="shared" si="5"/>
        <v>10.716691176492812</v>
      </c>
      <c r="D135">
        <v>28.8535390682712</v>
      </c>
      <c r="E135">
        <f t="shared" si="6"/>
        <v>30.132531656207828</v>
      </c>
      <c r="F135">
        <f t="shared" si="7"/>
        <v>29.800124173902031</v>
      </c>
      <c r="G135">
        <v>2.0726456096794301</v>
      </c>
      <c r="H135">
        <v>10.3903623188405</v>
      </c>
    </row>
    <row r="136" spans="1:8" x14ac:dyDescent="0.35">
      <c r="A136" t="s">
        <v>144</v>
      </c>
      <c r="B136">
        <f t="shared" si="4"/>
        <v>10.818160262548794</v>
      </c>
      <c r="C136">
        <f t="shared" si="5"/>
        <v>10.781994605404755</v>
      </c>
      <c r="D136">
        <v>28.2819044092087</v>
      </c>
      <c r="E136">
        <f t="shared" si="6"/>
        <v>28.261383775438397</v>
      </c>
      <c r="F136">
        <f t="shared" si="7"/>
        <v>27.968297058953549</v>
      </c>
      <c r="G136">
        <v>2.15574392445032</v>
      </c>
      <c r="H136">
        <v>10.5849484299516</v>
      </c>
    </row>
    <row r="137" spans="1:8" x14ac:dyDescent="0.35">
      <c r="A137" t="s">
        <v>145</v>
      </c>
      <c r="B137">
        <f t="shared" ref="B137:B200" si="8" xml:space="preserve"> H137/(1-$B$5*G137)</f>
        <v>11.093394149538666</v>
      </c>
      <c r="C137">
        <f t="shared" ref="C137:C200" si="9">$B$2/(1+$B$4*((D137/100)/$B$3))</f>
        <v>10.881498746539611</v>
      </c>
      <c r="D137">
        <v>27.424085288877698</v>
      </c>
      <c r="E137">
        <f t="shared" ref="E137:E200" si="10" xml:space="preserve"> (13.958 - B137)/0.1111</f>
        <v>25.784031057257735</v>
      </c>
      <c r="F137">
        <f t="shared" ref="F137:F200" si="11" xml:space="preserve"> ((($B$3 *($B$2-B137))/($B$4*B137)))*100</f>
        <v>25.648625796970322</v>
      </c>
      <c r="G137">
        <v>2.23884223922121</v>
      </c>
      <c r="H137">
        <v>10.8450305555555</v>
      </c>
    </row>
    <row r="138" spans="1:8" x14ac:dyDescent="0.35">
      <c r="A138" t="s">
        <v>146</v>
      </c>
      <c r="B138">
        <f t="shared" si="8"/>
        <v>11.32969659772453</v>
      </c>
      <c r="C138">
        <f t="shared" si="9"/>
        <v>10.963702761788804</v>
      </c>
      <c r="D138">
        <v>26.727154814310602</v>
      </c>
      <c r="E138">
        <f t="shared" si="10"/>
        <v>23.657096330112246</v>
      </c>
      <c r="F138">
        <f t="shared" si="11"/>
        <v>23.746987606362772</v>
      </c>
      <c r="G138">
        <v>2.3219405539920999</v>
      </c>
      <c r="H138">
        <v>11.0666277777777</v>
      </c>
    </row>
    <row r="139" spans="1:8" x14ac:dyDescent="0.35">
      <c r="A139" t="s">
        <v>147</v>
      </c>
      <c r="B139">
        <f t="shared" si="8"/>
        <v>11.450459127944587</v>
      </c>
      <c r="C139">
        <f t="shared" si="9"/>
        <v>11.047484027577143</v>
      </c>
      <c r="D139">
        <v>26.027524408369398</v>
      </c>
      <c r="E139">
        <f t="shared" si="10"/>
        <v>22.570124860984816</v>
      </c>
      <c r="F139">
        <f t="shared" si="11"/>
        <v>22.805459224043688</v>
      </c>
      <c r="G139">
        <v>2.4050388687629898</v>
      </c>
      <c r="H139">
        <v>11.1750711352657</v>
      </c>
    </row>
    <row r="140" spans="1:8" x14ac:dyDescent="0.35">
      <c r="A140" t="s">
        <v>148</v>
      </c>
      <c r="B140">
        <f t="shared" si="8"/>
        <v>11.561934269648656</v>
      </c>
      <c r="C140">
        <f t="shared" si="9"/>
        <v>11.11878084262198</v>
      </c>
      <c r="D140">
        <v>25.440451593334501</v>
      </c>
      <c r="E140">
        <f t="shared" si="10"/>
        <v>21.566748247986894</v>
      </c>
      <c r="F140">
        <f t="shared" si="11"/>
        <v>21.953797695867998</v>
      </c>
      <c r="G140">
        <v>2.5417514710701399</v>
      </c>
      <c r="H140">
        <v>11.2680586352657</v>
      </c>
    </row>
    <row r="141" spans="1:8" x14ac:dyDescent="0.35">
      <c r="A141" t="s">
        <v>149</v>
      </c>
      <c r="B141">
        <f t="shared" si="8"/>
        <v>11.268359541693339</v>
      </c>
      <c r="C141">
        <f t="shared" si="9"/>
        <v>11.165398717695071</v>
      </c>
      <c r="D141">
        <v>25.060644159744399</v>
      </c>
      <c r="E141">
        <f t="shared" si="10"/>
        <v>24.209185043264274</v>
      </c>
      <c r="F141">
        <f t="shared" si="11"/>
        <v>24.23293174181277</v>
      </c>
      <c r="G141">
        <v>2.6784640733773002</v>
      </c>
      <c r="H141">
        <v>10.966540579710101</v>
      </c>
    </row>
    <row r="142" spans="1:8" x14ac:dyDescent="0.35">
      <c r="A142" t="s">
        <v>150</v>
      </c>
      <c r="B142">
        <f t="shared" si="8"/>
        <v>11.016892201874674</v>
      </c>
      <c r="C142">
        <f t="shared" si="9"/>
        <v>11.085617487801924</v>
      </c>
      <c r="D142">
        <v>25.712586211417499</v>
      </c>
      <c r="E142">
        <f t="shared" si="10"/>
        <v>26.472617444872423</v>
      </c>
      <c r="F142">
        <f t="shared" si="11"/>
        <v>26.281753535997311</v>
      </c>
      <c r="G142">
        <v>2.8151766756844498</v>
      </c>
      <c r="H142">
        <v>10.7067472222222</v>
      </c>
    </row>
    <row r="143" spans="1:8" x14ac:dyDescent="0.35">
      <c r="A143" t="s">
        <v>151</v>
      </c>
      <c r="B143">
        <f t="shared" si="8"/>
        <v>10.832429376877561</v>
      </c>
      <c r="C143">
        <f t="shared" si="9"/>
        <v>10.998191335038484</v>
      </c>
      <c r="D143">
        <v>26.437861032954299</v>
      </c>
      <c r="E143">
        <f t="shared" si="10"/>
        <v>28.132948902992247</v>
      </c>
      <c r="F143">
        <f t="shared" si="11"/>
        <v>27.845139766158834</v>
      </c>
      <c r="G143">
        <v>2.9518892779915999</v>
      </c>
      <c r="H143">
        <v>10.512668055555499</v>
      </c>
    </row>
    <row r="144" spans="1:8" x14ac:dyDescent="0.35">
      <c r="A144" t="s">
        <v>152</v>
      </c>
      <c r="B144">
        <f t="shared" si="8"/>
        <v>11.076850364181487</v>
      </c>
      <c r="C144">
        <f t="shared" si="9"/>
        <v>11.040191758341741</v>
      </c>
      <c r="D144">
        <v>26.087997906156001</v>
      </c>
      <c r="E144">
        <f t="shared" si="10"/>
        <v>25.932940016368253</v>
      </c>
      <c r="F144">
        <f t="shared" si="11"/>
        <v>25.784800534669689</v>
      </c>
      <c r="G144">
        <v>3.08860188029875</v>
      </c>
      <c r="H144">
        <v>10.734730555555499</v>
      </c>
    </row>
    <row r="145" spans="1:8" x14ac:dyDescent="0.35">
      <c r="A145" t="s">
        <v>153</v>
      </c>
      <c r="B145">
        <f t="shared" si="8"/>
        <v>11.165015185082929</v>
      </c>
      <c r="C145">
        <f t="shared" si="9"/>
        <v>11.109886678605061</v>
      </c>
      <c r="D145">
        <v>25.513276632695799</v>
      </c>
      <c r="E145">
        <f t="shared" si="10"/>
        <v>25.139377271980837</v>
      </c>
      <c r="F145">
        <f t="shared" si="11"/>
        <v>25.063755955880236</v>
      </c>
      <c r="G145">
        <v>3.2253144826059099</v>
      </c>
      <c r="H145">
        <v>10.8049083333333</v>
      </c>
    </row>
    <row r="146" spans="1:8" x14ac:dyDescent="0.35">
      <c r="A146" t="s">
        <v>154</v>
      </c>
      <c r="B146">
        <f t="shared" si="8"/>
        <v>11.142425243491161</v>
      </c>
      <c r="C146">
        <f t="shared" si="9"/>
        <v>11.061091823088317</v>
      </c>
      <c r="D146">
        <v>25.914890595067799</v>
      </c>
      <c r="E146">
        <f t="shared" si="10"/>
        <v>25.342707079287482</v>
      </c>
      <c r="F146">
        <f t="shared" si="11"/>
        <v>25.247417594282791</v>
      </c>
      <c r="G146">
        <v>3.36202708491306</v>
      </c>
      <c r="H146">
        <v>10.767813888888799</v>
      </c>
    </row>
    <row r="147" spans="1:8" x14ac:dyDescent="0.35">
      <c r="A147" t="s">
        <v>155</v>
      </c>
      <c r="B147">
        <f t="shared" si="8"/>
        <v>11.100030621077639</v>
      </c>
      <c r="C147">
        <f t="shared" si="9"/>
        <v>11.060977045510587</v>
      </c>
      <c r="D147">
        <v>25.9158394677854</v>
      </c>
      <c r="E147">
        <f t="shared" si="10"/>
        <v>25.724296839985247</v>
      </c>
      <c r="F147">
        <f t="shared" si="11"/>
        <v>25.594113935961758</v>
      </c>
      <c r="G147">
        <v>3.4987396872202101</v>
      </c>
      <c r="H147">
        <v>10.7116694444444</v>
      </c>
    </row>
    <row r="148" spans="1:8" x14ac:dyDescent="0.35">
      <c r="A148" t="s">
        <v>156</v>
      </c>
      <c r="B148">
        <f t="shared" si="8"/>
        <v>11.327700652730497</v>
      </c>
      <c r="C148">
        <f t="shared" si="9"/>
        <v>11.12729185793448</v>
      </c>
      <c r="D148">
        <v>25.3708727642762</v>
      </c>
      <c r="E148">
        <f t="shared" si="10"/>
        <v>23.675061631588683</v>
      </c>
      <c r="F148">
        <f t="shared" si="11"/>
        <v>23.762717685882535</v>
      </c>
      <c r="G148">
        <v>3.6354522895273602</v>
      </c>
      <c r="H148">
        <v>10.9158875</v>
      </c>
    </row>
    <row r="149" spans="1:8" x14ac:dyDescent="0.35">
      <c r="A149" t="s">
        <v>157</v>
      </c>
      <c r="B149">
        <f t="shared" si="8"/>
        <v>11.58090788587092</v>
      </c>
      <c r="C149">
        <f t="shared" si="9"/>
        <v>11.193419022568218</v>
      </c>
      <c r="D149">
        <v>24.8338779968458</v>
      </c>
      <c r="E149">
        <f t="shared" si="10"/>
        <v>21.395968624024128</v>
      </c>
      <c r="F149">
        <f t="shared" si="11"/>
        <v>21.810473536937565</v>
      </c>
      <c r="G149">
        <v>3.7721648918345201</v>
      </c>
      <c r="H149">
        <v>11.144056944444401</v>
      </c>
    </row>
    <row r="150" spans="1:8" x14ac:dyDescent="0.35">
      <c r="A150" t="s">
        <v>158</v>
      </c>
      <c r="B150">
        <f t="shared" si="8"/>
        <v>11.753539805557729</v>
      </c>
      <c r="C150">
        <f t="shared" si="9"/>
        <v>11.260034321485263</v>
      </c>
      <c r="D150">
        <v>24.299296530074201</v>
      </c>
      <c r="E150">
        <f t="shared" si="10"/>
        <v>19.842125962576699</v>
      </c>
      <c r="F150">
        <f t="shared" si="11"/>
        <v>20.527693467929982</v>
      </c>
      <c r="G150">
        <v>3.9088774941416702</v>
      </c>
      <c r="H150">
        <v>11.2941083333333</v>
      </c>
    </row>
    <row r="151" spans="1:8" x14ac:dyDescent="0.35">
      <c r="A151" t="s">
        <v>159</v>
      </c>
      <c r="B151">
        <f t="shared" si="8"/>
        <v>11.845003048012142</v>
      </c>
      <c r="C151">
        <f t="shared" si="9"/>
        <v>11.329253757078808</v>
      </c>
      <c r="D151">
        <v>23.750477163263898</v>
      </c>
      <c r="E151">
        <f t="shared" si="10"/>
        <v>19.018874455336256</v>
      </c>
      <c r="F151">
        <f t="shared" si="11"/>
        <v>19.863208550890022</v>
      </c>
      <c r="G151">
        <v>4.0455900964488203</v>
      </c>
      <c r="H151">
        <v>11.3658027777777</v>
      </c>
    </row>
    <row r="152" spans="1:8" x14ac:dyDescent="0.35">
      <c r="A152" t="s">
        <v>160</v>
      </c>
      <c r="B152">
        <f t="shared" si="8"/>
        <v>11.869064076058885</v>
      </c>
      <c r="C152">
        <f t="shared" si="9"/>
        <v>11.400141637742751</v>
      </c>
      <c r="D152">
        <v>23.195336762997801</v>
      </c>
      <c r="E152">
        <f t="shared" si="10"/>
        <v>18.802303545824618</v>
      </c>
      <c r="F152">
        <f t="shared" si="11"/>
        <v>19.690105420618316</v>
      </c>
      <c r="G152">
        <v>4.1823026987559704</v>
      </c>
      <c r="H152">
        <v>11.3726638888888</v>
      </c>
    </row>
    <row r="153" spans="1:8" x14ac:dyDescent="0.35">
      <c r="A153" t="s">
        <v>161</v>
      </c>
      <c r="B153">
        <f t="shared" si="8"/>
        <v>11.824332217732401</v>
      </c>
      <c r="C153">
        <f t="shared" si="9"/>
        <v>11.472547428196242</v>
      </c>
      <c r="D153">
        <v>22.635391489016101</v>
      </c>
      <c r="E153">
        <f t="shared" si="10"/>
        <v>19.204930533461738</v>
      </c>
      <c r="F153">
        <f t="shared" si="11"/>
        <v>20.012484043988806</v>
      </c>
      <c r="G153">
        <v>4.3190153010631303</v>
      </c>
      <c r="H153">
        <v>11.3136375</v>
      </c>
    </row>
    <row r="154" spans="1:8" x14ac:dyDescent="0.35">
      <c r="A154" t="s">
        <v>162</v>
      </c>
      <c r="B154">
        <f t="shared" si="8"/>
        <v>11.83003791130437</v>
      </c>
      <c r="C154">
        <f t="shared" si="9"/>
        <v>11.539967640229156</v>
      </c>
      <c r="D154">
        <v>22.120319355160198</v>
      </c>
      <c r="E154">
        <f t="shared" si="10"/>
        <v>19.153574155676242</v>
      </c>
      <c r="F154">
        <f t="shared" si="11"/>
        <v>19.971227952871288</v>
      </c>
      <c r="G154">
        <v>4.4557279033702804</v>
      </c>
      <c r="H154">
        <v>11.302923611111099</v>
      </c>
    </row>
    <row r="155" spans="1:8" x14ac:dyDescent="0.35">
      <c r="A155" t="s">
        <v>163</v>
      </c>
      <c r="B155">
        <f t="shared" si="8"/>
        <v>11.74427960943941</v>
      </c>
      <c r="C155">
        <f t="shared" si="9"/>
        <v>11.609241297384317</v>
      </c>
      <c r="D155">
        <v>21.5973188839817</v>
      </c>
      <c r="E155">
        <f t="shared" si="10"/>
        <v>19.92547606265158</v>
      </c>
      <c r="F155">
        <f t="shared" si="11"/>
        <v>20.595546227160934</v>
      </c>
      <c r="G155">
        <v>4.5924405056774296</v>
      </c>
      <c r="H155">
        <v>11.204930555555499</v>
      </c>
    </row>
    <row r="156" spans="1:8" x14ac:dyDescent="0.35">
      <c r="A156" t="s">
        <v>164</v>
      </c>
      <c r="B156">
        <f t="shared" si="8"/>
        <v>11.530908379230096</v>
      </c>
      <c r="C156">
        <f t="shared" si="9"/>
        <v>11.647321236443986</v>
      </c>
      <c r="D156">
        <v>21.3124737883434</v>
      </c>
      <c r="E156">
        <f t="shared" si="10"/>
        <v>21.846009187847919</v>
      </c>
      <c r="F156">
        <f t="shared" si="11"/>
        <v>22.189179360629474</v>
      </c>
      <c r="G156">
        <v>4.7335944128119101</v>
      </c>
      <c r="H156">
        <v>10.985081944444399</v>
      </c>
    </row>
    <row r="157" spans="1:8" x14ac:dyDescent="0.35">
      <c r="A157" t="s">
        <v>165</v>
      </c>
      <c r="B157">
        <f t="shared" si="8"/>
        <v>11.224097913348913</v>
      </c>
      <c r="C157">
        <f t="shared" si="9"/>
        <v>11.612124495120558</v>
      </c>
      <c r="D157">
        <v>21.575686653563299</v>
      </c>
      <c r="E157">
        <f t="shared" si="10"/>
        <v>24.60757953781356</v>
      </c>
      <c r="F157">
        <f t="shared" si="11"/>
        <v>24.586894555119692</v>
      </c>
      <c r="G157">
        <v>4.8747483199463897</v>
      </c>
      <c r="H157">
        <v>10.676951388888799</v>
      </c>
    </row>
    <row r="158" spans="1:8" x14ac:dyDescent="0.35">
      <c r="A158" t="s">
        <v>166</v>
      </c>
      <c r="B158">
        <f t="shared" si="8"/>
        <v>11.155731413763419</v>
      </c>
      <c r="C158">
        <f t="shared" si="9"/>
        <v>11.523617185211027</v>
      </c>
      <c r="D158">
        <v>22.244678813829701</v>
      </c>
      <c r="E158">
        <f t="shared" si="10"/>
        <v>25.222939570086236</v>
      </c>
      <c r="F158">
        <f t="shared" si="11"/>
        <v>25.139145212312819</v>
      </c>
      <c r="G158">
        <v>5.0159022270808702</v>
      </c>
      <c r="H158">
        <v>10.5961708333333</v>
      </c>
    </row>
    <row r="159" spans="1:8" x14ac:dyDescent="0.35">
      <c r="A159" t="s">
        <v>167</v>
      </c>
      <c r="B159">
        <f t="shared" si="8"/>
        <v>11.377028056618549</v>
      </c>
      <c r="C159">
        <f t="shared" si="9"/>
        <v>11.552219620697857</v>
      </c>
      <c r="D159">
        <v>22.027363091010798</v>
      </c>
      <c r="E159">
        <f t="shared" si="10"/>
        <v>23.23107059749281</v>
      </c>
      <c r="F159">
        <f t="shared" si="11"/>
        <v>23.375584804927822</v>
      </c>
      <c r="G159">
        <v>5.1570561342153498</v>
      </c>
      <c r="H159">
        <v>10.7903083333333</v>
      </c>
    </row>
    <row r="160" spans="1:8" x14ac:dyDescent="0.35">
      <c r="A160" t="s">
        <v>168</v>
      </c>
      <c r="B160">
        <f t="shared" si="8"/>
        <v>11.600814695755505</v>
      </c>
      <c r="C160">
        <f t="shared" si="9"/>
        <v>11.601633908975481</v>
      </c>
      <c r="D160">
        <v>21.6544476691009</v>
      </c>
      <c r="E160">
        <f t="shared" si="10"/>
        <v>21.216789417142174</v>
      </c>
      <c r="F160">
        <f t="shared" si="11"/>
        <v>21.660604138123105</v>
      </c>
      <c r="G160">
        <v>5.2982100413498303</v>
      </c>
      <c r="H160">
        <v>10.9861791666666</v>
      </c>
    </row>
    <row r="161" spans="1:8" x14ac:dyDescent="0.35">
      <c r="A161" t="s">
        <v>169</v>
      </c>
      <c r="B161">
        <f t="shared" si="8"/>
        <v>11.511650864792612</v>
      </c>
      <c r="C161">
        <f t="shared" si="9"/>
        <v>11.620387114973363</v>
      </c>
      <c r="D161">
        <v>21.513752830932201</v>
      </c>
      <c r="E161">
        <f t="shared" si="10"/>
        <v>22.019344151281619</v>
      </c>
      <c r="F161">
        <f t="shared" si="11"/>
        <v>22.3359169886633</v>
      </c>
      <c r="G161">
        <v>5.4393639484843099</v>
      </c>
      <c r="H161">
        <v>10.8854902777777</v>
      </c>
    </row>
    <row r="162" spans="1:8" x14ac:dyDescent="0.35">
      <c r="A162" t="s">
        <v>170</v>
      </c>
      <c r="B162">
        <f t="shared" si="8"/>
        <v>11.214428754612287</v>
      </c>
      <c r="C162">
        <f t="shared" si="9"/>
        <v>11.220991982507448</v>
      </c>
      <c r="D162">
        <v>24.6118377153112</v>
      </c>
      <c r="E162">
        <f t="shared" si="10"/>
        <v>24.694610669556372</v>
      </c>
      <c r="F162">
        <f t="shared" si="11"/>
        <v>24.664591238489713</v>
      </c>
      <c r="G162">
        <v>5.5805178556187904</v>
      </c>
      <c r="H162">
        <v>10.5886055555555</v>
      </c>
    </row>
    <row r="163" spans="1:8" x14ac:dyDescent="0.35">
      <c r="A163" t="s">
        <v>171</v>
      </c>
      <c r="B163">
        <f t="shared" si="8"/>
        <v>11.007244217588346</v>
      </c>
      <c r="C163">
        <f t="shared" si="9"/>
        <v>10.882871232099612</v>
      </c>
      <c r="D163">
        <v>27.4123628501798</v>
      </c>
      <c r="E163">
        <f t="shared" si="10"/>
        <v>26.559457987503642</v>
      </c>
      <c r="F163">
        <f t="shared" si="11"/>
        <v>26.362224884394593</v>
      </c>
      <c r="G163">
        <v>5.7216717627532701</v>
      </c>
      <c r="H163">
        <v>10.377445833333301</v>
      </c>
    </row>
    <row r="164" spans="1:8" x14ac:dyDescent="0.35">
      <c r="A164" t="s">
        <v>172</v>
      </c>
      <c r="B164">
        <f t="shared" si="8"/>
        <v>10.903527002232213</v>
      </c>
      <c r="C164">
        <f t="shared" si="9"/>
        <v>10.976504371662703</v>
      </c>
      <c r="D164">
        <v>26.619561403858999</v>
      </c>
      <c r="E164">
        <f t="shared" si="10"/>
        <v>27.493006280538136</v>
      </c>
      <c r="F164">
        <f t="shared" si="11"/>
        <v>27.236297744704359</v>
      </c>
      <c r="G164">
        <v>5.8628256698877497</v>
      </c>
      <c r="H164">
        <v>10.2642722222222</v>
      </c>
    </row>
    <row r="165" spans="1:8" x14ac:dyDescent="0.35">
      <c r="A165" t="s">
        <v>173</v>
      </c>
      <c r="B165">
        <f t="shared" si="8"/>
        <v>10.993234321281649</v>
      </c>
      <c r="C165">
        <f t="shared" si="9"/>
        <v>11.019852830948706</v>
      </c>
      <c r="D165">
        <v>26.2570879465536</v>
      </c>
      <c r="E165">
        <f t="shared" si="10"/>
        <v>26.685559664431597</v>
      </c>
      <c r="F165">
        <f t="shared" si="11"/>
        <v>26.479329288061127</v>
      </c>
      <c r="G165">
        <v>6.0039795770222302</v>
      </c>
      <c r="H165">
        <v>10.3332027777777</v>
      </c>
    </row>
    <row r="166" spans="1:8" x14ac:dyDescent="0.35">
      <c r="A166" t="s">
        <v>174</v>
      </c>
      <c r="B166">
        <f t="shared" si="8"/>
        <v>11.136858131452197</v>
      </c>
      <c r="C166">
        <f t="shared" si="9"/>
        <v>11.068216568442489</v>
      </c>
      <c r="D166">
        <v>25.8560284487071</v>
      </c>
      <c r="E166">
        <f t="shared" si="10"/>
        <v>25.392816098540084</v>
      </c>
      <c r="F166">
        <f t="shared" si="11"/>
        <v>25.292793983939482</v>
      </c>
      <c r="G166">
        <v>6.1451334841567098</v>
      </c>
      <c r="H166">
        <v>10.4524833333333</v>
      </c>
    </row>
    <row r="167" spans="1:8" x14ac:dyDescent="0.35">
      <c r="A167" t="s">
        <v>175</v>
      </c>
      <c r="B167">
        <f t="shared" si="8"/>
        <v>11.324445524471811</v>
      </c>
      <c r="C167">
        <f t="shared" si="9"/>
        <v>11.150008868752355</v>
      </c>
      <c r="D167">
        <v>25.185677922551498</v>
      </c>
      <c r="E167">
        <f t="shared" si="10"/>
        <v>23.704360715825288</v>
      </c>
      <c r="F167">
        <f t="shared" si="11"/>
        <v>23.788383307536428</v>
      </c>
      <c r="G167">
        <v>6.2862873912911903</v>
      </c>
      <c r="H167">
        <v>10.6125583333333</v>
      </c>
    </row>
    <row r="168" spans="1:8" x14ac:dyDescent="0.35">
      <c r="A168" t="s">
        <v>176</v>
      </c>
      <c r="B168">
        <f t="shared" si="8"/>
        <v>11.469374643127216</v>
      </c>
      <c r="C168">
        <f t="shared" si="9"/>
        <v>11.219564887923008</v>
      </c>
      <c r="D168">
        <v>24.623303080301401</v>
      </c>
      <c r="E168">
        <f t="shared" si="10"/>
        <v>22.399868198674927</v>
      </c>
      <c r="F168">
        <f t="shared" si="11"/>
        <v>22.659779896665043</v>
      </c>
      <c r="G168">
        <v>6.3621692962429703</v>
      </c>
      <c r="H168">
        <v>10.739673611111099</v>
      </c>
    </row>
    <row r="169" spans="1:8" x14ac:dyDescent="0.35">
      <c r="A169" t="s">
        <v>177</v>
      </c>
      <c r="B169">
        <f t="shared" si="8"/>
        <v>11.579146372096879</v>
      </c>
      <c r="C169">
        <f t="shared" si="9"/>
        <v>11.286422992998226</v>
      </c>
      <c r="D169">
        <v>24.089274968471202</v>
      </c>
      <c r="E169">
        <f t="shared" si="10"/>
        <v>21.411823833511438</v>
      </c>
      <c r="F169">
        <f t="shared" si="11"/>
        <v>21.823759996975422</v>
      </c>
      <c r="G169">
        <v>6.4380512011947397</v>
      </c>
      <c r="H169">
        <v>10.833674999999999</v>
      </c>
    </row>
    <row r="170" spans="1:8" x14ac:dyDescent="0.35">
      <c r="A170" t="s">
        <v>178</v>
      </c>
      <c r="B170">
        <f t="shared" si="8"/>
        <v>11.68457245572751</v>
      </c>
      <c r="C170">
        <f t="shared" si="9"/>
        <v>11.362202848509785</v>
      </c>
      <c r="D170">
        <v>23.491583158278601</v>
      </c>
      <c r="E170">
        <f t="shared" si="10"/>
        <v>20.462894187871196</v>
      </c>
      <c r="F170">
        <f t="shared" si="11"/>
        <v>21.035624120939307</v>
      </c>
      <c r="G170">
        <v>6.5139331061465198</v>
      </c>
      <c r="H170">
        <v>10.923447222222199</v>
      </c>
    </row>
    <row r="171" spans="1:8" x14ac:dyDescent="0.35">
      <c r="A171" t="s">
        <v>179</v>
      </c>
      <c r="B171">
        <f t="shared" si="8"/>
        <v>11.779558027587388</v>
      </c>
      <c r="C171">
        <f t="shared" si="9"/>
        <v>11.441145731442903</v>
      </c>
      <c r="D171">
        <v>22.877364054672199</v>
      </c>
      <c r="E171">
        <f t="shared" si="10"/>
        <v>19.607938545568064</v>
      </c>
      <c r="F171">
        <f t="shared" si="11"/>
        <v>20.337619635947586</v>
      </c>
      <c r="G171">
        <v>6.5898150110982998</v>
      </c>
      <c r="H171">
        <v>11.0033069444444</v>
      </c>
    </row>
    <row r="172" spans="1:8" x14ac:dyDescent="0.35">
      <c r="A172" t="s">
        <v>180</v>
      </c>
      <c r="B172">
        <f t="shared" si="8"/>
        <v>11.882534276363666</v>
      </c>
      <c r="C172">
        <f t="shared" si="9"/>
        <v>11.524619813997157</v>
      </c>
      <c r="D172">
        <v>22.237042792502098</v>
      </c>
      <c r="E172">
        <f t="shared" si="10"/>
        <v>18.681059618688877</v>
      </c>
      <c r="F172">
        <f t="shared" si="11"/>
        <v>19.593502357588264</v>
      </c>
      <c r="G172">
        <v>6.6656969160500799</v>
      </c>
      <c r="H172">
        <v>11.0904805555555</v>
      </c>
    </row>
    <row r="173" spans="1:8" x14ac:dyDescent="0.35">
      <c r="A173" t="s">
        <v>181</v>
      </c>
      <c r="B173">
        <f t="shared" si="8"/>
        <v>12.20025062323635</v>
      </c>
      <c r="C173">
        <f t="shared" si="9"/>
        <v>11.598261168436652</v>
      </c>
      <c r="D173">
        <v>21.679799730906002</v>
      </c>
      <c r="E173">
        <f t="shared" si="10"/>
        <v>15.821326523525203</v>
      </c>
      <c r="F173">
        <f t="shared" si="11"/>
        <v>17.376816626676831</v>
      </c>
      <c r="G173">
        <v>6.7415788210018599</v>
      </c>
      <c r="H173">
        <v>11.3777611111111</v>
      </c>
    </row>
    <row r="174" spans="1:8" x14ac:dyDescent="0.35">
      <c r="A174" t="s">
        <v>182</v>
      </c>
      <c r="B174">
        <f t="shared" si="8"/>
        <v>12.011556776955675</v>
      </c>
      <c r="C174">
        <f t="shared" si="9"/>
        <v>11.657731436630241</v>
      </c>
      <c r="D174">
        <v>21.2349274359131</v>
      </c>
      <c r="E174">
        <f t="shared" si="10"/>
        <v>17.519740981497073</v>
      </c>
      <c r="F174">
        <f t="shared" si="11"/>
        <v>18.679179717311207</v>
      </c>
      <c r="G174">
        <v>6.8174607259536302</v>
      </c>
      <c r="H174">
        <v>11.1926736111111</v>
      </c>
    </row>
    <row r="175" spans="1:8" x14ac:dyDescent="0.35">
      <c r="A175" t="s">
        <v>183</v>
      </c>
      <c r="B175">
        <f t="shared" si="8"/>
        <v>11.725304287975174</v>
      </c>
      <c r="C175">
        <f t="shared" si="9"/>
        <v>11.579015156703953</v>
      </c>
      <c r="D175">
        <v>21.8247498689128</v>
      </c>
      <c r="E175">
        <f t="shared" si="10"/>
        <v>20.096271035326968</v>
      </c>
      <c r="F175">
        <f t="shared" si="11"/>
        <v>20.734919991768617</v>
      </c>
      <c r="G175">
        <v>6.8933426309054102</v>
      </c>
      <c r="H175">
        <v>10.917038888888801</v>
      </c>
    </row>
    <row r="176" spans="1:8" x14ac:dyDescent="0.35">
      <c r="A176" t="s">
        <v>184</v>
      </c>
      <c r="B176">
        <f t="shared" si="8"/>
        <v>11.290979849092764</v>
      </c>
      <c r="C176">
        <f t="shared" si="9"/>
        <v>11.381877213807778</v>
      </c>
      <c r="D176">
        <v>23.337708645983401</v>
      </c>
      <c r="E176">
        <f t="shared" si="10"/>
        <v>24.005581916356757</v>
      </c>
      <c r="F176">
        <f t="shared" si="11"/>
        <v>24.053107363382644</v>
      </c>
      <c r="G176">
        <v>6.9692245358571903</v>
      </c>
      <c r="H176">
        <v>10.5040861111111</v>
      </c>
    </row>
    <row r="177" spans="1:8" x14ac:dyDescent="0.35">
      <c r="A177" t="s">
        <v>185</v>
      </c>
      <c r="B177">
        <f t="shared" si="8"/>
        <v>11.300515273846781</v>
      </c>
      <c r="C177">
        <f t="shared" si="9"/>
        <v>11.407773143554502</v>
      </c>
      <c r="D177">
        <v>23.135983922345801</v>
      </c>
      <c r="E177">
        <f t="shared" si="10"/>
        <v>23.919754510830057</v>
      </c>
      <c r="F177">
        <f t="shared" si="11"/>
        <v>23.977519415013145</v>
      </c>
      <c r="G177">
        <v>7.0451064408089703</v>
      </c>
      <c r="H177">
        <v>10.5043819444444</v>
      </c>
    </row>
    <row r="178" spans="1:8" x14ac:dyDescent="0.35">
      <c r="A178" t="s">
        <v>186</v>
      </c>
      <c r="B178">
        <f t="shared" si="8"/>
        <v>11.142237428758806</v>
      </c>
      <c r="C178">
        <f t="shared" si="9"/>
        <v>11.409984098539345</v>
      </c>
      <c r="D178">
        <v>23.118803399419299</v>
      </c>
      <c r="E178">
        <f t="shared" si="10"/>
        <v>25.344397580928838</v>
      </c>
      <c r="F178">
        <f t="shared" si="11"/>
        <v>25.248947694622075</v>
      </c>
      <c r="G178">
        <v>7.1209883457607503</v>
      </c>
      <c r="H178">
        <v>10.348799999999899</v>
      </c>
    </row>
    <row r="179" spans="1:8" x14ac:dyDescent="0.35">
      <c r="A179" t="s">
        <v>187</v>
      </c>
      <c r="B179">
        <f t="shared" si="8"/>
        <v>10.971569331475454</v>
      </c>
      <c r="C179">
        <f t="shared" si="9"/>
        <v>10.859259683993118</v>
      </c>
      <c r="D179">
        <v>27.614442763423298</v>
      </c>
      <c r="E179">
        <f t="shared" si="10"/>
        <v>26.88056407312823</v>
      </c>
      <c r="F179">
        <f t="shared" si="11"/>
        <v>26.661009089017806</v>
      </c>
      <c r="G179">
        <v>7.1968702507125197</v>
      </c>
      <c r="H179">
        <v>10.181959722222199</v>
      </c>
    </row>
    <row r="180" spans="1:8" x14ac:dyDescent="0.35">
      <c r="A180" t="s">
        <v>188</v>
      </c>
      <c r="B180">
        <f t="shared" si="8"/>
        <v>10.879576585061617</v>
      </c>
      <c r="C180">
        <f t="shared" si="9"/>
        <v>10.867469773248905</v>
      </c>
      <c r="D180">
        <v>27.5440769662486</v>
      </c>
      <c r="E180">
        <f t="shared" si="10"/>
        <v>27.708581592604709</v>
      </c>
      <c r="F180">
        <f t="shared" si="11"/>
        <v>27.440507497031675</v>
      </c>
      <c r="G180">
        <v>7.2727521556642998</v>
      </c>
      <c r="H180">
        <v>10.0883319444444</v>
      </c>
    </row>
    <row r="181" spans="1:8" x14ac:dyDescent="0.35">
      <c r="A181" t="s">
        <v>189</v>
      </c>
      <c r="B181">
        <f t="shared" si="8"/>
        <v>10.994489224377793</v>
      </c>
      <c r="C181">
        <f t="shared" si="9"/>
        <v>10.952480076132066</v>
      </c>
      <c r="D181">
        <v>26.821684772831698</v>
      </c>
      <c r="E181">
        <f t="shared" si="10"/>
        <v>26.674264407040571</v>
      </c>
      <c r="F181">
        <f t="shared" si="11"/>
        <v>26.468827771029069</v>
      </c>
      <c r="G181">
        <v>7.3486340606160798</v>
      </c>
      <c r="H181">
        <v>10.186544444444401</v>
      </c>
    </row>
    <row r="182" spans="1:8" x14ac:dyDescent="0.35">
      <c r="A182" t="s">
        <v>190</v>
      </c>
      <c r="B182">
        <f t="shared" si="8"/>
        <v>11.142126757815522</v>
      </c>
      <c r="C182">
        <f t="shared" si="9"/>
        <v>11.03450775808237</v>
      </c>
      <c r="D182">
        <v>26.1351897451278</v>
      </c>
      <c r="E182">
        <f t="shared" si="10"/>
        <v>25.345393719032209</v>
      </c>
      <c r="F182">
        <f t="shared" si="11"/>
        <v>25.24984933946175</v>
      </c>
      <c r="G182">
        <v>7.4245159655678599</v>
      </c>
      <c r="H182">
        <v>10.314877777777699</v>
      </c>
    </row>
    <row r="183" spans="1:8" x14ac:dyDescent="0.35">
      <c r="A183" t="s">
        <v>191</v>
      </c>
      <c r="B183">
        <f t="shared" si="8"/>
        <v>11.300770830260676</v>
      </c>
      <c r="C183">
        <f t="shared" si="9"/>
        <v>11.117548825273813</v>
      </c>
      <c r="D183">
        <v>25.4505323469667</v>
      </c>
      <c r="E183">
        <f t="shared" si="10"/>
        <v>23.917454273081223</v>
      </c>
      <c r="F183">
        <f t="shared" si="11"/>
        <v>23.97549535742867</v>
      </c>
      <c r="G183">
        <v>7.5003978705196399</v>
      </c>
      <c r="H183">
        <v>10.4531680555555</v>
      </c>
    </row>
    <row r="184" spans="1:8" x14ac:dyDescent="0.35">
      <c r="A184" t="s">
        <v>192</v>
      </c>
      <c r="B184">
        <f t="shared" si="8"/>
        <v>11.525382741705506</v>
      </c>
      <c r="C184">
        <f t="shared" si="9"/>
        <v>11.198446132105694</v>
      </c>
      <c r="D184">
        <v>24.793314049097098</v>
      </c>
      <c r="E184">
        <f t="shared" si="10"/>
        <v>21.895744899140357</v>
      </c>
      <c r="F184">
        <f t="shared" si="11"/>
        <v>22.231233224796135</v>
      </c>
      <c r="G184">
        <v>7.5762797754714102</v>
      </c>
      <c r="H184">
        <v>10.6521875</v>
      </c>
    </row>
    <row r="185" spans="1:8" x14ac:dyDescent="0.35">
      <c r="A185" t="s">
        <v>193</v>
      </c>
      <c r="B185">
        <f t="shared" si="8"/>
        <v>11.433653604218751</v>
      </c>
      <c r="C185">
        <f t="shared" si="9"/>
        <v>11.258738890711204</v>
      </c>
      <c r="D185">
        <v>24.3096319265604</v>
      </c>
      <c r="E185">
        <f t="shared" si="10"/>
        <v>22.721389701001343</v>
      </c>
      <c r="F185">
        <f t="shared" si="11"/>
        <v>22.935292648807156</v>
      </c>
      <c r="G185">
        <v>7.6521616804231902</v>
      </c>
      <c r="H185">
        <v>10.5587319444444</v>
      </c>
    </row>
    <row r="186" spans="1:8" x14ac:dyDescent="0.35">
      <c r="A186" t="s">
        <v>194</v>
      </c>
      <c r="B186">
        <f t="shared" si="8"/>
        <v>11.338734571974358</v>
      </c>
      <c r="C186">
        <f t="shared" si="9"/>
        <v>11.256584612377459</v>
      </c>
      <c r="D186">
        <v>24.3268247743984</v>
      </c>
      <c r="E186">
        <f t="shared" si="10"/>
        <v>23.575746426873465</v>
      </c>
      <c r="F186">
        <f t="shared" si="11"/>
        <v>23.675828477291766</v>
      </c>
      <c r="G186">
        <v>7.7280435853749703</v>
      </c>
      <c r="H186">
        <v>10.4624722222222</v>
      </c>
    </row>
    <row r="187" spans="1:8" x14ac:dyDescent="0.35">
      <c r="A187" t="s">
        <v>195</v>
      </c>
      <c r="B187">
        <f t="shared" si="8"/>
        <v>11.219885986966908</v>
      </c>
      <c r="C187">
        <f t="shared" si="9"/>
        <v>11.297025457349454</v>
      </c>
      <c r="D187">
        <v>24.0051686188731</v>
      </c>
      <c r="E187">
        <f t="shared" si="10"/>
        <v>24.645490666364466</v>
      </c>
      <c r="F187">
        <f t="shared" si="11"/>
        <v>24.62072309668957</v>
      </c>
      <c r="G187">
        <v>7.8039254903267503</v>
      </c>
      <c r="H187">
        <v>10.344294444444399</v>
      </c>
    </row>
    <row r="188" spans="1:8" x14ac:dyDescent="0.35">
      <c r="A188" t="s">
        <v>196</v>
      </c>
      <c r="B188">
        <f t="shared" si="8"/>
        <v>11.457750022493791</v>
      </c>
      <c r="C188">
        <f t="shared" si="9"/>
        <v>11.34482472959677</v>
      </c>
      <c r="D188">
        <v>23.627942478906299</v>
      </c>
      <c r="E188">
        <f t="shared" si="10"/>
        <v>22.504500247580644</v>
      </c>
      <c r="F188">
        <f t="shared" si="11"/>
        <v>22.749250857252772</v>
      </c>
      <c r="G188">
        <v>7.8798073952785197</v>
      </c>
      <c r="H188">
        <v>10.554901388888799</v>
      </c>
    </row>
    <row r="189" spans="1:8" x14ac:dyDescent="0.35">
      <c r="A189" t="s">
        <v>197</v>
      </c>
      <c r="B189">
        <f t="shared" si="8"/>
        <v>11.659732960942421</v>
      </c>
      <c r="C189">
        <f t="shared" si="9"/>
        <v>11.405583466810697</v>
      </c>
      <c r="D189">
        <v>23.1530056648289</v>
      </c>
      <c r="E189">
        <f t="shared" si="10"/>
        <v>20.686471998718087</v>
      </c>
      <c r="F189">
        <f t="shared" si="11"/>
        <v>21.220033804115648</v>
      </c>
      <c r="G189">
        <v>7.9556893002302997</v>
      </c>
      <c r="H189">
        <v>10.732120833333299</v>
      </c>
    </row>
    <row r="190" spans="1:8" x14ac:dyDescent="0.35">
      <c r="A190" t="s">
        <v>198</v>
      </c>
      <c r="B190">
        <f t="shared" si="8"/>
        <v>11.714211552897943</v>
      </c>
      <c r="C190">
        <f t="shared" si="9"/>
        <v>11.469325833162115</v>
      </c>
      <c r="D190">
        <v>22.660155192081699</v>
      </c>
      <c r="E190">
        <f t="shared" si="10"/>
        <v>20.196115635482062</v>
      </c>
      <c r="F190">
        <f t="shared" si="11"/>
        <v>20.816605280668185</v>
      </c>
      <c r="G190">
        <v>7.9556893002302997</v>
      </c>
      <c r="H190">
        <v>10.7822652777777</v>
      </c>
    </row>
    <row r="191" spans="1:8" x14ac:dyDescent="0.35">
      <c r="A191" t="s">
        <v>199</v>
      </c>
      <c r="B191">
        <f t="shared" si="8"/>
        <v>11.742240021920052</v>
      </c>
      <c r="C191">
        <f t="shared" si="9"/>
        <v>11.519190540232232</v>
      </c>
      <c r="D191">
        <v>22.2784080340722</v>
      </c>
      <c r="E191">
        <f t="shared" si="10"/>
        <v>19.943834186138144</v>
      </c>
      <c r="F191">
        <f t="shared" si="11"/>
        <v>20.610505393905548</v>
      </c>
      <c r="G191">
        <v>7.9556893002302997</v>
      </c>
      <c r="H191">
        <v>10.8080638888888</v>
      </c>
    </row>
    <row r="192" spans="1:8" x14ac:dyDescent="0.35">
      <c r="A192" t="s">
        <v>200</v>
      </c>
      <c r="B192">
        <f t="shared" si="8"/>
        <v>11.823081218574792</v>
      </c>
      <c r="C192">
        <f t="shared" si="9"/>
        <v>11.561424487856021</v>
      </c>
      <c r="D192">
        <v>21.957655008774601</v>
      </c>
      <c r="E192">
        <f t="shared" si="10"/>
        <v>19.21619065189206</v>
      </c>
      <c r="F192">
        <f t="shared" si="11"/>
        <v>20.021534951237243</v>
      </c>
      <c r="G192">
        <v>7.9556893002302997</v>
      </c>
      <c r="H192">
        <v>10.8824736111111</v>
      </c>
    </row>
    <row r="193" spans="1:8" x14ac:dyDescent="0.35">
      <c r="A193" t="s">
        <v>201</v>
      </c>
      <c r="B193">
        <f t="shared" si="8"/>
        <v>12.006278008186495</v>
      </c>
      <c r="C193">
        <f t="shared" si="9"/>
        <v>11.611200205492759</v>
      </c>
      <c r="D193">
        <v>21.582620299742899</v>
      </c>
      <c r="E193">
        <f t="shared" si="10"/>
        <v>17.567254651786723</v>
      </c>
      <c r="F193">
        <f t="shared" si="11"/>
        <v>18.716202353393331</v>
      </c>
      <c r="G193">
        <v>7.9556893002302997</v>
      </c>
      <c r="H193">
        <v>11.051095833333299</v>
      </c>
    </row>
    <row r="194" spans="1:8" x14ac:dyDescent="0.35">
      <c r="A194" t="s">
        <v>202</v>
      </c>
      <c r="B194">
        <f t="shared" si="8"/>
        <v>12.072600231547394</v>
      </c>
      <c r="C194">
        <f t="shared" si="9"/>
        <v>11.660945869618647</v>
      </c>
      <c r="D194">
        <v>21.211010863218998</v>
      </c>
      <c r="E194">
        <f t="shared" si="10"/>
        <v>16.970294945568011</v>
      </c>
      <c r="F194">
        <f t="shared" si="11"/>
        <v>18.253403520441186</v>
      </c>
      <c r="G194">
        <v>7.9556893002302997</v>
      </c>
      <c r="H194">
        <v>11.1121416666666</v>
      </c>
    </row>
    <row r="195" spans="1:8" x14ac:dyDescent="0.35">
      <c r="A195" t="s">
        <v>203</v>
      </c>
      <c r="B195">
        <f t="shared" si="8"/>
        <v>11.857788234239781</v>
      </c>
      <c r="C195">
        <f t="shared" si="9"/>
        <v>11.690678065132785</v>
      </c>
      <c r="D195">
        <v>20.990415747282899</v>
      </c>
      <c r="E195">
        <f t="shared" si="10"/>
        <v>18.903796271469123</v>
      </c>
      <c r="F195">
        <f t="shared" si="11"/>
        <v>19.771140153264021</v>
      </c>
      <c r="G195">
        <v>7.9556893002302997</v>
      </c>
      <c r="H195">
        <v>10.9144194444444</v>
      </c>
    </row>
    <row r="196" spans="1:8" x14ac:dyDescent="0.35">
      <c r="A196" t="s">
        <v>204</v>
      </c>
      <c r="B196">
        <f t="shared" si="8"/>
        <v>11.624186977375528</v>
      </c>
      <c r="C196">
        <f t="shared" si="9"/>
        <v>11.62718932680426</v>
      </c>
      <c r="D196">
        <v>21.462831797925801</v>
      </c>
      <c r="E196">
        <f t="shared" si="10"/>
        <v>21.006417845404791</v>
      </c>
      <c r="F196">
        <f t="shared" si="11"/>
        <v>21.485299895347609</v>
      </c>
      <c r="G196">
        <v>7.9556893002302997</v>
      </c>
      <c r="H196">
        <v>10.699402777777699</v>
      </c>
    </row>
    <row r="197" spans="1:8" x14ac:dyDescent="0.35">
      <c r="A197" t="s">
        <v>205</v>
      </c>
      <c r="B197">
        <f t="shared" si="8"/>
        <v>11.416222527439267</v>
      </c>
      <c r="C197">
        <f t="shared" si="9"/>
        <v>11.58507835718714</v>
      </c>
      <c r="D197">
        <v>21.7790332899547</v>
      </c>
      <c r="E197">
        <f t="shared" si="10"/>
        <v>22.878285081554754</v>
      </c>
      <c r="F197">
        <f t="shared" si="11"/>
        <v>23.070362727529648</v>
      </c>
      <c r="G197">
        <v>7.9556893002302997</v>
      </c>
      <c r="H197">
        <v>10.5079833333333</v>
      </c>
    </row>
    <row r="198" spans="1:8" x14ac:dyDescent="0.35">
      <c r="A198" t="s">
        <v>206</v>
      </c>
      <c r="B198">
        <f t="shared" si="8"/>
        <v>11.441338751766162</v>
      </c>
      <c r="C198">
        <f t="shared" si="9"/>
        <v>11.584380870681155</v>
      </c>
      <c r="D198">
        <v>21.784289907736799</v>
      </c>
      <c r="E198">
        <f t="shared" si="10"/>
        <v>22.652216455750114</v>
      </c>
      <c r="F198">
        <f t="shared" si="11"/>
        <v>22.87587263773711</v>
      </c>
      <c r="G198">
        <v>7.9556893002302997</v>
      </c>
      <c r="H198">
        <v>10.5311013888888</v>
      </c>
    </row>
    <row r="199" spans="1:8" x14ac:dyDescent="0.35">
      <c r="A199" t="s">
        <v>207</v>
      </c>
      <c r="B199">
        <f t="shared" si="8"/>
        <v>11.464343975922894</v>
      </c>
      <c r="C199">
        <f t="shared" si="9"/>
        <v>11.592534156405973</v>
      </c>
      <c r="D199">
        <v>21.722882064640402</v>
      </c>
      <c r="E199">
        <f t="shared" si="10"/>
        <v>22.445148731567112</v>
      </c>
      <c r="F199">
        <f t="shared" si="11"/>
        <v>22.69847705142498</v>
      </c>
      <c r="G199">
        <v>7.9556893002302997</v>
      </c>
      <c r="H199">
        <v>10.552276388888799</v>
      </c>
    </row>
    <row r="200" spans="1:8" x14ac:dyDescent="0.35">
      <c r="A200" t="s">
        <v>208</v>
      </c>
      <c r="B200">
        <f t="shared" si="8"/>
        <v>11.387409412178068</v>
      </c>
      <c r="C200">
        <f t="shared" si="9"/>
        <v>11.606898907421842</v>
      </c>
      <c r="D200">
        <v>21.614901421455698</v>
      </c>
      <c r="E200">
        <f t="shared" si="10"/>
        <v>23.137629053302724</v>
      </c>
      <c r="F200">
        <f t="shared" si="11"/>
        <v>23.294536731674675</v>
      </c>
      <c r="G200">
        <v>7.9556893002302997</v>
      </c>
      <c r="H200">
        <v>10.481462499999999</v>
      </c>
    </row>
    <row r="201" spans="1:8" x14ac:dyDescent="0.35">
      <c r="A201" t="s">
        <v>209</v>
      </c>
      <c r="B201">
        <f t="shared" ref="B201:B264" si="12" xml:space="preserve"> H201/(1-$B$5*G201)</f>
        <v>11.201629325717573</v>
      </c>
      <c r="C201">
        <f t="shared" ref="C201:C264" si="13">$B$2/(1+$B$4*((D201/100)/$B$3))</f>
        <v>11.59548231119653</v>
      </c>
      <c r="D201">
        <v>21.7006987993243</v>
      </c>
      <c r="E201">
        <f t="shared" ref="E201:E264" si="14" xml:space="preserve"> (13.958 - B201)/0.1111</f>
        <v>24.809817050246874</v>
      </c>
      <c r="F201">
        <f t="shared" ref="F201:F264" si="15" xml:space="preserve"> ((($B$3 *($B$2-B201))/($B$4*B201)))*100</f>
        <v>24.767647558848452</v>
      </c>
      <c r="G201">
        <v>7.9556893002302997</v>
      </c>
      <c r="H201">
        <v>10.3104625</v>
      </c>
    </row>
    <row r="202" spans="1:8" x14ac:dyDescent="0.35">
      <c r="A202" t="s">
        <v>210</v>
      </c>
      <c r="B202">
        <f t="shared" si="12"/>
        <v>10.873052677349062</v>
      </c>
      <c r="C202">
        <f t="shared" si="13"/>
        <v>11.541160900888267</v>
      </c>
      <c r="D202">
        <v>22.111257364107701</v>
      </c>
      <c r="E202">
        <f t="shared" si="14"/>
        <v>27.767302634121858</v>
      </c>
      <c r="F202">
        <f t="shared" si="15"/>
        <v>27.496288551066446</v>
      </c>
      <c r="G202">
        <v>7.9556893002302997</v>
      </c>
      <c r="H202">
        <v>10.008026388888799</v>
      </c>
    </row>
    <row r="203" spans="1:8" x14ac:dyDescent="0.35">
      <c r="A203" t="s">
        <v>211</v>
      </c>
      <c r="B203">
        <f t="shared" ref="B203:B221" si="16" xml:space="preserve"> H203/(1-$B$5*G203)</f>
        <v>10.583616295896748</v>
      </c>
      <c r="C203">
        <f t="shared" ref="C203:C221" si="17">$B$2/(1+$B$4*((D203/100)/$B$3))</f>
        <v>11.369621641905528</v>
      </c>
      <c r="D203">
        <v>23.433497740271601</v>
      </c>
      <c r="E203">
        <f t="shared" si="14"/>
        <v>30.372490585987865</v>
      </c>
      <c r="F203">
        <f t="shared" ref="F203:F221" si="18" xml:space="preserve"> ((($B$3 *($B$2-B203))/($B$4*B203)))*100</f>
        <v>30.04024653884121</v>
      </c>
      <c r="G203">
        <v>7.9556893002302997</v>
      </c>
      <c r="H203">
        <v>9.7416166666666602</v>
      </c>
    </row>
    <row r="204" spans="1:8" x14ac:dyDescent="0.35">
      <c r="A204" t="s">
        <v>212</v>
      </c>
      <c r="B204">
        <f t="shared" si="16"/>
        <v>10.432283688268345</v>
      </c>
      <c r="C204">
        <f t="shared" si="17"/>
        <v>11.276869047711594</v>
      </c>
      <c r="D204">
        <v>24.165199178723402</v>
      </c>
      <c r="E204">
        <f t="shared" si="14"/>
        <v>31.734620267611653</v>
      </c>
      <c r="F204">
        <f t="shared" si="18"/>
        <v>31.426559980122253</v>
      </c>
      <c r="G204">
        <v>7.9556893002302997</v>
      </c>
      <c r="H204">
        <v>9.6023236111111103</v>
      </c>
    </row>
    <row r="205" spans="1:8" x14ac:dyDescent="0.35">
      <c r="A205" t="s">
        <v>213</v>
      </c>
      <c r="B205">
        <f t="shared" si="16"/>
        <v>10.570550427080468</v>
      </c>
      <c r="C205">
        <f t="shared" si="17"/>
        <v>11.064247655249421</v>
      </c>
      <c r="D205">
        <v>25.888808864436701</v>
      </c>
      <c r="E205">
        <f t="shared" si="14"/>
        <v>30.490095165792368</v>
      </c>
      <c r="F205">
        <f t="shared" si="18"/>
        <v>30.158373490834961</v>
      </c>
      <c r="G205">
        <v>7.9556893002302997</v>
      </c>
      <c r="H205">
        <v>9.7295902777777794</v>
      </c>
    </row>
    <row r="206" spans="1:8" x14ac:dyDescent="0.35">
      <c r="A206" t="s">
        <v>214</v>
      </c>
      <c r="B206">
        <f t="shared" si="16"/>
        <v>11.02916710023089</v>
      </c>
      <c r="C206">
        <f t="shared" si="17"/>
        <v>11.083795372091782</v>
      </c>
      <c r="D206">
        <v>25.7275854757075</v>
      </c>
      <c r="E206">
        <f t="shared" si="14"/>
        <v>26.362132311153111</v>
      </c>
      <c r="F206">
        <f t="shared" si="18"/>
        <v>26.179575281061208</v>
      </c>
      <c r="G206">
        <v>7.9556893002302997</v>
      </c>
      <c r="H206">
        <v>10.1517208333333</v>
      </c>
    </row>
    <row r="207" spans="1:8" x14ac:dyDescent="0.35">
      <c r="A207" t="s">
        <v>215</v>
      </c>
      <c r="B207">
        <f t="shared" si="16"/>
        <v>11.519094176192064</v>
      </c>
      <c r="C207">
        <f t="shared" si="17"/>
        <v>11.092127336963033</v>
      </c>
      <c r="D207">
        <v>25.659038787390799</v>
      </c>
      <c r="E207">
        <f t="shared" si="14"/>
        <v>21.952347649036323</v>
      </c>
      <c r="F207">
        <f t="shared" si="18"/>
        <v>22.279142576865709</v>
      </c>
      <c r="G207">
        <v>7.9556893002302997</v>
      </c>
      <c r="H207">
        <v>10.602670833333301</v>
      </c>
    </row>
    <row r="208" spans="1:8" x14ac:dyDescent="0.35">
      <c r="A208" t="s">
        <v>216</v>
      </c>
      <c r="B208">
        <f t="shared" si="16"/>
        <v>10.9017736111111</v>
      </c>
      <c r="C208">
        <f t="shared" si="17"/>
        <v>11.093006472695409</v>
      </c>
      <c r="D208">
        <v>25.651812184132002</v>
      </c>
      <c r="E208">
        <f t="shared" si="14"/>
        <v>27.508788378837984</v>
      </c>
      <c r="F208">
        <f t="shared" si="18"/>
        <v>27.251217339691646</v>
      </c>
      <c r="G208">
        <v>0</v>
      </c>
      <c r="H208">
        <v>10.9017736111111</v>
      </c>
    </row>
    <row r="209" spans="1:8" x14ac:dyDescent="0.35">
      <c r="A209" t="s">
        <v>217</v>
      </c>
      <c r="B209">
        <f t="shared" si="16"/>
        <v>11.0823013888888</v>
      </c>
      <c r="C209">
        <f t="shared" si="17"/>
        <v>11.093885747795264</v>
      </c>
      <c r="D209">
        <v>25.644585580873201</v>
      </c>
      <c r="E209">
        <f t="shared" si="14"/>
        <v>25.883875887589564</v>
      </c>
      <c r="F209">
        <f t="shared" si="18"/>
        <v>25.739887303744034</v>
      </c>
      <c r="G209">
        <v>0</v>
      </c>
      <c r="H209">
        <v>11.0823013888888</v>
      </c>
    </row>
    <row r="210" spans="1:8" x14ac:dyDescent="0.35">
      <c r="A210" t="s">
        <v>218</v>
      </c>
      <c r="B210">
        <f t="shared" si="16"/>
        <v>10.551151388888799</v>
      </c>
      <c r="C210">
        <f t="shared" si="17"/>
        <v>11.086579419537328</v>
      </c>
      <c r="D210">
        <v>25.704669784903</v>
      </c>
      <c r="E210">
        <f t="shared" si="14"/>
        <v>30.664703970397845</v>
      </c>
      <c r="F210">
        <f t="shared" si="18"/>
        <v>30.334297508476709</v>
      </c>
      <c r="G210">
        <v>0</v>
      </c>
      <c r="H210">
        <v>10.551151388888799</v>
      </c>
    </row>
    <row r="211" spans="1:8" x14ac:dyDescent="0.35">
      <c r="A211" t="s">
        <v>219</v>
      </c>
      <c r="B211">
        <f t="shared" si="16"/>
        <v>10.541204166666599</v>
      </c>
      <c r="C211">
        <f t="shared" si="17"/>
        <v>11.108462744178309</v>
      </c>
      <c r="D211">
        <v>25.524946577219801</v>
      </c>
      <c r="E211">
        <f t="shared" si="14"/>
        <v>30.754237923792989</v>
      </c>
      <c r="F211">
        <f t="shared" si="18"/>
        <v>30.424756998317427</v>
      </c>
      <c r="G211">
        <v>0</v>
      </c>
      <c r="H211">
        <v>10.541204166666599</v>
      </c>
    </row>
    <row r="212" spans="1:8" x14ac:dyDescent="0.35">
      <c r="A212" t="s">
        <v>220</v>
      </c>
      <c r="B212">
        <f t="shared" si="16"/>
        <v>10.483369444444399</v>
      </c>
      <c r="C212">
        <f t="shared" si="17"/>
        <v>11.126307600317233</v>
      </c>
      <c r="D212">
        <v>25.378913774904198</v>
      </c>
      <c r="E212">
        <f t="shared" si="14"/>
        <v>31.274802480248432</v>
      </c>
      <c r="F212">
        <f t="shared" si="18"/>
        <v>30.954103358597489</v>
      </c>
      <c r="G212">
        <v>0</v>
      </c>
      <c r="H212">
        <v>10.483369444444399</v>
      </c>
    </row>
    <row r="213" spans="1:8" x14ac:dyDescent="0.35">
      <c r="A213" t="s">
        <v>221</v>
      </c>
      <c r="B213">
        <f t="shared" si="16"/>
        <v>10.494145833333301</v>
      </c>
      <c r="C213">
        <f t="shared" si="17"/>
        <v>11.143070817547374</v>
      </c>
      <c r="D213">
        <v>25.242158586146701</v>
      </c>
      <c r="E213">
        <f t="shared" si="14"/>
        <v>31.177805280528347</v>
      </c>
      <c r="F213">
        <f t="shared" si="18"/>
        <v>30.855027541537751</v>
      </c>
      <c r="G213">
        <v>0</v>
      </c>
      <c r="H213">
        <v>10.494145833333301</v>
      </c>
    </row>
    <row r="214" spans="1:8" x14ac:dyDescent="0.35">
      <c r="A214" t="s">
        <v>222</v>
      </c>
      <c r="B214">
        <f t="shared" si="16"/>
        <v>10.532490277777701</v>
      </c>
      <c r="C214">
        <f t="shared" si="17"/>
        <v>11.164566223857658</v>
      </c>
      <c r="D214">
        <v>25.067398879416999</v>
      </c>
      <c r="E214">
        <f t="shared" si="14"/>
        <v>30.832670767077403</v>
      </c>
      <c r="F214">
        <f t="shared" si="18"/>
        <v>30.50414102408218</v>
      </c>
      <c r="G214">
        <v>0</v>
      </c>
      <c r="H214">
        <v>10.532490277777701</v>
      </c>
    </row>
    <row r="215" spans="1:8" x14ac:dyDescent="0.35">
      <c r="A215" t="s">
        <v>223</v>
      </c>
      <c r="B215">
        <f t="shared" si="16"/>
        <v>10.5872777777777</v>
      </c>
      <c r="C215">
        <f t="shared" si="17"/>
        <v>11.184302273792365</v>
      </c>
      <c r="D215">
        <v>24.907534436572998</v>
      </c>
      <c r="E215">
        <f t="shared" si="14"/>
        <v>30.339533953396039</v>
      </c>
      <c r="F215">
        <f t="shared" si="18"/>
        <v>30.007195821607834</v>
      </c>
      <c r="G215">
        <v>0</v>
      </c>
      <c r="H215">
        <v>10.5872777777777</v>
      </c>
    </row>
    <row r="216" spans="1:8" x14ac:dyDescent="0.35">
      <c r="A216" t="s">
        <v>224</v>
      </c>
      <c r="B216">
        <f t="shared" si="16"/>
        <v>10.566976388888801</v>
      </c>
      <c r="C216">
        <f t="shared" si="17"/>
        <v>11.197030177187514</v>
      </c>
      <c r="D216">
        <v>24.8047357611104</v>
      </c>
      <c r="E216">
        <f t="shared" si="14"/>
        <v>30.522264726473441</v>
      </c>
      <c r="F216">
        <f t="shared" si="18"/>
        <v>30.190736823910751</v>
      </c>
      <c r="G216">
        <v>0</v>
      </c>
      <c r="H216">
        <v>10.566976388888801</v>
      </c>
    </row>
    <row r="217" spans="1:8" x14ac:dyDescent="0.35">
      <c r="A217" t="s">
        <v>225</v>
      </c>
      <c r="B217">
        <f t="shared" si="16"/>
        <v>10.5554138888888</v>
      </c>
      <c r="C217">
        <f t="shared" si="17"/>
        <v>11.193779812359258</v>
      </c>
      <c r="D217">
        <v>24.830965556009001</v>
      </c>
      <c r="E217">
        <f t="shared" si="14"/>
        <v>30.626337633764173</v>
      </c>
      <c r="F217">
        <f t="shared" si="18"/>
        <v>30.29558675150788</v>
      </c>
      <c r="G217">
        <v>0</v>
      </c>
      <c r="H217">
        <v>10.5554138888888</v>
      </c>
    </row>
    <row r="218" spans="1:8" x14ac:dyDescent="0.35">
      <c r="A218" t="s">
        <v>226</v>
      </c>
      <c r="B218">
        <f t="shared" si="16"/>
        <v>10.5165805555555</v>
      </c>
      <c r="C218">
        <f t="shared" si="17"/>
        <v>11.208117012404154</v>
      </c>
      <c r="D218">
        <v>24.7153816619062</v>
      </c>
      <c r="E218">
        <f t="shared" si="14"/>
        <v>30.975872587259229</v>
      </c>
      <c r="F218">
        <f t="shared" si="18"/>
        <v>30.649418862931434</v>
      </c>
      <c r="G218">
        <v>0</v>
      </c>
      <c r="H218">
        <v>10.5165805555555</v>
      </c>
    </row>
    <row r="219" spans="1:8" x14ac:dyDescent="0.35">
      <c r="A219" t="s">
        <v>227</v>
      </c>
      <c r="B219">
        <f t="shared" si="16"/>
        <v>10.5410277777777</v>
      </c>
      <c r="C219">
        <f t="shared" si="17"/>
        <v>11.221222372562634</v>
      </c>
      <c r="D219">
        <v>24.609987020952701</v>
      </c>
      <c r="E219">
        <f t="shared" si="14"/>
        <v>30.755825582558959</v>
      </c>
      <c r="F219">
        <f t="shared" si="18"/>
        <v>30.426362609687935</v>
      </c>
      <c r="G219">
        <v>0</v>
      </c>
      <c r="H219">
        <v>10.5410277777777</v>
      </c>
    </row>
    <row r="220" spans="1:8" x14ac:dyDescent="0.35">
      <c r="A220" t="s">
        <v>228</v>
      </c>
      <c r="B220">
        <f t="shared" si="16"/>
        <v>10.464655555555501</v>
      </c>
      <c r="C220">
        <f t="shared" si="17"/>
        <v>11.228836651521018</v>
      </c>
      <c r="D220">
        <v>24.548865205684098</v>
      </c>
      <c r="E220">
        <f t="shared" si="14"/>
        <v>31.443244324432936</v>
      </c>
      <c r="F220">
        <f t="shared" si="18"/>
        <v>31.126639710362081</v>
      </c>
      <c r="G220">
        <v>0</v>
      </c>
      <c r="H220">
        <v>10.464655555555501</v>
      </c>
    </row>
    <row r="221" spans="1:8" x14ac:dyDescent="0.35">
      <c r="A221" t="s">
        <v>229</v>
      </c>
      <c r="B221">
        <f t="shared" si="16"/>
        <v>10.296952777777699</v>
      </c>
      <c r="C221">
        <f t="shared" si="17"/>
        <v>11.161520669240014</v>
      </c>
      <c r="D221">
        <v>25.092118600356699</v>
      </c>
      <c r="E221">
        <f t="shared" si="14"/>
        <v>32.952720272027911</v>
      </c>
      <c r="F221">
        <f t="shared" si="18"/>
        <v>32.700800137087974</v>
      </c>
      <c r="G221">
        <v>0</v>
      </c>
      <c r="H221">
        <v>10.296952777777699</v>
      </c>
    </row>
    <row r="222" spans="1:8" x14ac:dyDescent="0.35">
      <c r="A222" t="s">
        <v>230</v>
      </c>
      <c r="B222">
        <f t="shared" si="12"/>
        <v>10.0838902777777</v>
      </c>
      <c r="C222">
        <f t="shared" si="13"/>
        <v>10.533538888681392</v>
      </c>
      <c r="D222">
        <v>30.494581167153999</v>
      </c>
      <c r="E222">
        <f t="shared" si="14"/>
        <v>34.870474547455451</v>
      </c>
      <c r="F222">
        <f t="shared" si="15"/>
        <v>34.776251590559291</v>
      </c>
      <c r="G222">
        <v>0</v>
      </c>
      <c r="H222">
        <v>10.0838902777777</v>
      </c>
    </row>
    <row r="223" spans="1:8" x14ac:dyDescent="0.35">
      <c r="A223" t="s">
        <v>231</v>
      </c>
      <c r="B223">
        <f t="shared" si="12"/>
        <v>9.9633236111111092</v>
      </c>
      <c r="C223">
        <f t="shared" si="13"/>
        <v>10.615155606931125</v>
      </c>
      <c r="D223">
        <v>29.756301592032699</v>
      </c>
      <c r="E223">
        <f t="shared" si="14"/>
        <v>35.955683068306847</v>
      </c>
      <c r="F223">
        <f t="shared" si="15"/>
        <v>35.990024106490246</v>
      </c>
      <c r="G223">
        <v>0</v>
      </c>
      <c r="H223">
        <v>9.9633236111111092</v>
      </c>
    </row>
    <row r="224" spans="1:8" x14ac:dyDescent="0.35">
      <c r="A224" t="s">
        <v>232</v>
      </c>
      <c r="B224">
        <f t="shared" si="12"/>
        <v>9.9029208333333294</v>
      </c>
      <c r="C224">
        <f t="shared" si="13"/>
        <v>10.476980378697801</v>
      </c>
      <c r="D224">
        <v>31.0129393030074</v>
      </c>
      <c r="E224">
        <f t="shared" si="14"/>
        <v>36.499362436243658</v>
      </c>
      <c r="F224">
        <f t="shared" si="15"/>
        <v>36.609225265827071</v>
      </c>
      <c r="G224">
        <v>0</v>
      </c>
      <c r="H224">
        <v>9.9029208333333294</v>
      </c>
    </row>
    <row r="225" spans="1:8" x14ac:dyDescent="0.35">
      <c r="A225" t="s">
        <v>233</v>
      </c>
      <c r="B225">
        <f t="shared" si="12"/>
        <v>9.9203069444444392</v>
      </c>
      <c r="C225">
        <f t="shared" si="13"/>
        <v>10.466930950361945</v>
      </c>
      <c r="D225">
        <v>31.105628316753201</v>
      </c>
      <c r="E225">
        <f t="shared" si="14"/>
        <v>36.342871787178765</v>
      </c>
      <c r="F225">
        <f t="shared" si="15"/>
        <v>36.430223866100924</v>
      </c>
      <c r="G225">
        <v>0</v>
      </c>
      <c r="H225">
        <v>9.9203069444444392</v>
      </c>
    </row>
    <row r="226" spans="1:8" x14ac:dyDescent="0.35">
      <c r="A226" t="s">
        <v>234</v>
      </c>
      <c r="B226">
        <f t="shared" si="12"/>
        <v>9.8994736111111106</v>
      </c>
      <c r="C226">
        <f t="shared" si="13"/>
        <v>10.523907332206177</v>
      </c>
      <c r="D226">
        <v>30.582460661745898</v>
      </c>
      <c r="E226">
        <f t="shared" si="14"/>
        <v>36.530390539053911</v>
      </c>
      <c r="F226">
        <f t="shared" si="15"/>
        <v>36.644791367408445</v>
      </c>
      <c r="G226">
        <v>0</v>
      </c>
      <c r="H226">
        <v>9.8994736111111106</v>
      </c>
    </row>
    <row r="227" spans="1:8" x14ac:dyDescent="0.35">
      <c r="A227" t="s">
        <v>235</v>
      </c>
      <c r="B227">
        <f t="shared" si="12"/>
        <v>9.8584388888888892</v>
      </c>
      <c r="C227">
        <f t="shared" si="13"/>
        <v>10.384963981513652</v>
      </c>
      <c r="D227">
        <v>31.868333880808699</v>
      </c>
      <c r="E227">
        <f t="shared" si="14"/>
        <v>36.899739973997399</v>
      </c>
      <c r="F227">
        <f t="shared" si="15"/>
        <v>37.070070075776414</v>
      </c>
      <c r="G227">
        <v>0</v>
      </c>
      <c r="H227">
        <v>9.8584388888888892</v>
      </c>
    </row>
    <row r="228" spans="1:8" x14ac:dyDescent="0.35">
      <c r="A228" t="s">
        <v>236</v>
      </c>
      <c r="B228">
        <f t="shared" si="12"/>
        <v>9.74898611111111</v>
      </c>
      <c r="C228">
        <f t="shared" si="13"/>
        <v>10.113955789461116</v>
      </c>
      <c r="D228">
        <v>34.478083042584601</v>
      </c>
      <c r="E228">
        <f t="shared" si="14"/>
        <v>37.884913491349145</v>
      </c>
      <c r="F228">
        <f t="shared" si="15"/>
        <v>38.221935072241592</v>
      </c>
      <c r="G228">
        <v>0</v>
      </c>
      <c r="H228">
        <v>9.74898611111111</v>
      </c>
    </row>
    <row r="229" spans="1:8" x14ac:dyDescent="0.35">
      <c r="A229" t="s">
        <v>237</v>
      </c>
      <c r="B229">
        <f t="shared" si="12"/>
        <v>9.5912305555555495</v>
      </c>
      <c r="C229">
        <f t="shared" si="13"/>
        <v>9.8969936145810777</v>
      </c>
      <c r="D229">
        <v>36.670393613875802</v>
      </c>
      <c r="E229">
        <f t="shared" si="14"/>
        <v>39.304855485548607</v>
      </c>
      <c r="F229">
        <f t="shared" si="15"/>
        <v>39.928383915307002</v>
      </c>
      <c r="G229">
        <v>0</v>
      </c>
      <c r="H229">
        <v>9.5912305555555495</v>
      </c>
    </row>
    <row r="230" spans="1:8" x14ac:dyDescent="0.35">
      <c r="A230" t="s">
        <v>238</v>
      </c>
      <c r="B230">
        <f t="shared" si="12"/>
        <v>9.5204458333333299</v>
      </c>
      <c r="C230">
        <f t="shared" si="13"/>
        <v>9.8890596811693374</v>
      </c>
      <c r="D230">
        <v>36.752385835974501</v>
      </c>
      <c r="E230">
        <f t="shared" si="14"/>
        <v>39.941981698169847</v>
      </c>
      <c r="F230">
        <f t="shared" si="15"/>
        <v>40.712445738681311</v>
      </c>
      <c r="G230">
        <v>0</v>
      </c>
      <c r="H230">
        <v>9.5204458333333299</v>
      </c>
    </row>
    <row r="231" spans="1:8" x14ac:dyDescent="0.35">
      <c r="A231" t="s">
        <v>239</v>
      </c>
      <c r="B231">
        <f t="shared" si="12"/>
        <v>9.4968305555555492</v>
      </c>
      <c r="C231">
        <f t="shared" si="13"/>
        <v>9.9267980278871555</v>
      </c>
      <c r="D231">
        <v>36.363554659059503</v>
      </c>
      <c r="E231">
        <f t="shared" si="14"/>
        <v>40.15454045404546</v>
      </c>
      <c r="F231">
        <f t="shared" si="15"/>
        <v>40.976625458923408</v>
      </c>
      <c r="G231">
        <v>0</v>
      </c>
      <c r="H231">
        <v>9.4968305555555492</v>
      </c>
    </row>
    <row r="232" spans="1:8" x14ac:dyDescent="0.35">
      <c r="A232" t="s">
        <v>240</v>
      </c>
      <c r="B232">
        <f t="shared" si="12"/>
        <v>9.5346847222222202</v>
      </c>
      <c r="C232">
        <f t="shared" si="13"/>
        <v>10.020678741670542</v>
      </c>
      <c r="D232">
        <v>35.408974394312402</v>
      </c>
      <c r="E232">
        <f t="shared" si="14"/>
        <v>39.81381888188821</v>
      </c>
      <c r="F232">
        <f t="shared" si="15"/>
        <v>40.553790334106452</v>
      </c>
      <c r="G232">
        <v>0</v>
      </c>
      <c r="H232">
        <v>9.5346847222222202</v>
      </c>
    </row>
    <row r="233" spans="1:8" x14ac:dyDescent="0.35">
      <c r="A233" t="s">
        <v>241</v>
      </c>
      <c r="B233">
        <f t="shared" si="12"/>
        <v>9.7111458333333296</v>
      </c>
      <c r="C233">
        <f t="shared" si="13"/>
        <v>9.9597200677831967</v>
      </c>
      <c r="D233">
        <v>36.0267540933433</v>
      </c>
      <c r="E233">
        <f t="shared" si="14"/>
        <v>38.225510051005138</v>
      </c>
      <c r="F233">
        <f t="shared" si="15"/>
        <v>38.626200666424488</v>
      </c>
      <c r="G233">
        <v>0</v>
      </c>
      <c r="H233">
        <v>9.7111458333333296</v>
      </c>
    </row>
    <row r="234" spans="1:8" x14ac:dyDescent="0.35">
      <c r="A234" t="s">
        <v>242</v>
      </c>
      <c r="B234">
        <f t="shared" si="12"/>
        <v>9.9330361111111092</v>
      </c>
      <c r="C234">
        <f t="shared" si="13"/>
        <v>10.041253912131223</v>
      </c>
      <c r="D234">
        <v>35.202150482981899</v>
      </c>
      <c r="E234">
        <f t="shared" si="14"/>
        <v>36.228297829782996</v>
      </c>
      <c r="F234">
        <f t="shared" si="15"/>
        <v>36.299566095992404</v>
      </c>
      <c r="G234">
        <v>0</v>
      </c>
      <c r="H234">
        <v>9.9330361111111092</v>
      </c>
    </row>
    <row r="235" spans="1:8" x14ac:dyDescent="0.35">
      <c r="A235" t="s">
        <v>243</v>
      </c>
      <c r="B235">
        <f t="shared" si="12"/>
        <v>10.0613833333333</v>
      </c>
      <c r="C235">
        <f t="shared" si="13"/>
        <v>10.164721003144457</v>
      </c>
      <c r="D235">
        <v>33.978632949764602</v>
      </c>
      <c r="E235">
        <f t="shared" si="14"/>
        <v>35.073057305730877</v>
      </c>
      <c r="F235">
        <f t="shared" si="15"/>
        <v>35.000625897803893</v>
      </c>
      <c r="G235">
        <v>0</v>
      </c>
      <c r="H235">
        <v>10.0613833333333</v>
      </c>
    </row>
    <row r="236" spans="1:8" x14ac:dyDescent="0.35">
      <c r="A236" t="s">
        <v>244</v>
      </c>
      <c r="B236">
        <f t="shared" si="12"/>
        <v>10.0218541666666</v>
      </c>
      <c r="C236">
        <f t="shared" si="13"/>
        <v>10.174678445938429</v>
      </c>
      <c r="D236">
        <v>33.881251988418803</v>
      </c>
      <c r="E236">
        <f t="shared" si="14"/>
        <v>35.428855385539158</v>
      </c>
      <c r="F236">
        <f t="shared" si="15"/>
        <v>35.397136019187833</v>
      </c>
      <c r="G236">
        <v>0</v>
      </c>
      <c r="H236">
        <v>10.0218541666666</v>
      </c>
    </row>
    <row r="237" spans="1:8" x14ac:dyDescent="0.35">
      <c r="A237" t="s">
        <v>245</v>
      </c>
      <c r="B237">
        <f t="shared" si="12"/>
        <v>9.9124736111111105</v>
      </c>
      <c r="C237">
        <f t="shared" si="13"/>
        <v>10.195270338384987</v>
      </c>
      <c r="D237">
        <v>33.680472559087697</v>
      </c>
      <c r="E237">
        <f t="shared" si="14"/>
        <v>36.413378837883798</v>
      </c>
      <c r="F237">
        <f t="shared" si="15"/>
        <v>36.510795439910197</v>
      </c>
      <c r="G237">
        <v>0</v>
      </c>
      <c r="H237">
        <v>9.9124736111111105</v>
      </c>
    </row>
    <row r="238" spans="1:8" x14ac:dyDescent="0.35">
      <c r="A238" t="s">
        <v>246</v>
      </c>
      <c r="B238">
        <f t="shared" si="12"/>
        <v>9.9332944444444404</v>
      </c>
      <c r="C238">
        <f t="shared" si="13"/>
        <v>10.211493086278086</v>
      </c>
      <c r="D238">
        <v>33.522864355579301</v>
      </c>
      <c r="E238">
        <f t="shared" si="14"/>
        <v>36.225972597259762</v>
      </c>
      <c r="F238">
        <f t="shared" si="15"/>
        <v>36.2969179158926</v>
      </c>
      <c r="G238">
        <v>0</v>
      </c>
      <c r="H238">
        <v>9.9332944444444404</v>
      </c>
    </row>
    <row r="239" spans="1:8" x14ac:dyDescent="0.35">
      <c r="A239" t="s">
        <v>247</v>
      </c>
      <c r="B239">
        <f t="shared" si="12"/>
        <v>9.9623041666666605</v>
      </c>
      <c r="C239">
        <f t="shared" si="13"/>
        <v>10.239700719239508</v>
      </c>
      <c r="D239">
        <v>33.250008972594699</v>
      </c>
      <c r="E239">
        <f t="shared" si="14"/>
        <v>35.964858985898644</v>
      </c>
      <c r="F239">
        <f t="shared" si="15"/>
        <v>36.000412345253231</v>
      </c>
      <c r="G239">
        <v>0</v>
      </c>
      <c r="H239">
        <v>9.9623041666666605</v>
      </c>
    </row>
    <row r="240" spans="1:8" x14ac:dyDescent="0.35">
      <c r="A240" t="s">
        <v>248</v>
      </c>
      <c r="B240">
        <f t="shared" si="12"/>
        <v>9.9605208333333302</v>
      </c>
      <c r="C240">
        <f t="shared" si="13"/>
        <v>10.273952531664387</v>
      </c>
      <c r="D240">
        <v>32.920701844085499</v>
      </c>
      <c r="E240">
        <f t="shared" si="14"/>
        <v>35.980910591059136</v>
      </c>
      <c r="F240">
        <f t="shared" si="15"/>
        <v>36.018589800122506</v>
      </c>
      <c r="G240">
        <v>0</v>
      </c>
      <c r="H240">
        <v>9.9605208333333302</v>
      </c>
    </row>
    <row r="241" spans="1:8" x14ac:dyDescent="0.35">
      <c r="A241" t="s">
        <v>249</v>
      </c>
      <c r="B241">
        <f t="shared" si="12"/>
        <v>9.9538444444444405</v>
      </c>
      <c r="C241">
        <f t="shared" si="13"/>
        <v>10.303690345130713</v>
      </c>
      <c r="D241">
        <v>32.6365692391377</v>
      </c>
      <c r="E241">
        <f t="shared" si="14"/>
        <v>36.041004100410078</v>
      </c>
      <c r="F241">
        <f t="shared" si="15"/>
        <v>36.086699837934162</v>
      </c>
      <c r="G241">
        <v>0</v>
      </c>
      <c r="H241">
        <v>9.9538444444444405</v>
      </c>
    </row>
    <row r="242" spans="1:8" x14ac:dyDescent="0.35">
      <c r="A242" t="s">
        <v>250</v>
      </c>
      <c r="B242">
        <f t="shared" si="12"/>
        <v>9.8764097222222205</v>
      </c>
      <c r="C242">
        <f t="shared" si="13"/>
        <v>10.275922512878976</v>
      </c>
      <c r="D242">
        <v>32.901828619733003</v>
      </c>
      <c r="E242">
        <f t="shared" si="14"/>
        <v>36.737986298629878</v>
      </c>
      <c r="F242">
        <f t="shared" si="15"/>
        <v>36.883387681273739</v>
      </c>
      <c r="G242">
        <v>0</v>
      </c>
      <c r="H242">
        <v>9.8764097222222205</v>
      </c>
    </row>
    <row r="243" spans="1:8" x14ac:dyDescent="0.35">
      <c r="A243" t="s">
        <v>251</v>
      </c>
      <c r="B243">
        <f t="shared" si="12"/>
        <v>9.7763902777777698</v>
      </c>
      <c r="C243">
        <f t="shared" si="13"/>
        <v>10.178521221378618</v>
      </c>
      <c r="D243">
        <v>33.843721689773297</v>
      </c>
      <c r="E243">
        <f t="shared" si="14"/>
        <v>37.638251325132586</v>
      </c>
      <c r="F243">
        <f t="shared" si="15"/>
        <v>37.931117254447372</v>
      </c>
      <c r="G243">
        <v>0</v>
      </c>
      <c r="H243">
        <v>9.7763902777777698</v>
      </c>
    </row>
    <row r="244" spans="1:8" x14ac:dyDescent="0.35">
      <c r="A244" t="s">
        <v>252</v>
      </c>
      <c r="B244">
        <f t="shared" si="12"/>
        <v>9.7147527777777807</v>
      </c>
      <c r="C244">
        <f t="shared" si="13"/>
        <v>10.178925132218763</v>
      </c>
      <c r="D244">
        <v>33.8397785579551</v>
      </c>
      <c r="E244">
        <f t="shared" si="14"/>
        <v>38.193044304430416</v>
      </c>
      <c r="F244">
        <f t="shared" si="15"/>
        <v>38.587530181565342</v>
      </c>
      <c r="G244">
        <v>0</v>
      </c>
      <c r="H244">
        <v>9.7147527777777807</v>
      </c>
    </row>
    <row r="245" spans="1:8" x14ac:dyDescent="0.35">
      <c r="A245" t="s">
        <v>253</v>
      </c>
      <c r="B245">
        <f t="shared" si="12"/>
        <v>9.6852374999999995</v>
      </c>
      <c r="C245">
        <f t="shared" si="13"/>
        <v>10.125689843541439</v>
      </c>
      <c r="D245">
        <v>34.362193350928102</v>
      </c>
      <c r="E245">
        <f t="shared" si="14"/>
        <v>38.458708370837087</v>
      </c>
      <c r="F245">
        <f t="shared" si="15"/>
        <v>38.904813500766586</v>
      </c>
      <c r="G245">
        <v>0</v>
      </c>
      <c r="H245">
        <v>9.6852374999999995</v>
      </c>
    </row>
    <row r="246" spans="1:8" x14ac:dyDescent="0.35">
      <c r="A246" t="s">
        <v>254</v>
      </c>
      <c r="B246">
        <f t="shared" si="12"/>
        <v>9.7444249999999997</v>
      </c>
      <c r="C246">
        <f t="shared" si="13"/>
        <v>9.9475433304865248</v>
      </c>
      <c r="D246">
        <v>36.151065321793602</v>
      </c>
      <c r="E246">
        <f t="shared" si="14"/>
        <v>37.925967596759676</v>
      </c>
      <c r="F246">
        <f t="shared" si="15"/>
        <v>38.270497163005416</v>
      </c>
      <c r="G246">
        <v>0</v>
      </c>
      <c r="H246">
        <v>9.7444249999999997</v>
      </c>
    </row>
    <row r="247" spans="1:8" x14ac:dyDescent="0.35">
      <c r="A247" t="s">
        <v>255</v>
      </c>
      <c r="B247">
        <f t="shared" si="12"/>
        <v>9.7627374999999894</v>
      </c>
      <c r="C247">
        <f t="shared" si="13"/>
        <v>10.051219841330486</v>
      </c>
      <c r="D247">
        <v>35.102276247107497</v>
      </c>
      <c r="E247">
        <f t="shared" si="14"/>
        <v>37.761138613861483</v>
      </c>
      <c r="F247">
        <f t="shared" si="15"/>
        <v>38.075798844179538</v>
      </c>
      <c r="G247">
        <v>0</v>
      </c>
      <c r="H247">
        <v>9.7627374999999894</v>
      </c>
    </row>
    <row r="248" spans="1:8" x14ac:dyDescent="0.35">
      <c r="A248" t="s">
        <v>256</v>
      </c>
      <c r="B248">
        <f t="shared" si="12"/>
        <v>9.8135694444444397</v>
      </c>
      <c r="C248">
        <f t="shared" si="13"/>
        <v>10.102692432520152</v>
      </c>
      <c r="D248">
        <v>34.589577186762</v>
      </c>
      <c r="E248">
        <f t="shared" si="14"/>
        <v>37.303605360536096</v>
      </c>
      <c r="F248">
        <f t="shared" si="15"/>
        <v>37.53916197905837</v>
      </c>
      <c r="G248">
        <v>0</v>
      </c>
      <c r="H248">
        <v>9.8135694444444397</v>
      </c>
    </row>
    <row r="249" spans="1:8" x14ac:dyDescent="0.35">
      <c r="A249" t="s">
        <v>257</v>
      </c>
      <c r="B249">
        <f t="shared" si="12"/>
        <v>9.8254736111111107</v>
      </c>
      <c r="C249">
        <f t="shared" si="13"/>
        <v>10.101850015772522</v>
      </c>
      <c r="D249">
        <v>34.597926126721703</v>
      </c>
      <c r="E249">
        <f t="shared" si="14"/>
        <v>37.196457145714575</v>
      </c>
      <c r="F249">
        <f t="shared" si="15"/>
        <v>37.414291177831615</v>
      </c>
      <c r="G249">
        <v>0</v>
      </c>
      <c r="H249">
        <v>9.8254736111111107</v>
      </c>
    </row>
    <row r="250" spans="1:8" x14ac:dyDescent="0.35">
      <c r="A250" t="s">
        <v>258</v>
      </c>
      <c r="B250">
        <f t="shared" si="12"/>
        <v>9.7887805555555492</v>
      </c>
      <c r="C250">
        <f t="shared" si="13"/>
        <v>10.057974946321098</v>
      </c>
      <c r="D250">
        <v>35.034692047449397</v>
      </c>
      <c r="E250">
        <f t="shared" si="14"/>
        <v>37.526727672767336</v>
      </c>
      <c r="F250">
        <f t="shared" si="15"/>
        <v>37.800163994820217</v>
      </c>
      <c r="G250">
        <v>0</v>
      </c>
      <c r="H250">
        <v>9.7887805555555492</v>
      </c>
    </row>
    <row r="251" spans="1:8" x14ac:dyDescent="0.35">
      <c r="A251" t="s">
        <v>259</v>
      </c>
      <c r="B251">
        <f t="shared" si="12"/>
        <v>9.7431486111111099</v>
      </c>
      <c r="C251">
        <f t="shared" si="13"/>
        <v>10.087278843563688</v>
      </c>
      <c r="D251">
        <v>34.742557310828197</v>
      </c>
      <c r="E251">
        <f t="shared" si="14"/>
        <v>37.937456245624574</v>
      </c>
      <c r="F251">
        <f t="shared" si="15"/>
        <v>38.284095001045053</v>
      </c>
      <c r="G251">
        <v>0</v>
      </c>
      <c r="H251">
        <v>9.7431486111111099</v>
      </c>
    </row>
    <row r="252" spans="1:8" x14ac:dyDescent="0.35">
      <c r="A252" t="s">
        <v>260</v>
      </c>
      <c r="B252">
        <f t="shared" si="12"/>
        <v>9.7663444444444405</v>
      </c>
      <c r="C252">
        <f t="shared" si="13"/>
        <v>10.119807323381066</v>
      </c>
      <c r="D252">
        <v>34.420257618638402</v>
      </c>
      <c r="E252">
        <f t="shared" si="14"/>
        <v>37.728672867286761</v>
      </c>
      <c r="F252">
        <f t="shared" si="15"/>
        <v>38.037535916475704</v>
      </c>
      <c r="G252">
        <v>0</v>
      </c>
      <c r="H252">
        <v>9.7663444444444405</v>
      </c>
    </row>
    <row r="253" spans="1:8" x14ac:dyDescent="0.35">
      <c r="A253" t="s">
        <v>261</v>
      </c>
      <c r="B253">
        <f t="shared" si="12"/>
        <v>9.7858944444444393</v>
      </c>
      <c r="C253">
        <f t="shared" si="13"/>
        <v>10.156294554967152</v>
      </c>
      <c r="D253">
        <v>34.0611903858197</v>
      </c>
      <c r="E253">
        <f t="shared" si="14"/>
        <v>37.552705270527099</v>
      </c>
      <c r="F253">
        <f t="shared" si="15"/>
        <v>37.830637774302971</v>
      </c>
      <c r="G253">
        <v>0</v>
      </c>
      <c r="H253">
        <v>9.7858944444444393</v>
      </c>
    </row>
    <row r="254" spans="1:8" x14ac:dyDescent="0.35">
      <c r="A254" t="s">
        <v>262</v>
      </c>
      <c r="B254">
        <f t="shared" si="12"/>
        <v>9.8085416666666596</v>
      </c>
      <c r="C254">
        <f t="shared" si="13"/>
        <v>10.190627299859417</v>
      </c>
      <c r="D254">
        <v>33.7256732440419</v>
      </c>
      <c r="E254">
        <f t="shared" si="14"/>
        <v>37.348859885988659</v>
      </c>
      <c r="F254">
        <f t="shared" si="15"/>
        <v>37.591992759465242</v>
      </c>
      <c r="G254">
        <v>0</v>
      </c>
      <c r="H254">
        <v>9.8085416666666596</v>
      </c>
    </row>
    <row r="255" spans="1:8" x14ac:dyDescent="0.35">
      <c r="A255" t="s">
        <v>263</v>
      </c>
      <c r="B255">
        <f t="shared" si="12"/>
        <v>9.7963208333333291</v>
      </c>
      <c r="C255">
        <f t="shared" si="13"/>
        <v>10.101523239319787</v>
      </c>
      <c r="D255">
        <v>34.601165085075202</v>
      </c>
      <c r="E255">
        <f t="shared" si="14"/>
        <v>37.458858385838624</v>
      </c>
      <c r="F255">
        <f t="shared" si="15"/>
        <v>37.720632683004645</v>
      </c>
      <c r="G255">
        <v>0</v>
      </c>
      <c r="H255">
        <v>9.7963208333333291</v>
      </c>
    </row>
    <row r="256" spans="1:8" x14ac:dyDescent="0.35">
      <c r="A256" t="s">
        <v>264</v>
      </c>
      <c r="B256">
        <f t="shared" si="12"/>
        <v>9.7915347222222202</v>
      </c>
      <c r="C256">
        <f t="shared" si="13"/>
        <v>10.122465548104779</v>
      </c>
      <c r="D256">
        <v>34.394010868605399</v>
      </c>
      <c r="E256">
        <f t="shared" si="14"/>
        <v>37.501937693769392</v>
      </c>
      <c r="F256">
        <f t="shared" si="15"/>
        <v>37.771100137680506</v>
      </c>
      <c r="G256">
        <v>0</v>
      </c>
      <c r="H256">
        <v>9.7915347222222202</v>
      </c>
    </row>
    <row r="257" spans="1:8" x14ac:dyDescent="0.35">
      <c r="A257" t="s">
        <v>265</v>
      </c>
      <c r="B257">
        <f t="shared" si="12"/>
        <v>9.8278430555555492</v>
      </c>
      <c r="C257">
        <f t="shared" si="13"/>
        <v>10.127370257947312</v>
      </c>
      <c r="D257">
        <v>34.345618963715999</v>
      </c>
      <c r="E257">
        <f t="shared" si="14"/>
        <v>37.175130013001358</v>
      </c>
      <c r="F257">
        <f t="shared" si="15"/>
        <v>37.389472581370683</v>
      </c>
      <c r="G257">
        <v>0</v>
      </c>
      <c r="H257">
        <v>9.8278430555555492</v>
      </c>
    </row>
    <row r="258" spans="1:8" x14ac:dyDescent="0.35">
      <c r="A258" t="s">
        <v>266</v>
      </c>
      <c r="B258">
        <f t="shared" si="12"/>
        <v>9.7624388888888802</v>
      </c>
      <c r="C258">
        <f t="shared" si="13"/>
        <v>10.145990820213017</v>
      </c>
      <c r="D258">
        <v>34.162326743897999</v>
      </c>
      <c r="E258">
        <f t="shared" si="14"/>
        <v>37.763826382638342</v>
      </c>
      <c r="F258">
        <f t="shared" si="15"/>
        <v>38.078967816284575</v>
      </c>
      <c r="G258">
        <v>0</v>
      </c>
      <c r="H258">
        <v>9.7624388888888802</v>
      </c>
    </row>
    <row r="259" spans="1:8" x14ac:dyDescent="0.35">
      <c r="A259" t="s">
        <v>267</v>
      </c>
      <c r="B259">
        <f t="shared" si="12"/>
        <v>9.7279374999999995</v>
      </c>
      <c r="C259">
        <f t="shared" si="13"/>
        <v>10.022871193195845</v>
      </c>
      <c r="D259">
        <v>35.386895205924603</v>
      </c>
      <c r="E259">
        <f t="shared" si="14"/>
        <v>38.074369936993705</v>
      </c>
      <c r="F259">
        <f t="shared" si="15"/>
        <v>38.446419186954849</v>
      </c>
      <c r="G259">
        <v>0</v>
      </c>
      <c r="H259">
        <v>9.7279374999999995</v>
      </c>
    </row>
    <row r="260" spans="1:8" x14ac:dyDescent="0.35">
      <c r="A260" t="s">
        <v>268</v>
      </c>
      <c r="B260">
        <f t="shared" si="12"/>
        <v>9.7090083333333297</v>
      </c>
      <c r="C260">
        <f t="shared" si="13"/>
        <v>9.9436423146989803</v>
      </c>
      <c r="D260">
        <v>36.190954837889102</v>
      </c>
      <c r="E260">
        <f t="shared" si="14"/>
        <v>38.244749474947525</v>
      </c>
      <c r="F260">
        <f t="shared" si="15"/>
        <v>38.649130619545467</v>
      </c>
      <c r="G260">
        <v>0</v>
      </c>
      <c r="H260">
        <v>9.7090083333333297</v>
      </c>
    </row>
    <row r="261" spans="1:8" x14ac:dyDescent="0.35">
      <c r="A261" t="s">
        <v>269</v>
      </c>
      <c r="B261">
        <f t="shared" si="12"/>
        <v>9.7122055555555509</v>
      </c>
      <c r="C261">
        <f t="shared" si="13"/>
        <v>10.008450655181203</v>
      </c>
      <c r="D261">
        <v>35.532295356270701</v>
      </c>
      <c r="E261">
        <f t="shared" si="14"/>
        <v>38.215971597159758</v>
      </c>
      <c r="F261">
        <f t="shared" si="15"/>
        <v>38.61483627736704</v>
      </c>
      <c r="G261">
        <v>0</v>
      </c>
      <c r="H261">
        <v>9.7122055555555509</v>
      </c>
    </row>
    <row r="262" spans="1:8" x14ac:dyDescent="0.35">
      <c r="A262" t="s">
        <v>270</v>
      </c>
      <c r="B262">
        <f t="shared" si="12"/>
        <v>9.7248861111111093</v>
      </c>
      <c r="C262">
        <f t="shared" si="13"/>
        <v>9.9657314236904302</v>
      </c>
      <c r="D262">
        <v>35.965496698396599</v>
      </c>
      <c r="E262">
        <f t="shared" si="14"/>
        <v>38.101835183518368</v>
      </c>
      <c r="F262">
        <f t="shared" si="15"/>
        <v>38.479042995378364</v>
      </c>
      <c r="G262">
        <v>0</v>
      </c>
      <c r="H262">
        <v>9.7248861111111093</v>
      </c>
    </row>
    <row r="263" spans="1:8" x14ac:dyDescent="0.35">
      <c r="A263" t="s">
        <v>271</v>
      </c>
      <c r="B263">
        <f t="shared" si="12"/>
        <v>9.6477611111111106</v>
      </c>
      <c r="C263">
        <f t="shared" si="13"/>
        <v>9.9211132452463637</v>
      </c>
      <c r="D263">
        <v>36.421937693637197</v>
      </c>
      <c r="E263">
        <f t="shared" si="14"/>
        <v>38.796029602960303</v>
      </c>
      <c r="F263">
        <f t="shared" si="15"/>
        <v>39.310474554108382</v>
      </c>
      <c r="G263">
        <v>0</v>
      </c>
      <c r="H263">
        <v>9.6477611111111106</v>
      </c>
    </row>
    <row r="264" spans="1:8" x14ac:dyDescent="0.35">
      <c r="A264" t="s">
        <v>272</v>
      </c>
      <c r="B264">
        <f t="shared" si="12"/>
        <v>9.6815874999999991</v>
      </c>
      <c r="C264">
        <f t="shared" si="13"/>
        <v>9.9015589651438827</v>
      </c>
      <c r="D264">
        <v>36.6232731391963</v>
      </c>
      <c r="E264">
        <f t="shared" si="14"/>
        <v>38.491561656165622</v>
      </c>
      <c r="F264">
        <f t="shared" si="15"/>
        <v>38.944184678654963</v>
      </c>
      <c r="G264">
        <v>0</v>
      </c>
      <c r="H264">
        <v>9.6815874999999991</v>
      </c>
    </row>
    <row r="265" spans="1:8" x14ac:dyDescent="0.35">
      <c r="A265" t="s">
        <v>273</v>
      </c>
      <c r="B265">
        <f t="shared" ref="B265:B271" si="19" xml:space="preserve"> H265/(1-$B$5*G265)</f>
        <v>9.6965541666666599</v>
      </c>
      <c r="C265">
        <f t="shared" ref="C265:C271" si="20">$B$2/(1+$B$4*((D265/100)/$B$3))</f>
        <v>9.8538761499304943</v>
      </c>
      <c r="D265">
        <v>37.1175765465319</v>
      </c>
      <c r="E265">
        <f t="shared" ref="E265:E271" si="21" xml:space="preserve"> (13.958 - B265)/0.1111</f>
        <v>38.356848184818546</v>
      </c>
      <c r="F265">
        <f t="shared" ref="F265:F271" si="22" xml:space="preserve"> ((($B$3 *($B$2-B265))/($B$4*B265)))*100</f>
        <v>38.782933284979549</v>
      </c>
      <c r="G265">
        <v>0</v>
      </c>
      <c r="H265">
        <v>9.6965541666666599</v>
      </c>
    </row>
    <row r="266" spans="1:8" x14ac:dyDescent="0.35">
      <c r="A266" t="s">
        <v>274</v>
      </c>
      <c r="B266">
        <f t="shared" si="19"/>
        <v>9.7859944444444409</v>
      </c>
      <c r="C266">
        <f t="shared" si="20"/>
        <v>9.916364684001957</v>
      </c>
      <c r="D266">
        <v>36.470756992747397</v>
      </c>
      <c r="E266">
        <f t="shared" si="21"/>
        <v>37.551805180518087</v>
      </c>
      <c r="F266">
        <f t="shared" si="22"/>
        <v>37.829581596826962</v>
      </c>
      <c r="G266">
        <v>0</v>
      </c>
      <c r="H266">
        <v>9.7859944444444409</v>
      </c>
    </row>
    <row r="267" spans="1:8" x14ac:dyDescent="0.35">
      <c r="A267" t="s">
        <v>275</v>
      </c>
      <c r="B267">
        <f t="shared" si="19"/>
        <v>9.8443194444444408</v>
      </c>
      <c r="C267">
        <f t="shared" si="20"/>
        <v>9.968824092668271</v>
      </c>
      <c r="D267">
        <v>35.934010319308598</v>
      </c>
      <c r="E267">
        <f t="shared" si="21"/>
        <v>37.026827682768307</v>
      </c>
      <c r="F267">
        <f t="shared" si="22"/>
        <v>37.217222071201284</v>
      </c>
      <c r="G267">
        <v>0</v>
      </c>
      <c r="H267">
        <v>9.8443194444444408</v>
      </c>
    </row>
    <row r="268" spans="1:8" x14ac:dyDescent="0.35">
      <c r="A268" t="s">
        <v>276</v>
      </c>
      <c r="B268">
        <f t="shared" si="19"/>
        <v>9.8091666666666608</v>
      </c>
      <c r="C268">
        <f t="shared" si="20"/>
        <v>10.046873874320257</v>
      </c>
      <c r="D268">
        <v>35.145805287817602</v>
      </c>
      <c r="E268">
        <f t="shared" si="21"/>
        <v>37.343234323432398</v>
      </c>
      <c r="F268">
        <f t="shared" si="22"/>
        <v>37.585422449544083</v>
      </c>
      <c r="G268">
        <v>0</v>
      </c>
      <c r="H268">
        <v>9.8091666666666608</v>
      </c>
    </row>
    <row r="269" spans="1:8" x14ac:dyDescent="0.35">
      <c r="A269" t="s">
        <v>277</v>
      </c>
      <c r="B269">
        <f t="shared" si="19"/>
        <v>9.7417388888888894</v>
      </c>
      <c r="C269">
        <f t="shared" si="20"/>
        <v>10.085851532467659</v>
      </c>
      <c r="D269">
        <v>34.756747050838399</v>
      </c>
      <c r="E269">
        <f t="shared" si="21"/>
        <v>37.950145014501445</v>
      </c>
      <c r="F269">
        <f t="shared" si="22"/>
        <v>38.299117428914982</v>
      </c>
      <c r="G269">
        <v>0</v>
      </c>
      <c r="H269">
        <v>9.7417388888888894</v>
      </c>
    </row>
    <row r="270" spans="1:8" x14ac:dyDescent="0.35">
      <c r="A270" t="s">
        <v>278</v>
      </c>
      <c r="B270">
        <f t="shared" si="19"/>
        <v>9.6333473290598199</v>
      </c>
      <c r="C270">
        <f t="shared" si="20"/>
        <v>10.055590216454208</v>
      </c>
      <c r="D270">
        <v>35.058540679219703</v>
      </c>
      <c r="E270">
        <f t="shared" si="21"/>
        <v>38.925766615123131</v>
      </c>
      <c r="F270">
        <f t="shared" si="22"/>
        <v>39.467336133632671</v>
      </c>
      <c r="G270">
        <v>0</v>
      </c>
      <c r="H270">
        <v>9.6333473290598199</v>
      </c>
    </row>
    <row r="271" spans="1:8" x14ac:dyDescent="0.35">
      <c r="A271" t="s">
        <v>279</v>
      </c>
      <c r="B271">
        <f t="shared" si="19"/>
        <v>9.6337772435897406</v>
      </c>
      <c r="C271">
        <f t="shared" si="20"/>
        <v>10.076275154211064</v>
      </c>
      <c r="D271">
        <v>34.852055432655199</v>
      </c>
      <c r="E271">
        <f t="shared" si="21"/>
        <v>38.921896997392075</v>
      </c>
      <c r="F271">
        <f t="shared" si="22"/>
        <v>39.462650690216584</v>
      </c>
      <c r="G271">
        <v>0</v>
      </c>
      <c r="H271">
        <v>9.6337772435897406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B631-65AE-4175-9A4F-BD1A8ABA4D5E}">
  <dimension ref="A1"/>
  <sheetViews>
    <sheetView workbookViewId="0">
      <selection activeCell="L10" sqref="L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selhausen_SM_Kdose_daily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2026-10-26T14:30:20Z</dcterms:modified>
</cp:coreProperties>
</file>