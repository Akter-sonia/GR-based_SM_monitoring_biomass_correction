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3rd_paper_cleaned\Biomass_correction_Selhausen\Biomass_correction_2023\"/>
    </mc:Choice>
  </mc:AlternateContent>
  <xr:revisionPtr revIDLastSave="0" documentId="13_ncr:1_{BFFDE1CC-E9BB-4B23-9BCB-29D825F3758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elhausen_SM_Kdose_daily" sheetId="1" r:id="rId1"/>
    <sheet name="Sheet1" sheetId="2" r:id="rId2"/>
  </sheets>
  <definedNames>
    <definedName name="solver_adj" localSheetId="0" hidden="1">selhausen_SM_Kdose_daily!$B$2,selhausen_SM_Kdose_daily!$B$4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selhausen_SM_Kdose_daily!$K$6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C282" i="1" l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8" i="1"/>
  <c r="F231" i="1" l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8" i="1"/>
  <c r="F8" i="1"/>
  <c r="O6" i="1" l="1" a="1"/>
  <c r="P6" i="1" a="1"/>
  <c r="K5" i="1"/>
  <c r="K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<sst xmlns="http://schemas.openxmlformats.org/spreadsheetml/2006/main" count="381" uniqueCount="380">
  <si>
    <t>Timestamp GMT</t>
  </si>
  <si>
    <t>Parameters</t>
  </si>
  <si>
    <t>Estimates</t>
  </si>
  <si>
    <t>BD</t>
  </si>
  <si>
    <t>ratio</t>
  </si>
  <si>
    <t>R-squared</t>
  </si>
  <si>
    <t>RMSE</t>
  </si>
  <si>
    <t>SM_predicted_empirical</t>
  </si>
  <si>
    <t>K-dose prediction</t>
  </si>
  <si>
    <t xml:space="preserve">Empirical </t>
  </si>
  <si>
    <t>SM prediction</t>
  </si>
  <si>
    <t>SM_ref</t>
  </si>
  <si>
    <t>SM_predicted_theory</t>
  </si>
  <si>
    <t>K</t>
  </si>
  <si>
    <t>Corrected K</t>
  </si>
  <si>
    <t>2023-02-05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</si>
  <si>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</si>
  <si>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</si>
  <si>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</si>
  <si>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</si>
  <si>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</si>
  <si>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2023-02-11 00:00:00+00:00</t>
  </si>
  <si>
    <t>2023-02-12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</si>
  <si>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</si>
  <si>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</si>
  <si>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</si>
  <si>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</si>
  <si>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</si>
  <si>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2023-02-18 00:00:00+00:00</t>
  </si>
  <si>
    <t>2023-02-19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</si>
  <si>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</si>
  <si>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</si>
  <si>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</si>
  <si>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</si>
  <si>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</si>
  <si>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2023-02-25 00:00:00+00:00</t>
  </si>
  <si>
    <t>2023-02-26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</si>
  <si>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</si>
  <si>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</si>
  <si>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</si>
  <si>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</si>
  <si>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</si>
  <si>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2023-03-04 00:00:00+00:00</t>
  </si>
  <si>
    <t>2023-03-05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</si>
  <si>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</si>
  <si>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</si>
  <si>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</si>
  <si>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</si>
  <si>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</si>
  <si>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2023-03-11 00:00:00+00:00</t>
  </si>
  <si>
    <t>2023-03-12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</si>
  <si>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</si>
  <si>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</si>
  <si>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</si>
  <si>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</si>
  <si>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</si>
  <si>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2023-03-18 00:00:00+00:00</t>
  </si>
  <si>
    <t>2023-03-19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</si>
  <si>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</si>
  <si>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</si>
  <si>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</si>
  <si>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</si>
  <si>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</si>
  <si>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2023-03-25 00:00:00+00:00</t>
  </si>
  <si>
    <t>2023-03-26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</si>
  <si>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</si>
  <si>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</si>
  <si>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</si>
  <si>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</si>
  <si>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</si>
  <si>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2023-04-01 00:00:00+00:00</t>
  </si>
  <si>
    <t>2023-04-02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</si>
  <si>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</si>
  <si>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</si>
  <si>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</si>
  <si>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</si>
  <si>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</si>
  <si>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2023-04-08 00:00:00+00:00</t>
  </si>
  <si>
    <t>2023-04-09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</si>
  <si>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</si>
  <si>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</si>
  <si>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</si>
  <si>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</si>
  <si>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</si>
  <si>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2023-04-15 00:00:00+00:00</t>
  </si>
  <si>
    <t>2023-04-16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</si>
  <si>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</si>
  <si>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</si>
  <si>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</si>
  <si>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</si>
  <si>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</si>
  <si>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2023-04-22 00:00:00+00:00</t>
  </si>
  <si>
    <t>2023-04-23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</si>
  <si>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</si>
  <si>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</si>
  <si>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</si>
  <si>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</si>
  <si>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</si>
  <si>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2023-04-29 00:00:00+00:00</t>
  </si>
  <si>
    <t>2023-04-30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</si>
  <si>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</si>
  <si>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</si>
  <si>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</si>
  <si>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</si>
  <si>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</si>
  <si>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2023-05-06 00:00:00+00:00</t>
  </si>
  <si>
    <t>2023-05-07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</si>
  <si>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</si>
  <si>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</si>
  <si>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</si>
  <si>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</si>
  <si>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</si>
  <si>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2023-05-13 00:00:00+00:00</t>
  </si>
  <si>
    <t>2023-05-14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</si>
  <si>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</si>
  <si>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</si>
  <si>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</si>
  <si>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</si>
  <si>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</si>
  <si>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2023-05-20 00:00:00+00:00</t>
  </si>
  <si>
    <t>2023-05-21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</si>
  <si>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</si>
  <si>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</si>
  <si>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</si>
  <si>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</si>
  <si>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</si>
  <si>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2023-05-27 00:00:00+00:00</t>
  </si>
  <si>
    <t>2023-05-28 00:00:00+00:00</t>
  </si>
  <si>
    <t>2023-05-29 00:00:00+00:00</t>
  </si>
  <si>
    <t>2023-05-30 00:00:00+00:00</t>
  </si>
  <si>
    <t>2023-05-31 00:00:00+00:00</t>
  </si>
  <si>
    <t>2023-06-01 00:00:00+00:00</t>
  </si>
  <si>
    <t>2023-06-02 00:00:00+00:00</t>
  </si>
  <si>
    <t>2023-06-03 00:00:00+00:00</t>
  </si>
  <si>
    <t>2023-06-04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</si>
  <si>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</si>
  <si>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</si>
  <si>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</si>
  <si>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</si>
  <si>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</si>
  <si>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2023-06-10 00:00:00+00:00</t>
  </si>
  <si>
    <t>2023-06-11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</si>
  <si>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</si>
  <si>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</si>
  <si>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</si>
  <si>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</si>
  <si>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</si>
  <si>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2023-06-17 00:00:00+00:00</t>
  </si>
  <si>
    <t>2023-06-18 00:00:00+00:00</t>
  </si>
  <si>
    <t>2023-06-19 00:00:00+00:00</t>
  </si>
  <si>
    <t>2023-06-20 00:00:00+00:00</t>
  </si>
  <si>
    <t>2023-06-21 00:00:00+00:00</t>
  </si>
  <si>
    <t>2023-06-22 00:00:00+00:00</t>
  </si>
  <si>
    <t>2023-06-23 00:00:00+00:00</t>
  </si>
  <si>
    <t>2023-06-24 00:00:00+00:00</t>
  </si>
  <si>
    <t>2023-06-25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</si>
  <si>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</si>
  <si>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</si>
  <si>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</si>
  <si>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</si>
  <si>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</si>
  <si>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2023-07-01 00:00:00+00:00</t>
  </si>
  <si>
    <t>2023-07-02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</si>
  <si>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</si>
  <si>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</si>
  <si>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</si>
  <si>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</si>
  <si>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</si>
  <si>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2023-07-08 00:00:00+00:00</t>
  </si>
  <si>
    <t>2023-07-09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</si>
  <si>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</si>
  <si>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</si>
  <si>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</si>
  <si>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</si>
  <si>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</si>
  <si>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2023-07-15 00:00:00+00:00</t>
  </si>
  <si>
    <t>2023-07-16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</si>
  <si>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</si>
  <si>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</si>
  <si>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</si>
  <si>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</si>
  <si>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</si>
  <si>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2023-07-22 00:00:00+00:00</t>
  </si>
  <si>
    <t>2023-07-23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</si>
  <si>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</si>
  <si>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</si>
  <si>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</si>
  <si>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</si>
  <si>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</si>
  <si>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2023-07-29 00:00:00+00:00</t>
  </si>
  <si>
    <t>2023-07-30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</si>
  <si>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</si>
  <si>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</si>
  <si>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</si>
  <si>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</si>
  <si>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</si>
  <si>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2023-08-05 00:00:00+00:00</t>
  </si>
  <si>
    <t>2023-08-06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</si>
  <si>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</si>
  <si>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</si>
  <si>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</si>
  <si>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</si>
  <si>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</si>
  <si>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2023-08-12 00:00:00+00:00</t>
  </si>
  <si>
    <t>2023-08-13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</si>
  <si>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</si>
  <si>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</si>
  <si>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</si>
  <si>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</si>
  <si>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</si>
  <si>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2023-08-19 00:00:00+00:00</t>
  </si>
  <si>
    <t>2023-08-20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</si>
  <si>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</si>
  <si>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</si>
  <si>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</si>
  <si>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</si>
  <si>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</si>
  <si>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</si>
  <si>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</si>
  <si>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</si>
  <si>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</si>
  <si>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</si>
  <si>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</si>
  <si>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</si>
  <si>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</si>
  <si>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</si>
  <si>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</si>
  <si>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</si>
  <si>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</si>
  <si>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</si>
  <si>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</si>
  <si>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</si>
  <si>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</si>
  <si>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</si>
  <si>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</si>
  <si>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</si>
  <si>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</si>
  <si>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</si>
  <si>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</si>
  <si>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</si>
  <si>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</si>
  <si>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</si>
  <si>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</si>
  <si>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</si>
  <si>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</si>
  <si>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</si>
  <si>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</si>
  <si>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</si>
  <si>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</si>
  <si>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</si>
  <si>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</si>
  <si>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</si>
  <si>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</si>
  <si>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</si>
  <si>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</si>
  <si>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</si>
  <si>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</si>
  <si>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</si>
  <si>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</si>
  <si>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</si>
  <si>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</si>
  <si>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</si>
  <si>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</si>
  <si>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</si>
  <si>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</si>
  <si>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</si>
  <si>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</si>
  <si>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</si>
  <si>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</si>
  <si>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</si>
  <si>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</si>
  <si>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</si>
  <si>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</si>
  <si>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</si>
  <si>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</si>
  <si>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</si>
  <si>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</si>
  <si>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</si>
  <si>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</si>
  <si>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</si>
  <si>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</si>
  <si>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</si>
  <si>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</si>
  <si>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</si>
  <si>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</si>
  <si>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</si>
  <si>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</si>
  <si>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</si>
  <si>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</si>
  <si>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</si>
  <si>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</si>
  <si>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</si>
  <si>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</si>
  <si>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</si>
  <si>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</si>
  <si>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</si>
  <si>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</si>
  <si>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</si>
  <si>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</si>
  <si>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</si>
  <si>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</si>
  <si>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</si>
  <si>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</si>
  <si>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</si>
  <si>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</si>
  <si>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</si>
  <si>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</si>
  <si>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</si>
  <si>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</si>
  <si>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</si>
  <si>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</si>
  <si>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</si>
  <si>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</si>
  <si>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</si>
  <si>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</si>
  <si>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</si>
  <si>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</si>
  <si>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</si>
  <si>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</si>
  <si>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</si>
  <si>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</si>
  <si>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</si>
  <si>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</si>
  <si>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</si>
  <si>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</si>
  <si>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</si>
  <si>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</si>
  <si>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</si>
  <si>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</si>
  <si>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</si>
  <si>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</si>
  <si>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</si>
  <si>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</si>
  <si>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</si>
  <si>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</si>
  <si>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</si>
  <si>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</si>
  <si>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</si>
  <si>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</si>
  <si>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</si>
  <si>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</si>
  <si>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</si>
  <si>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</si>
  <si>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</si>
  <si>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</si>
  <si>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</si>
  <si>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</si>
  <si>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</si>
  <si>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</si>
  <si>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</si>
  <si>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</si>
  <si>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</si>
  <si>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</si>
  <si>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</si>
  <si>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</si>
  <si>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</si>
  <si>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</si>
  <si>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</si>
  <si>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</si>
  <si>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</si>
  <si>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</si>
  <si>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</si>
  <si>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</si>
  <si>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</si>
  <si>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</si>
  <si>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</si>
  <si>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</si>
  <si>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</si>
  <si>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</si>
  <si>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</si>
  <si>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</si>
  <si>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</si>
  <si>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</si>
  <si>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</si>
  <si>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</si>
  <si>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</si>
  <si>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beta</t>
  </si>
  <si>
    <t>Biomass</t>
  </si>
  <si>
    <t>Predicted_K</t>
  </si>
  <si>
    <t>GRdry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</si>
</sst>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Kdose_SM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42541557305337E-2"/>
                  <c:y val="-0.55723935549722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35.267864369999998</c:v>
                </c:pt>
                <c:pt idx="1">
                  <c:v>35.199370960000003</c:v>
                </c:pt>
                <c:pt idx="2">
                  <c:v>34.623326589999998</c:v>
                </c:pt>
                <c:pt idx="3">
                  <c:v>34.04728222</c:v>
                </c:pt>
                <c:pt idx="4">
                  <c:v>33.471237840000001</c:v>
                </c:pt>
                <c:pt idx="5">
                  <c:v>32.895193470000002</c:v>
                </c:pt>
                <c:pt idx="6">
                  <c:v>32.731530429999999</c:v>
                </c:pt>
                <c:pt idx="7">
                  <c:v>32.596651250000001</c:v>
                </c:pt>
                <c:pt idx="8">
                  <c:v>32.453658779999998</c:v>
                </c:pt>
                <c:pt idx="9">
                  <c:v>32.176603569999997</c:v>
                </c:pt>
                <c:pt idx="10">
                  <c:v>31.936275819999999</c:v>
                </c:pt>
                <c:pt idx="11">
                  <c:v>31.824461490000001</c:v>
                </c:pt>
                <c:pt idx="12">
                  <c:v>31.65967307</c:v>
                </c:pt>
                <c:pt idx="13">
                  <c:v>31.473443629999998</c:v>
                </c:pt>
                <c:pt idx="14">
                  <c:v>31.851141940000002</c:v>
                </c:pt>
                <c:pt idx="15">
                  <c:v>31.819434780000002</c:v>
                </c:pt>
                <c:pt idx="16">
                  <c:v>31.599505149999999</c:v>
                </c:pt>
                <c:pt idx="17">
                  <c:v>31.463331279999998</c:v>
                </c:pt>
                <c:pt idx="18">
                  <c:v>33.151635159999998</c:v>
                </c:pt>
                <c:pt idx="19">
                  <c:v>32.998640119999997</c:v>
                </c:pt>
                <c:pt idx="20">
                  <c:v>32.794448670000001</c:v>
                </c:pt>
                <c:pt idx="21">
                  <c:v>32.16676768</c:v>
                </c:pt>
                <c:pt idx="22">
                  <c:v>31.5241881</c:v>
                </c:pt>
                <c:pt idx="23">
                  <c:v>31.13882216</c:v>
                </c:pt>
                <c:pt idx="24">
                  <c:v>30.705000569999999</c:v>
                </c:pt>
                <c:pt idx="25">
                  <c:v>30.48845481</c:v>
                </c:pt>
                <c:pt idx="26">
                  <c:v>30.405468679999998</c:v>
                </c:pt>
                <c:pt idx="27">
                  <c:v>30.415750249999999</c:v>
                </c:pt>
                <c:pt idx="28">
                  <c:v>30.36207881</c:v>
                </c:pt>
                <c:pt idx="29">
                  <c:v>30.33575037</c:v>
                </c:pt>
                <c:pt idx="30">
                  <c:v>32.315058319999999</c:v>
                </c:pt>
                <c:pt idx="31">
                  <c:v>36.337446049999997</c:v>
                </c:pt>
                <c:pt idx="32">
                  <c:v>37.049316390000001</c:v>
                </c:pt>
                <c:pt idx="33">
                  <c:v>37.15953253</c:v>
                </c:pt>
                <c:pt idx="34">
                  <c:v>36.058666850000002</c:v>
                </c:pt>
                <c:pt idx="35">
                  <c:v>35.327276830000002</c:v>
                </c:pt>
                <c:pt idx="36">
                  <c:v>34.870909230000002</c:v>
                </c:pt>
                <c:pt idx="37">
                  <c:v>36.107426869999998</c:v>
                </c:pt>
                <c:pt idx="38">
                  <c:v>36.894246109999997</c:v>
                </c:pt>
                <c:pt idx="39">
                  <c:v>35.586914149999998</c:v>
                </c:pt>
                <c:pt idx="40">
                  <c:v>34.740036500000002</c:v>
                </c:pt>
                <c:pt idx="41">
                  <c:v>34.140657150000003</c:v>
                </c:pt>
                <c:pt idx="42">
                  <c:v>33.75517962</c:v>
                </c:pt>
                <c:pt idx="43">
                  <c:v>33.440578500000001</c:v>
                </c:pt>
                <c:pt idx="44">
                  <c:v>33.366809619999998</c:v>
                </c:pt>
                <c:pt idx="45">
                  <c:v>33.278173049999999</c:v>
                </c:pt>
                <c:pt idx="46">
                  <c:v>32.98972054</c:v>
                </c:pt>
                <c:pt idx="47">
                  <c:v>32.62021361</c:v>
                </c:pt>
                <c:pt idx="48">
                  <c:v>32.632159119999997</c:v>
                </c:pt>
                <c:pt idx="49">
                  <c:v>35.194891390000002</c:v>
                </c:pt>
                <c:pt idx="50">
                  <c:v>35.554192559999997</c:v>
                </c:pt>
                <c:pt idx="51">
                  <c:v>34.451621500000002</c:v>
                </c:pt>
                <c:pt idx="52">
                  <c:v>33.91866606</c:v>
                </c:pt>
                <c:pt idx="53">
                  <c:v>34.9264315</c:v>
                </c:pt>
                <c:pt idx="54">
                  <c:v>35.972049939999998</c:v>
                </c:pt>
                <c:pt idx="55">
                  <c:v>37.452550330000001</c:v>
                </c:pt>
                <c:pt idx="56">
                  <c:v>36.853394530000003</c:v>
                </c:pt>
                <c:pt idx="57">
                  <c:v>35.419109859999999</c:v>
                </c:pt>
                <c:pt idx="58">
                  <c:v>34.230262949999997</c:v>
                </c:pt>
                <c:pt idx="59">
                  <c:v>33.353690100000001</c:v>
                </c:pt>
                <c:pt idx="60">
                  <c:v>32.906982669999998</c:v>
                </c:pt>
                <c:pt idx="61">
                  <c:v>34.001598059999999</c:v>
                </c:pt>
                <c:pt idx="62">
                  <c:v>33.594117490000002</c:v>
                </c:pt>
                <c:pt idx="63">
                  <c:v>32.863698669999998</c:v>
                </c:pt>
                <c:pt idx="64">
                  <c:v>31.929528520000002</c:v>
                </c:pt>
                <c:pt idx="65">
                  <c:v>31.818754460000001</c:v>
                </c:pt>
                <c:pt idx="66">
                  <c:v>31.978542340000001</c:v>
                </c:pt>
                <c:pt idx="67">
                  <c:v>32.119359099999997</c:v>
                </c:pt>
                <c:pt idx="68">
                  <c:v>31.388270840000001</c:v>
                </c:pt>
                <c:pt idx="69">
                  <c:v>30.826170189999999</c:v>
                </c:pt>
                <c:pt idx="70">
                  <c:v>30.795057920000001</c:v>
                </c:pt>
                <c:pt idx="71">
                  <c:v>31.101263939999999</c:v>
                </c:pt>
                <c:pt idx="72">
                  <c:v>30.589301259999999</c:v>
                </c:pt>
                <c:pt idx="73">
                  <c:v>29.800246179999998</c:v>
                </c:pt>
                <c:pt idx="74">
                  <c:v>29.522743200000001</c:v>
                </c:pt>
                <c:pt idx="75">
                  <c:v>31.74014558</c:v>
                </c:pt>
                <c:pt idx="76">
                  <c:v>32.477372670000001</c:v>
                </c:pt>
                <c:pt idx="77">
                  <c:v>31.771021260000001</c:v>
                </c:pt>
                <c:pt idx="78">
                  <c:v>33.994098200000003</c:v>
                </c:pt>
                <c:pt idx="79">
                  <c:v>33.625050559999998</c:v>
                </c:pt>
                <c:pt idx="80">
                  <c:v>32.261598679999999</c:v>
                </c:pt>
                <c:pt idx="81">
                  <c:v>31.270556769999999</c:v>
                </c:pt>
                <c:pt idx="82">
                  <c:v>31.341742480000001</c:v>
                </c:pt>
                <c:pt idx="83">
                  <c:v>31.499305639999999</c:v>
                </c:pt>
                <c:pt idx="84">
                  <c:v>30.844746300000001</c:v>
                </c:pt>
                <c:pt idx="85">
                  <c:v>31.0929526</c:v>
                </c:pt>
                <c:pt idx="86">
                  <c:v>32.520759689999998</c:v>
                </c:pt>
                <c:pt idx="87">
                  <c:v>31.125154739999999</c:v>
                </c:pt>
                <c:pt idx="88">
                  <c:v>29.743116709999999</c:v>
                </c:pt>
                <c:pt idx="89">
                  <c:v>28.8351975</c:v>
                </c:pt>
                <c:pt idx="90">
                  <c:v>28.799934329999999</c:v>
                </c:pt>
                <c:pt idx="91">
                  <c:v>28.887370539999999</c:v>
                </c:pt>
                <c:pt idx="92">
                  <c:v>29.193154150000002</c:v>
                </c:pt>
                <c:pt idx="93">
                  <c:v>30.55840019</c:v>
                </c:pt>
                <c:pt idx="94">
                  <c:v>35.744805159999999</c:v>
                </c:pt>
                <c:pt idx="95">
                  <c:v>35.842524480000002</c:v>
                </c:pt>
                <c:pt idx="96">
                  <c:v>36.535171249999998</c:v>
                </c:pt>
                <c:pt idx="97">
                  <c:v>34.810315729999999</c:v>
                </c:pt>
                <c:pt idx="98">
                  <c:v>33.261872709999999</c:v>
                </c:pt>
                <c:pt idx="99">
                  <c:v>31.86671977</c:v>
                </c:pt>
                <c:pt idx="100">
                  <c:v>32.24562555</c:v>
                </c:pt>
                <c:pt idx="101">
                  <c:v>31.37779368</c:v>
                </c:pt>
                <c:pt idx="102">
                  <c:v>30.15338985</c:v>
                </c:pt>
                <c:pt idx="103">
                  <c:v>29.028954760000001</c:v>
                </c:pt>
                <c:pt idx="104">
                  <c:v>28.037238429999999</c:v>
                </c:pt>
                <c:pt idx="105">
                  <c:v>27.24554938</c:v>
                </c:pt>
                <c:pt idx="106">
                  <c:v>26.513923210000002</c:v>
                </c:pt>
                <c:pt idx="107">
                  <c:v>25.963983989999999</c:v>
                </c:pt>
                <c:pt idx="108">
                  <c:v>25.410947029999999</c:v>
                </c:pt>
                <c:pt idx="109">
                  <c:v>24.80153571</c:v>
                </c:pt>
                <c:pt idx="110">
                  <c:v>24.038942729999999</c:v>
                </c:pt>
                <c:pt idx="111">
                  <c:v>23.179958790000001</c:v>
                </c:pt>
                <c:pt idx="112">
                  <c:v>22.30171606</c:v>
                </c:pt>
                <c:pt idx="113">
                  <c:v>21.46442734</c:v>
                </c:pt>
                <c:pt idx="114">
                  <c:v>20.719359000000001</c:v>
                </c:pt>
                <c:pt idx="115">
                  <c:v>19.88384787</c:v>
                </c:pt>
                <c:pt idx="116">
                  <c:v>19.072466779999999</c:v>
                </c:pt>
                <c:pt idx="117">
                  <c:v>18.425209639999999</c:v>
                </c:pt>
                <c:pt idx="118">
                  <c:v>17.816724879999999</c:v>
                </c:pt>
                <c:pt idx="119">
                  <c:v>17.140961189999999</c:v>
                </c:pt>
                <c:pt idx="120">
                  <c:v>16.502159339999999</c:v>
                </c:pt>
                <c:pt idx="121">
                  <c:v>15.95645056</c:v>
                </c:pt>
                <c:pt idx="122">
                  <c:v>15.55499893</c:v>
                </c:pt>
                <c:pt idx="123">
                  <c:v>15.348166989999999</c:v>
                </c:pt>
                <c:pt idx="124">
                  <c:v>15.101807239999999</c:v>
                </c:pt>
                <c:pt idx="125">
                  <c:v>14.684364349999999</c:v>
                </c:pt>
                <c:pt idx="126">
                  <c:v>14.271982899999999</c:v>
                </c:pt>
                <c:pt idx="127">
                  <c:v>13.87031172</c:v>
                </c:pt>
                <c:pt idx="128">
                  <c:v>13.63980514</c:v>
                </c:pt>
                <c:pt idx="129">
                  <c:v>13.401795099999999</c:v>
                </c:pt>
                <c:pt idx="130">
                  <c:v>13.20122716</c:v>
                </c:pt>
                <c:pt idx="131">
                  <c:v>13.036760210000001</c:v>
                </c:pt>
                <c:pt idx="132">
                  <c:v>12.86473165</c:v>
                </c:pt>
                <c:pt idx="133">
                  <c:v>12.730354670000001</c:v>
                </c:pt>
                <c:pt idx="134">
                  <c:v>12.688782939999999</c:v>
                </c:pt>
                <c:pt idx="135">
                  <c:v>12.6080413</c:v>
                </c:pt>
                <c:pt idx="136">
                  <c:v>12.53482627</c:v>
                </c:pt>
                <c:pt idx="137">
                  <c:v>14.06551093</c:v>
                </c:pt>
                <c:pt idx="138">
                  <c:v>19.39806797</c:v>
                </c:pt>
                <c:pt idx="139">
                  <c:v>18.44004434</c:v>
                </c:pt>
                <c:pt idx="140">
                  <c:v>17.384240810000001</c:v>
                </c:pt>
                <c:pt idx="141">
                  <c:v>16.398364990000001</c:v>
                </c:pt>
                <c:pt idx="142">
                  <c:v>15.65534892</c:v>
                </c:pt>
                <c:pt idx="143">
                  <c:v>15.38024931</c:v>
                </c:pt>
                <c:pt idx="144">
                  <c:v>15.27167524</c:v>
                </c:pt>
                <c:pt idx="145">
                  <c:v>16.678517920000001</c:v>
                </c:pt>
                <c:pt idx="146">
                  <c:v>16.54071879</c:v>
                </c:pt>
                <c:pt idx="147">
                  <c:v>16.248685519999999</c:v>
                </c:pt>
                <c:pt idx="148">
                  <c:v>15.58995943</c:v>
                </c:pt>
                <c:pt idx="149">
                  <c:v>14.98981232</c:v>
                </c:pt>
                <c:pt idx="150">
                  <c:v>14.793556730000001</c:v>
                </c:pt>
                <c:pt idx="151">
                  <c:v>14.74284316</c:v>
                </c:pt>
                <c:pt idx="152">
                  <c:v>14.499666530000001</c:v>
                </c:pt>
                <c:pt idx="153">
                  <c:v>14.16781508</c:v>
                </c:pt>
                <c:pt idx="154">
                  <c:v>13.951461269999999</c:v>
                </c:pt>
                <c:pt idx="155">
                  <c:v>14.009044640000001</c:v>
                </c:pt>
                <c:pt idx="156">
                  <c:v>13.879249120000001</c:v>
                </c:pt>
                <c:pt idx="157">
                  <c:v>13.64750184</c:v>
                </c:pt>
                <c:pt idx="158">
                  <c:v>13.414761370000001</c:v>
                </c:pt>
                <c:pt idx="159">
                  <c:v>13.26942494</c:v>
                </c:pt>
                <c:pt idx="160">
                  <c:v>13.205224919999999</c:v>
                </c:pt>
                <c:pt idx="161">
                  <c:v>13.355707130000001</c:v>
                </c:pt>
                <c:pt idx="162">
                  <c:v>13.33863618</c:v>
                </c:pt>
                <c:pt idx="163">
                  <c:v>13.185748419999999</c:v>
                </c:pt>
                <c:pt idx="164">
                  <c:v>13.07836318</c:v>
                </c:pt>
                <c:pt idx="165">
                  <c:v>12.97803485</c:v>
                </c:pt>
                <c:pt idx="166">
                  <c:v>12.902941589999999</c:v>
                </c:pt>
                <c:pt idx="167">
                  <c:v>12.7998665</c:v>
                </c:pt>
                <c:pt idx="168">
                  <c:v>12.63004312</c:v>
                </c:pt>
                <c:pt idx="169">
                  <c:v>13.155723289999999</c:v>
                </c:pt>
                <c:pt idx="170">
                  <c:v>13.956676290000001</c:v>
                </c:pt>
                <c:pt idx="171">
                  <c:v>14.164007379999999</c:v>
                </c:pt>
                <c:pt idx="172">
                  <c:v>14.734635519999999</c:v>
                </c:pt>
                <c:pt idx="173">
                  <c:v>17.246028720000002</c:v>
                </c:pt>
                <c:pt idx="174">
                  <c:v>18.74071996</c:v>
                </c:pt>
                <c:pt idx="175">
                  <c:v>20.227284220000001</c:v>
                </c:pt>
                <c:pt idx="176">
                  <c:v>21.19711088</c:v>
                </c:pt>
                <c:pt idx="177">
                  <c:v>25.43261051</c:v>
                </c:pt>
                <c:pt idx="178">
                  <c:v>26.221159400000001</c:v>
                </c:pt>
                <c:pt idx="179">
                  <c:v>26.9255639</c:v>
                </c:pt>
                <c:pt idx="180">
                  <c:v>27.149733980000001</c:v>
                </c:pt>
                <c:pt idx="181">
                  <c:v>26.333475459999999</c:v>
                </c:pt>
                <c:pt idx="182">
                  <c:v>30.160870540000001</c:v>
                </c:pt>
                <c:pt idx="183">
                  <c:v>30.605315959999999</c:v>
                </c:pt>
                <c:pt idx="184">
                  <c:v>29.030152279999999</c:v>
                </c:pt>
                <c:pt idx="185">
                  <c:v>29.878552970000001</c:v>
                </c:pt>
                <c:pt idx="186">
                  <c:v>28.688791210000002</c:v>
                </c:pt>
                <c:pt idx="187">
                  <c:v>27.443521619999999</c:v>
                </c:pt>
                <c:pt idx="188">
                  <c:v>30.81375194</c:v>
                </c:pt>
                <c:pt idx="189">
                  <c:v>29.740374639999999</c:v>
                </c:pt>
                <c:pt idx="190">
                  <c:v>28.506178670000001</c:v>
                </c:pt>
                <c:pt idx="191">
                  <c:v>28.70995636</c:v>
                </c:pt>
                <c:pt idx="192">
                  <c:v>28.919571529999999</c:v>
                </c:pt>
                <c:pt idx="193">
                  <c:v>31.453605799999998</c:v>
                </c:pt>
                <c:pt idx="194">
                  <c:v>30.016890579999998</c:v>
                </c:pt>
                <c:pt idx="195">
                  <c:v>28.919413080000002</c:v>
                </c:pt>
                <c:pt idx="196">
                  <c:v>27.982316730000001</c:v>
                </c:pt>
                <c:pt idx="197">
                  <c:v>26.723444570000002</c:v>
                </c:pt>
                <c:pt idx="198">
                  <c:v>25.654445620000001</c:v>
                </c:pt>
                <c:pt idx="199">
                  <c:v>24.529209720000001</c:v>
                </c:pt>
                <c:pt idx="200">
                  <c:v>23.790099219999998</c:v>
                </c:pt>
                <c:pt idx="201">
                  <c:v>26.870676620000001</c:v>
                </c:pt>
                <c:pt idx="202">
                  <c:v>28.72701249</c:v>
                </c:pt>
                <c:pt idx="203">
                  <c:v>27.4028524</c:v>
                </c:pt>
                <c:pt idx="204">
                  <c:v>26.618773340000001</c:v>
                </c:pt>
                <c:pt idx="205">
                  <c:v>25.998387139999998</c:v>
                </c:pt>
                <c:pt idx="206">
                  <c:v>26.04747352</c:v>
                </c:pt>
                <c:pt idx="207">
                  <c:v>27.0953205</c:v>
                </c:pt>
                <c:pt idx="208">
                  <c:v>30.646697830000001</c:v>
                </c:pt>
                <c:pt idx="209">
                  <c:v>31.595901990000002</c:v>
                </c:pt>
                <c:pt idx="210">
                  <c:v>30.403008979999999</c:v>
                </c:pt>
                <c:pt idx="211">
                  <c:v>29.23940283</c:v>
                </c:pt>
                <c:pt idx="212">
                  <c:v>27.90781342</c:v>
                </c:pt>
                <c:pt idx="213">
                  <c:v>26.715938170000001</c:v>
                </c:pt>
                <c:pt idx="214">
                  <c:v>23.995684529999998</c:v>
                </c:pt>
                <c:pt idx="215">
                  <c:v>23.760118290000001</c:v>
                </c:pt>
                <c:pt idx="216">
                  <c:v>23.499634690000001</c:v>
                </c:pt>
                <c:pt idx="217">
                  <c:v>23.244947880000002</c:v>
                </c:pt>
                <c:pt idx="218">
                  <c:v>22.945815929999998</c:v>
                </c:pt>
                <c:pt idx="219">
                  <c:v>24.033854080000001</c:v>
                </c:pt>
                <c:pt idx="220">
                  <c:v>29.503924309999999</c:v>
                </c:pt>
                <c:pt idx="221">
                  <c:v>28.741324030000001</c:v>
                </c:pt>
                <c:pt idx="222">
                  <c:v>27.919506779999999</c:v>
                </c:pt>
                <c:pt idx="223">
                  <c:v>27.538497199999998</c:v>
                </c:pt>
                <c:pt idx="224">
                  <c:v>27.490689060000001</c:v>
                </c:pt>
                <c:pt idx="225">
                  <c:v>27.14942469</c:v>
                </c:pt>
                <c:pt idx="226">
                  <c:v>26.665504800000001</c:v>
                </c:pt>
                <c:pt idx="227">
                  <c:v>26.042132200000001</c:v>
                </c:pt>
                <c:pt idx="228">
                  <c:v>26.149474999999999</c:v>
                </c:pt>
                <c:pt idx="229">
                  <c:v>28.088133899999999</c:v>
                </c:pt>
                <c:pt idx="230">
                  <c:v>28.545911050000001</c:v>
                </c:pt>
                <c:pt idx="231">
                  <c:v>27.659907440000001</c:v>
                </c:pt>
                <c:pt idx="232">
                  <c:v>26.895821860000002</c:v>
                </c:pt>
                <c:pt idx="233">
                  <c:v>26.33744772</c:v>
                </c:pt>
                <c:pt idx="234">
                  <c:v>25.88715526</c:v>
                </c:pt>
                <c:pt idx="235">
                  <c:v>25.506677029999999</c:v>
                </c:pt>
                <c:pt idx="236">
                  <c:v>25.1910922</c:v>
                </c:pt>
                <c:pt idx="237">
                  <c:v>24.911594260000001</c:v>
                </c:pt>
                <c:pt idx="238">
                  <c:v>24.608016750000001</c:v>
                </c:pt>
                <c:pt idx="239">
                  <c:v>24.29053407</c:v>
                </c:pt>
                <c:pt idx="240">
                  <c:v>24.058565919999999</c:v>
                </c:pt>
                <c:pt idx="241">
                  <c:v>24.03752459</c:v>
                </c:pt>
                <c:pt idx="242">
                  <c:v>23.844232989999998</c:v>
                </c:pt>
                <c:pt idx="243">
                  <c:v>23.499316360000002</c:v>
                </c:pt>
                <c:pt idx="244">
                  <c:v>23.00752091</c:v>
                </c:pt>
                <c:pt idx="245">
                  <c:v>22.501762830000001</c:v>
                </c:pt>
                <c:pt idx="246">
                  <c:v>22.083467949999999</c:v>
                </c:pt>
                <c:pt idx="247">
                  <c:v>21.6097535</c:v>
                </c:pt>
                <c:pt idx="248">
                  <c:v>21.045787919999999</c:v>
                </c:pt>
                <c:pt idx="249">
                  <c:v>20.432457429999999</c:v>
                </c:pt>
                <c:pt idx="250">
                  <c:v>20.28138113</c:v>
                </c:pt>
                <c:pt idx="251">
                  <c:v>20.465845399999999</c:v>
                </c:pt>
                <c:pt idx="252">
                  <c:v>20.799153319999999</c:v>
                </c:pt>
                <c:pt idx="253">
                  <c:v>20.935620499999999</c:v>
                </c:pt>
                <c:pt idx="254">
                  <c:v>20.872744860000001</c:v>
                </c:pt>
                <c:pt idx="255">
                  <c:v>21.092916590000002</c:v>
                </c:pt>
                <c:pt idx="256">
                  <c:v>24.21043173</c:v>
                </c:pt>
                <c:pt idx="257">
                  <c:v>29.412694940000002</c:v>
                </c:pt>
                <c:pt idx="258">
                  <c:v>32.923101580000001</c:v>
                </c:pt>
                <c:pt idx="259">
                  <c:v>32.142210300000002</c:v>
                </c:pt>
                <c:pt idx="260">
                  <c:v>32.631385719999997</c:v>
                </c:pt>
                <c:pt idx="261">
                  <c:v>33.575521379999998</c:v>
                </c:pt>
                <c:pt idx="262">
                  <c:v>34.460600720000002</c:v>
                </c:pt>
                <c:pt idx="263">
                  <c:v>34.019314960000003</c:v>
                </c:pt>
                <c:pt idx="264">
                  <c:v>35.350378630000002</c:v>
                </c:pt>
                <c:pt idx="265">
                  <c:v>34.567769310000003</c:v>
                </c:pt>
                <c:pt idx="266">
                  <c:v>33.672264810000001</c:v>
                </c:pt>
                <c:pt idx="267">
                  <c:v>34.058262460000002</c:v>
                </c:pt>
                <c:pt idx="268">
                  <c:v>34.92788685</c:v>
                </c:pt>
                <c:pt idx="269">
                  <c:v>35.117848819999999</c:v>
                </c:pt>
                <c:pt idx="270">
                  <c:v>34.620813409999997</c:v>
                </c:pt>
                <c:pt idx="271">
                  <c:v>31.74342253</c:v>
                </c:pt>
                <c:pt idx="272">
                  <c:v>31.235518419999998</c:v>
                </c:pt>
                <c:pt idx="273">
                  <c:v>31.59212673</c:v>
                </c:pt>
                <c:pt idx="274">
                  <c:v>31.905589150000001</c:v>
                </c:pt>
                <c:pt idx="275">
                  <c:v>31.654561910000002</c:v>
                </c:pt>
                <c:pt idx="276">
                  <c:v>31.478487529999999</c:v>
                </c:pt>
                <c:pt idx="277">
                  <c:v>32.727696569999999</c:v>
                </c:pt>
                <c:pt idx="278">
                  <c:v>34.98550436</c:v>
                </c:pt>
                <c:pt idx="279">
                  <c:v>36.117573450000002</c:v>
                </c:pt>
                <c:pt idx="280">
                  <c:v>34.855615929999999</c:v>
                </c:pt>
                <c:pt idx="281">
                  <c:v>35.393371729999998</c:v>
                </c:pt>
                <c:pt idx="282">
                  <c:v>36.915412259999997</c:v>
                </c:pt>
                <c:pt idx="283">
                  <c:v>36.558969660000002</c:v>
                </c:pt>
                <c:pt idx="284">
                  <c:v>35.518264989999999</c:v>
                </c:pt>
                <c:pt idx="285">
                  <c:v>36.796886409999999</c:v>
                </c:pt>
                <c:pt idx="286">
                  <c:v>37.238481190000002</c:v>
                </c:pt>
                <c:pt idx="287">
                  <c:v>37.125405000000001</c:v>
                </c:pt>
                <c:pt idx="288">
                  <c:v>36.931095280000001</c:v>
                </c:pt>
                <c:pt idx="289">
                  <c:v>37.351921599999997</c:v>
                </c:pt>
                <c:pt idx="290">
                  <c:v>36.421603679999997</c:v>
                </c:pt>
                <c:pt idx="291">
                  <c:v>35.855795299999997</c:v>
                </c:pt>
                <c:pt idx="292">
                  <c:v>37.37423794</c:v>
                </c:pt>
                <c:pt idx="293">
                  <c:v>37.683946980000002</c:v>
                </c:pt>
                <c:pt idx="294">
                  <c:v>37.64589385</c:v>
                </c:pt>
                <c:pt idx="295">
                  <c:v>39.207286500000002</c:v>
                </c:pt>
                <c:pt idx="296">
                  <c:v>38.704357219999999</c:v>
                </c:pt>
                <c:pt idx="297">
                  <c:v>37.53459221</c:v>
                </c:pt>
                <c:pt idx="298">
                  <c:v>37.210148150000002</c:v>
                </c:pt>
                <c:pt idx="299">
                  <c:v>36.950075439999999</c:v>
                </c:pt>
                <c:pt idx="300">
                  <c:v>36.468271190000003</c:v>
                </c:pt>
                <c:pt idx="301">
                  <c:v>35.812876789999997</c:v>
                </c:pt>
                <c:pt idx="302">
                  <c:v>36.286495539999997</c:v>
                </c:pt>
                <c:pt idx="303">
                  <c:v>38.673361759999999</c:v>
                </c:pt>
                <c:pt idx="304">
                  <c:v>38.173596799999999</c:v>
                </c:pt>
                <c:pt idx="305">
                  <c:v>37.410789129999998</c:v>
                </c:pt>
                <c:pt idx="306">
                  <c:v>37.558192689999998</c:v>
                </c:pt>
                <c:pt idx="307">
                  <c:v>37.623209150000001</c:v>
                </c:pt>
                <c:pt idx="308">
                  <c:v>37.728612630000001</c:v>
                </c:pt>
                <c:pt idx="309">
                  <c:v>37.713047240000002</c:v>
                </c:pt>
                <c:pt idx="310">
                  <c:v>38.365532850000001</c:v>
                </c:pt>
                <c:pt idx="311">
                  <c:v>38.781087790000001</c:v>
                </c:pt>
                <c:pt idx="312">
                  <c:v>38.14940962</c:v>
                </c:pt>
                <c:pt idx="313">
                  <c:v>37.960801660000001</c:v>
                </c:pt>
                <c:pt idx="314">
                  <c:v>37.600125970000001</c:v>
                </c:pt>
                <c:pt idx="315">
                  <c:v>37.237026499999999</c:v>
                </c:pt>
                <c:pt idx="316">
                  <c:v>36.872246820000001</c:v>
                </c:pt>
                <c:pt idx="317">
                  <c:v>37.155280279999999</c:v>
                </c:pt>
                <c:pt idx="318">
                  <c:v>38.76422702</c:v>
                </c:pt>
                <c:pt idx="319">
                  <c:v>38.927309649999998</c:v>
                </c:pt>
                <c:pt idx="320">
                  <c:v>40.093474360000002</c:v>
                </c:pt>
                <c:pt idx="321">
                  <c:v>39.60422775</c:v>
                </c:pt>
                <c:pt idx="322">
                  <c:v>39.312630050000003</c:v>
                </c:pt>
                <c:pt idx="323">
                  <c:v>39.546169089999999</c:v>
                </c:pt>
                <c:pt idx="324">
                  <c:v>39.294561420000001</c:v>
                </c:pt>
                <c:pt idx="325">
                  <c:v>38.67469097</c:v>
                </c:pt>
                <c:pt idx="326">
                  <c:v>38.110974339999999</c:v>
                </c:pt>
                <c:pt idx="327">
                  <c:v>38.132267229999997</c:v>
                </c:pt>
                <c:pt idx="328">
                  <c:v>38.722027060000002</c:v>
                </c:pt>
                <c:pt idx="329">
                  <c:v>38.196578279999997</c:v>
                </c:pt>
                <c:pt idx="330">
                  <c:v>37.759045780000001</c:v>
                </c:pt>
                <c:pt idx="331">
                  <c:v>39.355045709999999</c:v>
                </c:pt>
                <c:pt idx="332">
                  <c:v>39.567961150000002</c:v>
                </c:pt>
                <c:pt idx="333">
                  <c:v>40.1073418</c:v>
                </c:pt>
                <c:pt idx="334">
                  <c:v>39.226900909999998</c:v>
                </c:pt>
                <c:pt idx="335">
                  <c:v>39.728472600000003</c:v>
                </c:pt>
                <c:pt idx="336">
                  <c:v>39.605874710000002</c:v>
                </c:pt>
                <c:pt idx="337">
                  <c:v>38.854525459999998</c:v>
                </c:pt>
                <c:pt idx="338">
                  <c:v>38.74041587</c:v>
                </c:pt>
                <c:pt idx="339">
                  <c:v>38.754279920000002</c:v>
                </c:pt>
                <c:pt idx="340">
                  <c:v>38.76722934</c:v>
                </c:pt>
                <c:pt idx="341">
                  <c:v>38.743127479999998</c:v>
                </c:pt>
                <c:pt idx="342">
                  <c:v>38.719025619999996</c:v>
                </c:pt>
                <c:pt idx="343">
                  <c:v>38.694923760000002</c:v>
                </c:pt>
                <c:pt idx="344">
                  <c:v>38.6708219</c:v>
                </c:pt>
                <c:pt idx="345">
                  <c:v>38.646720039999998</c:v>
                </c:pt>
                <c:pt idx="346">
                  <c:v>38.622618180000003</c:v>
                </c:pt>
                <c:pt idx="347">
                  <c:v>38.598516320000002</c:v>
                </c:pt>
                <c:pt idx="348">
                  <c:v>38.57441446</c:v>
                </c:pt>
                <c:pt idx="349">
                  <c:v>38.550312599999998</c:v>
                </c:pt>
                <c:pt idx="350">
                  <c:v>38.526210740000003</c:v>
                </c:pt>
                <c:pt idx="351">
                  <c:v>38.502108880000002</c:v>
                </c:pt>
                <c:pt idx="352">
                  <c:v>38.197763899999998</c:v>
                </c:pt>
                <c:pt idx="353">
                  <c:v>37.998883200000002</c:v>
                </c:pt>
                <c:pt idx="354">
                  <c:v>37.558789279999999</c:v>
                </c:pt>
                <c:pt idx="355">
                  <c:v>38.2315015</c:v>
                </c:pt>
                <c:pt idx="356">
                  <c:v>37.930594110000001</c:v>
                </c:pt>
                <c:pt idx="357">
                  <c:v>37.203320869999999</c:v>
                </c:pt>
                <c:pt idx="358">
                  <c:v>36.865305650000003</c:v>
                </c:pt>
                <c:pt idx="359">
                  <c:v>36.632093419999997</c:v>
                </c:pt>
                <c:pt idx="360">
                  <c:v>36.316992310000003</c:v>
                </c:pt>
              </c:numCache>
            </c:numRef>
          </c:xVal>
          <c:yVal>
            <c:numRef>
              <c:f>selhausen_SM_Kdose_daily!$B$8:$B$400</c:f>
              <c:numCache>
                <c:formatCode>General</c:formatCode>
                <c:ptCount val="393"/>
                <c:pt idx="0">
                  <c:v>9.6624901800000007</c:v>
                </c:pt>
                <c:pt idx="1">
                  <c:v>9.6824418980000004</c:v>
                </c:pt>
                <c:pt idx="2">
                  <c:v>9.7063027779999995</c:v>
                </c:pt>
                <c:pt idx="3">
                  <c:v>9.7083127779999998</c:v>
                </c:pt>
                <c:pt idx="4">
                  <c:v>9.7228461110000008</c:v>
                </c:pt>
                <c:pt idx="5">
                  <c:v>9.7789294439999992</c:v>
                </c:pt>
                <c:pt idx="6">
                  <c:v>9.8354888890000005</c:v>
                </c:pt>
                <c:pt idx="7">
                  <c:v>9.8960284719999994</c:v>
                </c:pt>
                <c:pt idx="8">
                  <c:v>9.934965278</c:v>
                </c:pt>
                <c:pt idx="9">
                  <c:v>10.01100046</c:v>
                </c:pt>
                <c:pt idx="10">
                  <c:v>10.019243980000001</c:v>
                </c:pt>
                <c:pt idx="11">
                  <c:v>10.07862523</c:v>
                </c:pt>
                <c:pt idx="12">
                  <c:v>10.05631782</c:v>
                </c:pt>
                <c:pt idx="13">
                  <c:v>10.01375764</c:v>
                </c:pt>
                <c:pt idx="14">
                  <c:v>9.9232726850000006</c:v>
                </c:pt>
                <c:pt idx="15">
                  <c:v>9.9298074070000002</c:v>
                </c:pt>
                <c:pt idx="16">
                  <c:v>10.006381940000001</c:v>
                </c:pt>
                <c:pt idx="17">
                  <c:v>10.00244352</c:v>
                </c:pt>
                <c:pt idx="18">
                  <c:v>9.888022222</c:v>
                </c:pt>
                <c:pt idx="19">
                  <c:v>9.7480868059999999</c:v>
                </c:pt>
                <c:pt idx="20">
                  <c:v>9.7232756939999998</c:v>
                </c:pt>
                <c:pt idx="21">
                  <c:v>9.7947648150000006</c:v>
                </c:pt>
                <c:pt idx="22">
                  <c:v>9.8701861110000007</c:v>
                </c:pt>
                <c:pt idx="23">
                  <c:v>9.9149729170000001</c:v>
                </c:pt>
                <c:pt idx="24">
                  <c:v>9.9455923609999992</c:v>
                </c:pt>
                <c:pt idx="25">
                  <c:v>9.9648916669999998</c:v>
                </c:pt>
                <c:pt idx="26">
                  <c:v>9.9738000000000007</c:v>
                </c:pt>
                <c:pt idx="27">
                  <c:v>9.9617488430000005</c:v>
                </c:pt>
                <c:pt idx="28">
                  <c:v>9.9480560189999991</c:v>
                </c:pt>
                <c:pt idx="29">
                  <c:v>9.8066381939999996</c:v>
                </c:pt>
                <c:pt idx="30">
                  <c:v>9.5084155090000007</c:v>
                </c:pt>
                <c:pt idx="31">
                  <c:v>9.3892960649999999</c:v>
                </c:pt>
                <c:pt idx="32">
                  <c:v>9.4182421299999994</c:v>
                </c:pt>
                <c:pt idx="33">
                  <c:v>9.6309670829999998</c:v>
                </c:pt>
                <c:pt idx="34">
                  <c:v>9.6721471759999993</c:v>
                </c:pt>
                <c:pt idx="35">
                  <c:v>9.786530741</c:v>
                </c:pt>
                <c:pt idx="36">
                  <c:v>9.7523005040130659</c:v>
                </c:pt>
                <c:pt idx="37">
                  <c:v>9.7096339065107689</c:v>
                </c:pt>
                <c:pt idx="38">
                  <c:v>9.6622471373280394</c:v>
                </c:pt>
                <c:pt idx="39">
                  <c:v>9.8346798821884782</c:v>
                </c:pt>
                <c:pt idx="40">
                  <c:v>10.030228347965684</c:v>
                </c:pt>
                <c:pt idx="41">
                  <c:v>10.075411187478052</c:v>
                </c:pt>
                <c:pt idx="42">
                  <c:v>10.026545408117192</c:v>
                </c:pt>
                <c:pt idx="43">
                  <c:v>9.9598525195344862</c:v>
                </c:pt>
                <c:pt idx="44">
                  <c:v>9.9806215496982986</c:v>
                </c:pt>
                <c:pt idx="45">
                  <c:v>10.03225124333213</c:v>
                </c:pt>
                <c:pt idx="46">
                  <c:v>10.074695563315167</c:v>
                </c:pt>
                <c:pt idx="47">
                  <c:v>10.035462318767872</c:v>
                </c:pt>
                <c:pt idx="48">
                  <c:v>9.8848647599458186</c:v>
                </c:pt>
                <c:pt idx="49">
                  <c:v>9.7416374946069322</c:v>
                </c:pt>
                <c:pt idx="50">
                  <c:v>9.7183872570422007</c:v>
                </c:pt>
                <c:pt idx="51">
                  <c:v>9.8271760503362344</c:v>
                </c:pt>
                <c:pt idx="52">
                  <c:v>9.9107755768188124</c:v>
                </c:pt>
                <c:pt idx="53">
                  <c:v>9.9041520933176592</c:v>
                </c:pt>
                <c:pt idx="54">
                  <c:v>9.7596259470763282</c:v>
                </c:pt>
                <c:pt idx="55">
                  <c:v>9.6603272362344939</c:v>
                </c:pt>
                <c:pt idx="56">
                  <c:v>9.6426310913117881</c:v>
                </c:pt>
                <c:pt idx="57">
                  <c:v>9.7504312805375619</c:v>
                </c:pt>
                <c:pt idx="58">
                  <c:v>9.8988570364659694</c:v>
                </c:pt>
                <c:pt idx="59">
                  <c:v>9.9399577694665098</c:v>
                </c:pt>
                <c:pt idx="60">
                  <c:v>9.8486567170047579</c:v>
                </c:pt>
                <c:pt idx="61">
                  <c:v>9.7827144667995398</c:v>
                </c:pt>
                <c:pt idx="62">
                  <c:v>9.8201432871479373</c:v>
                </c:pt>
                <c:pt idx="63">
                  <c:v>9.974917840306798</c:v>
                </c:pt>
                <c:pt idx="64">
                  <c:v>10.083229633099583</c:v>
                </c:pt>
                <c:pt idx="65">
                  <c:v>10.023326973626554</c:v>
                </c:pt>
                <c:pt idx="66">
                  <c:v>9.9432425025700439</c:v>
                </c:pt>
                <c:pt idx="67">
                  <c:v>9.9838548386517942</c:v>
                </c:pt>
                <c:pt idx="68">
                  <c:v>10.078624124433619</c:v>
                </c:pt>
                <c:pt idx="69">
                  <c:v>10.040243578194959</c:v>
                </c:pt>
                <c:pt idx="70">
                  <c:v>10.00772020154041</c:v>
                </c:pt>
                <c:pt idx="71">
                  <c:v>10.012151711782531</c:v>
                </c:pt>
                <c:pt idx="72">
                  <c:v>10.111492166062915</c:v>
                </c:pt>
                <c:pt idx="73">
                  <c:v>10.141737368731734</c:v>
                </c:pt>
                <c:pt idx="74">
                  <c:v>10.095265850712295</c:v>
                </c:pt>
                <c:pt idx="75">
                  <c:v>10.057277926324147</c:v>
                </c:pt>
                <c:pt idx="76">
                  <c:v>10.08553021177287</c:v>
                </c:pt>
                <c:pt idx="77">
                  <c:v>9.9710492302462512</c:v>
                </c:pt>
                <c:pt idx="78">
                  <c:v>9.8873456764837826</c:v>
                </c:pt>
                <c:pt idx="79">
                  <c:v>9.8415276760761863</c:v>
                </c:pt>
                <c:pt idx="80">
                  <c:v>9.9748487701928692</c:v>
                </c:pt>
                <c:pt idx="81">
                  <c:v>10.132268248524426</c:v>
                </c:pt>
                <c:pt idx="82">
                  <c:v>10.113327252650508</c:v>
                </c:pt>
                <c:pt idx="83">
                  <c:v>10.160890609767124</c:v>
                </c:pt>
                <c:pt idx="84">
                  <c:v>10.15623793430777</c:v>
                </c:pt>
                <c:pt idx="85">
                  <c:v>10.124971166653477</c:v>
                </c:pt>
                <c:pt idx="86">
                  <c:v>10.085261260677322</c:v>
                </c:pt>
                <c:pt idx="87">
                  <c:v>10.200223348057888</c:v>
                </c:pt>
                <c:pt idx="88">
                  <c:v>10.395644393870851</c:v>
                </c:pt>
                <c:pt idx="89">
                  <c:v>10.519044672634827</c:v>
                </c:pt>
                <c:pt idx="90">
                  <c:v>10.507492819176798</c:v>
                </c:pt>
                <c:pt idx="91">
                  <c:v>10.501750678977197</c:v>
                </c:pt>
                <c:pt idx="92">
                  <c:v>10.490690869476312</c:v>
                </c:pt>
                <c:pt idx="93">
                  <c:v>10.267590099733422</c:v>
                </c:pt>
                <c:pt idx="94">
                  <c:v>10.07018130916412</c:v>
                </c:pt>
                <c:pt idx="95">
                  <c:v>9.9189506727148018</c:v>
                </c:pt>
                <c:pt idx="96">
                  <c:v>9.9766125669148114</c:v>
                </c:pt>
                <c:pt idx="97">
                  <c:v>10.116711854902457</c:v>
                </c:pt>
                <c:pt idx="98">
                  <c:v>10.17457421381903</c:v>
                </c:pt>
                <c:pt idx="99">
                  <c:v>10.086543227250669</c:v>
                </c:pt>
                <c:pt idx="100">
                  <c:v>10.035200578259584</c:v>
                </c:pt>
                <c:pt idx="101">
                  <c:v>10.083573235857576</c:v>
                </c:pt>
                <c:pt idx="102">
                  <c:v>10.333240954820527</c:v>
                </c:pt>
                <c:pt idx="103">
                  <c:v>10.487324767240731</c:v>
                </c:pt>
                <c:pt idx="104">
                  <c:v>10.66299571277076</c:v>
                </c:pt>
                <c:pt idx="105">
                  <c:v>10.731801938034939</c:v>
                </c:pt>
                <c:pt idx="106">
                  <c:v>10.720145549930923</c:v>
                </c:pt>
                <c:pt idx="107">
                  <c:v>10.60563999147123</c:v>
                </c:pt>
                <c:pt idx="108">
                  <c:v>10.633466869945652</c:v>
                </c:pt>
                <c:pt idx="109">
                  <c:v>10.71191821355818</c:v>
                </c:pt>
                <c:pt idx="110">
                  <c:v>10.872532756496797</c:v>
                </c:pt>
                <c:pt idx="111">
                  <c:v>11.018352571424098</c:v>
                </c:pt>
                <c:pt idx="112">
                  <c:v>11.146476304416229</c:v>
                </c:pt>
                <c:pt idx="113">
                  <c:v>11.208659849607969</c:v>
                </c:pt>
                <c:pt idx="114">
                  <c:v>11.252713329217121</c:v>
                </c:pt>
                <c:pt idx="115">
                  <c:v>11.332582022250495</c:v>
                </c:pt>
                <c:pt idx="116">
                  <c:v>11.350541606806271</c:v>
                </c:pt>
                <c:pt idx="117">
                  <c:v>11.360088977051094</c:v>
                </c:pt>
                <c:pt idx="118">
                  <c:v>11.494750493616865</c:v>
                </c:pt>
                <c:pt idx="119">
                  <c:v>11.722626163176658</c:v>
                </c:pt>
                <c:pt idx="120">
                  <c:v>11.841711738331455</c:v>
                </c:pt>
                <c:pt idx="121">
                  <c:v>11.824748192613752</c:v>
                </c:pt>
                <c:pt idx="122">
                  <c:v>11.818665041765623</c:v>
                </c:pt>
                <c:pt idx="123">
                  <c:v>11.809861039675971</c:v>
                </c:pt>
                <c:pt idx="124">
                  <c:v>11.92359446467221</c:v>
                </c:pt>
                <c:pt idx="125">
                  <c:v>12.034590467914761</c:v>
                </c:pt>
                <c:pt idx="126">
                  <c:v>12.147135110720798</c:v>
                </c:pt>
                <c:pt idx="127">
                  <c:v>12.187536688017953</c:v>
                </c:pt>
                <c:pt idx="128">
                  <c:v>12.197101174258849</c:v>
                </c:pt>
                <c:pt idx="129">
                  <c:v>12.173826942691278</c:v>
                </c:pt>
                <c:pt idx="130">
                  <c:v>12.205092814572589</c:v>
                </c:pt>
                <c:pt idx="131">
                  <c:v>12.263545986858276</c:v>
                </c:pt>
                <c:pt idx="132">
                  <c:v>12.388784078548506</c:v>
                </c:pt>
                <c:pt idx="133">
                  <c:v>12.484203983103846</c:v>
                </c:pt>
                <c:pt idx="134">
                  <c:v>12.558554275989129</c:v>
                </c:pt>
                <c:pt idx="135">
                  <c:v>12.561742059450648</c:v>
                </c:pt>
                <c:pt idx="136">
                  <c:v>12.287239411450058</c:v>
                </c:pt>
                <c:pt idx="137">
                  <c:v>11.762646350461928</c:v>
                </c:pt>
                <c:pt idx="138">
                  <c:v>11.31988806697508</c:v>
                </c:pt>
                <c:pt idx="139">
                  <c:v>11.234937979885572</c:v>
                </c:pt>
                <c:pt idx="140">
                  <c:v>11.418808793594021</c:v>
                </c:pt>
                <c:pt idx="141">
                  <c:v>11.520744376407048</c:v>
                </c:pt>
                <c:pt idx="142">
                  <c:v>11.496581558445371</c:v>
                </c:pt>
                <c:pt idx="143">
                  <c:v>11.504231247995847</c:v>
                </c:pt>
                <c:pt idx="144">
                  <c:v>11.366628478320768</c:v>
                </c:pt>
                <c:pt idx="145">
                  <c:v>11.271494206619016</c:v>
                </c:pt>
                <c:pt idx="146">
                  <c:v>11.191781609372665</c:v>
                </c:pt>
                <c:pt idx="147">
                  <c:v>11.311963090707041</c:v>
                </c:pt>
                <c:pt idx="148">
                  <c:v>11.47649008347611</c:v>
                </c:pt>
                <c:pt idx="149">
                  <c:v>11.445484422887645</c:v>
                </c:pt>
                <c:pt idx="150">
                  <c:v>11.432536811551998</c:v>
                </c:pt>
                <c:pt idx="151">
                  <c:v>11.524842590850502</c:v>
                </c:pt>
                <c:pt idx="152">
                  <c:v>11.830259859763585</c:v>
                </c:pt>
                <c:pt idx="153">
                  <c:v>12.066965324524514</c:v>
                </c:pt>
                <c:pt idx="154">
                  <c:v>12.131581664990305</c:v>
                </c:pt>
                <c:pt idx="155">
                  <c:v>12.17525642016861</c:v>
                </c:pt>
                <c:pt idx="156">
                  <c:v>12.151808234568996</c:v>
                </c:pt>
                <c:pt idx="157">
                  <c:v>12.213729819340982</c:v>
                </c:pt>
                <c:pt idx="158">
                  <c:v>12.275484000649898</c:v>
                </c:pt>
                <c:pt idx="159">
                  <c:v>12.311829934406484</c:v>
                </c:pt>
                <c:pt idx="160">
                  <c:v>12.264398457414643</c:v>
                </c:pt>
                <c:pt idx="161">
                  <c:v>12.169304471453886</c:v>
                </c:pt>
                <c:pt idx="162">
                  <c:v>12.129179725977586</c:v>
                </c:pt>
                <c:pt idx="163">
                  <c:v>12.189021785987663</c:v>
                </c:pt>
                <c:pt idx="164">
                  <c:v>12.21974945384536</c:v>
                </c:pt>
                <c:pt idx="165">
                  <c:v>12.114168130997315</c:v>
                </c:pt>
                <c:pt idx="166">
                  <c:v>12.117909705235011</c:v>
                </c:pt>
                <c:pt idx="167">
                  <c:v>12.126282462939733</c:v>
                </c:pt>
                <c:pt idx="168">
                  <c:v>12.067270819760813</c:v>
                </c:pt>
                <c:pt idx="169">
                  <c:v>11.772910041370041</c:v>
                </c:pt>
                <c:pt idx="170">
                  <c:v>11.534795343010209</c:v>
                </c:pt>
                <c:pt idx="171">
                  <c:v>11.322255811354019</c:v>
                </c:pt>
                <c:pt idx="172">
                  <c:v>11.251140330700592</c:v>
                </c:pt>
                <c:pt idx="173">
                  <c:v>11.07296481280115</c:v>
                </c:pt>
                <c:pt idx="174">
                  <c:v>11.001530054016591</c:v>
                </c:pt>
                <c:pt idx="175">
                  <c:v>10.858611343684011</c:v>
                </c:pt>
                <c:pt idx="176">
                  <c:v>10.709662298363792</c:v>
                </c:pt>
                <c:pt idx="177">
                  <c:v>10.635842972248566</c:v>
                </c:pt>
                <c:pt idx="178">
                  <c:v>10.539657509272695</c:v>
                </c:pt>
                <c:pt idx="179">
                  <c:v>10.536282790080413</c:v>
                </c:pt>
                <c:pt idx="180">
                  <c:v>10.556874671318884</c:v>
                </c:pt>
                <c:pt idx="181">
                  <c:v>10.438955548416587</c:v>
                </c:pt>
                <c:pt idx="182">
                  <c:v>10.315725224440174</c:v>
                </c:pt>
                <c:pt idx="183">
                  <c:v>10.202095616927643</c:v>
                </c:pt>
                <c:pt idx="184">
                  <c:v>10.322782422762412</c:v>
                </c:pt>
                <c:pt idx="185">
                  <c:v>10.513122896040576</c:v>
                </c:pt>
                <c:pt idx="186">
                  <c:v>10.69256570741465</c:v>
                </c:pt>
                <c:pt idx="187">
                  <c:v>10.714268759188627</c:v>
                </c:pt>
                <c:pt idx="188">
                  <c:v>10.649625358428468</c:v>
                </c:pt>
                <c:pt idx="189">
                  <c:v>10.628901859082786</c:v>
                </c:pt>
                <c:pt idx="190">
                  <c:v>10.743646634805769</c:v>
                </c:pt>
                <c:pt idx="191">
                  <c:v>10.794774425526349</c:v>
                </c:pt>
                <c:pt idx="192">
                  <c:v>10.609291646090394</c:v>
                </c:pt>
                <c:pt idx="193">
                  <c:v>10.578782672596223</c:v>
                </c:pt>
                <c:pt idx="194">
                  <c:v>10.646554716837137</c:v>
                </c:pt>
                <c:pt idx="195">
                  <c:v>10.837403342410342</c:v>
                </c:pt>
                <c:pt idx="196">
                  <c:v>10.88503504940992</c:v>
                </c:pt>
                <c:pt idx="197">
                  <c:v>10.755942129999999</c:v>
                </c:pt>
                <c:pt idx="198">
                  <c:v>10.85608912</c:v>
                </c:pt>
                <c:pt idx="199">
                  <c:v>10.90647963</c:v>
                </c:pt>
                <c:pt idx="200">
                  <c:v>10.76103958</c:v>
                </c:pt>
                <c:pt idx="201">
                  <c:v>10.50666088</c:v>
                </c:pt>
                <c:pt idx="202">
                  <c:v>10.32777847</c:v>
                </c:pt>
                <c:pt idx="203">
                  <c:v>10.320059949999999</c:v>
                </c:pt>
                <c:pt idx="204">
                  <c:v>10.35745</c:v>
                </c:pt>
                <c:pt idx="205">
                  <c:v>10.314901389999999</c:v>
                </c:pt>
                <c:pt idx="206">
                  <c:v>10.251849310000001</c:v>
                </c:pt>
                <c:pt idx="207">
                  <c:v>10.118454399999999</c:v>
                </c:pt>
                <c:pt idx="208">
                  <c:v>10.140983800000001</c:v>
                </c:pt>
                <c:pt idx="209">
                  <c:v>10.185798610000001</c:v>
                </c:pt>
                <c:pt idx="210">
                  <c:v>10.38296435</c:v>
                </c:pt>
                <c:pt idx="211">
                  <c:v>10.59047685</c:v>
                </c:pt>
                <c:pt idx="212">
                  <c:v>10.87207963</c:v>
                </c:pt>
                <c:pt idx="213">
                  <c:v>11.16372662</c:v>
                </c:pt>
                <c:pt idx="214">
                  <c:v>11.42377454</c:v>
                </c:pt>
                <c:pt idx="215">
                  <c:v>11.58007755</c:v>
                </c:pt>
                <c:pt idx="216">
                  <c:v>11.742655320000001</c:v>
                </c:pt>
                <c:pt idx="217">
                  <c:v>11.840356249999999</c:v>
                </c:pt>
                <c:pt idx="218">
                  <c:v>11.81759375</c:v>
                </c:pt>
                <c:pt idx="219">
                  <c:v>11.31548634</c:v>
                </c:pt>
                <c:pt idx="220">
                  <c:v>10.8287412</c:v>
                </c:pt>
                <c:pt idx="221">
                  <c:v>10.543027779999999</c:v>
                </c:pt>
                <c:pt idx="222">
                  <c:v>10.82452106</c:v>
                </c:pt>
                <c:pt idx="223">
                  <c:v>11.015386339999999</c:v>
                </c:pt>
                <c:pt idx="224">
                  <c:v>11.07954352</c:v>
                </c:pt>
                <c:pt idx="225">
                  <c:v>10.95344884</c:v>
                </c:pt>
                <c:pt idx="226">
                  <c:v>11.00822106</c:v>
                </c:pt>
                <c:pt idx="227">
                  <c:v>11.026826850000001</c:v>
                </c:pt>
                <c:pt idx="228">
                  <c:v>10.835220830000001</c:v>
                </c:pt>
                <c:pt idx="229">
                  <c:v>10.55035509</c:v>
                </c:pt>
                <c:pt idx="230">
                  <c:v>10.419950930000001</c:v>
                </c:pt>
                <c:pt idx="231">
                  <c:v>10.6398537</c:v>
                </c:pt>
                <c:pt idx="232">
                  <c:v>10.86038102</c:v>
                </c:pt>
                <c:pt idx="233">
                  <c:v>11.053596300000001</c:v>
                </c:pt>
                <c:pt idx="234">
                  <c:v>11.1946581</c:v>
                </c:pt>
                <c:pt idx="235">
                  <c:v>11.238350690000001</c:v>
                </c:pt>
                <c:pt idx="236">
                  <c:v>11.17820231</c:v>
                </c:pt>
                <c:pt idx="237">
                  <c:v>11.14771505</c:v>
                </c:pt>
                <c:pt idx="238">
                  <c:v>11.242381480000001</c:v>
                </c:pt>
                <c:pt idx="239">
                  <c:v>11.228382180000001</c:v>
                </c:pt>
                <c:pt idx="240">
                  <c:v>11.10670532</c:v>
                </c:pt>
                <c:pt idx="241">
                  <c:v>10.93861134</c:v>
                </c:pt>
                <c:pt idx="242">
                  <c:v>10.953938429999999</c:v>
                </c:pt>
                <c:pt idx="243">
                  <c:v>11.08825903</c:v>
                </c:pt>
                <c:pt idx="244">
                  <c:v>11.23724537</c:v>
                </c:pt>
                <c:pt idx="245">
                  <c:v>11.353516900000001</c:v>
                </c:pt>
                <c:pt idx="246">
                  <c:v>11.39631065</c:v>
                </c:pt>
                <c:pt idx="247">
                  <c:v>11.51005486</c:v>
                </c:pt>
                <c:pt idx="248">
                  <c:v>11.50591852</c:v>
                </c:pt>
                <c:pt idx="249">
                  <c:v>11.54093102</c:v>
                </c:pt>
                <c:pt idx="250">
                  <c:v>11.153098610000001</c:v>
                </c:pt>
                <c:pt idx="251">
                  <c:v>10.80257778</c:v>
                </c:pt>
                <c:pt idx="252">
                  <c:v>10.415200690000001</c:v>
                </c:pt>
                <c:pt idx="253">
                  <c:v>10.4038044</c:v>
                </c:pt>
                <c:pt idx="254">
                  <c:v>10.509411569999999</c:v>
                </c:pt>
                <c:pt idx="255">
                  <c:v>10.495975230000001</c:v>
                </c:pt>
                <c:pt idx="256">
                  <c:v>10.37066134</c:v>
                </c:pt>
                <c:pt idx="257">
                  <c:v>10.161891900000001</c:v>
                </c:pt>
                <c:pt idx="258">
                  <c:v>10.019836809999999</c:v>
                </c:pt>
                <c:pt idx="259">
                  <c:v>9.9122488430000004</c:v>
                </c:pt>
                <c:pt idx="260">
                  <c:v>9.858500694</c:v>
                </c:pt>
                <c:pt idx="261">
                  <c:v>9.8144930559999999</c:v>
                </c:pt>
                <c:pt idx="262">
                  <c:v>9.7569214350000006</c:v>
                </c:pt>
                <c:pt idx="263">
                  <c:v>9.6996651850000006</c:v>
                </c:pt>
                <c:pt idx="264">
                  <c:v>9.6783721299999996</c:v>
                </c:pt>
                <c:pt idx="265">
                  <c:v>9.7535307870000008</c:v>
                </c:pt>
                <c:pt idx="266">
                  <c:v>9.7932539349999992</c:v>
                </c:pt>
                <c:pt idx="267">
                  <c:v>9.8270081020000006</c:v>
                </c:pt>
                <c:pt idx="268">
                  <c:v>9.7538451389999992</c:v>
                </c:pt>
                <c:pt idx="269">
                  <c:v>9.7510018059999997</c:v>
                </c:pt>
                <c:pt idx="270">
                  <c:v>9.7585754169999994</c:v>
                </c:pt>
                <c:pt idx="271">
                  <c:v>9.7879115280000004</c:v>
                </c:pt>
                <c:pt idx="272">
                  <c:v>9.7526525460000002</c:v>
                </c:pt>
                <c:pt idx="273">
                  <c:v>9.699669213</c:v>
                </c:pt>
                <c:pt idx="274">
                  <c:v>9.6911738429999996</c:v>
                </c:pt>
                <c:pt idx="275">
                  <c:v>9.7326164350000006</c:v>
                </c:pt>
                <c:pt idx="276">
                  <c:v>9.7317951390000008</c:v>
                </c:pt>
                <c:pt idx="277">
                  <c:v>9.6604097220000007</c:v>
                </c:pt>
                <c:pt idx="278">
                  <c:v>9.5190935190000001</c:v>
                </c:pt>
                <c:pt idx="279">
                  <c:v>9.4382946759999999</c:v>
                </c:pt>
                <c:pt idx="280">
                  <c:v>9.4440199069999995</c:v>
                </c:pt>
                <c:pt idx="281">
                  <c:v>9.4704229170000005</c:v>
                </c:pt>
                <c:pt idx="282">
                  <c:v>9.5080965279999994</c:v>
                </c:pt>
                <c:pt idx="283">
                  <c:v>9.4984199070000006</c:v>
                </c:pt>
                <c:pt idx="284">
                  <c:v>9.4829261569999996</c:v>
                </c:pt>
                <c:pt idx="285">
                  <c:v>9.4367275460000002</c:v>
                </c:pt>
                <c:pt idx="286">
                  <c:v>9.4755180560000003</c:v>
                </c:pt>
                <c:pt idx="287">
                  <c:v>9.5042909719999997</c:v>
                </c:pt>
                <c:pt idx="288">
                  <c:v>9.4968368059999992</c:v>
                </c:pt>
                <c:pt idx="289">
                  <c:v>9.4266145829999992</c:v>
                </c:pt>
                <c:pt idx="290">
                  <c:v>9.4355456019999995</c:v>
                </c:pt>
                <c:pt idx="291">
                  <c:v>9.3810050930000006</c:v>
                </c:pt>
                <c:pt idx="292">
                  <c:v>9.3401615739999997</c:v>
                </c:pt>
                <c:pt idx="293">
                  <c:v>9.2687668980000009</c:v>
                </c:pt>
                <c:pt idx="294">
                  <c:v>9.3096458329999994</c:v>
                </c:pt>
                <c:pt idx="295">
                  <c:v>9.3035983800000004</c:v>
                </c:pt>
                <c:pt idx="296">
                  <c:v>9.2910085650000003</c:v>
                </c:pt>
                <c:pt idx="297">
                  <c:v>9.2658668980000005</c:v>
                </c:pt>
                <c:pt idx="298">
                  <c:v>9.2857231480000006</c:v>
                </c:pt>
                <c:pt idx="299">
                  <c:v>9.3328490740000003</c:v>
                </c:pt>
                <c:pt idx="300">
                  <c:v>9.3568738430000007</c:v>
                </c:pt>
                <c:pt idx="301">
                  <c:v>9.2917849540000006</c:v>
                </c:pt>
                <c:pt idx="302">
                  <c:v>9.3044511570000008</c:v>
                </c:pt>
                <c:pt idx="303">
                  <c:v>9.2803000000000004</c:v>
                </c:pt>
                <c:pt idx="304">
                  <c:v>9.3259430559999998</c:v>
                </c:pt>
                <c:pt idx="305">
                  <c:v>9.2993618060000003</c:v>
                </c:pt>
                <c:pt idx="306">
                  <c:v>9.3252474539999994</c:v>
                </c:pt>
                <c:pt idx="307">
                  <c:v>9.388946528</c:v>
                </c:pt>
                <c:pt idx="308">
                  <c:v>9.4047613430000006</c:v>
                </c:pt>
                <c:pt idx="309">
                  <c:v>9.4149865740000003</c:v>
                </c:pt>
                <c:pt idx="310">
                  <c:v>9.3667525460000007</c:v>
                </c:pt>
                <c:pt idx="311">
                  <c:v>9.3784833330000001</c:v>
                </c:pt>
                <c:pt idx="312">
                  <c:v>9.3740245370000004</c:v>
                </c:pt>
                <c:pt idx="313">
                  <c:v>9.4164562499999995</c:v>
                </c:pt>
                <c:pt idx="314">
                  <c:v>9.471600231</c:v>
                </c:pt>
                <c:pt idx="315">
                  <c:v>9.5297634260000006</c:v>
                </c:pt>
                <c:pt idx="316">
                  <c:v>9.5456743060000004</c:v>
                </c:pt>
                <c:pt idx="317">
                  <c:v>9.4503729169999993</c:v>
                </c:pt>
                <c:pt idx="318">
                  <c:v>9.383567824</c:v>
                </c:pt>
                <c:pt idx="319">
                  <c:v>9.3006912039999996</c:v>
                </c:pt>
                <c:pt idx="320">
                  <c:v>9.2617386570000004</c:v>
                </c:pt>
                <c:pt idx="321">
                  <c:v>9.2832094909999991</c:v>
                </c:pt>
                <c:pt idx="322">
                  <c:v>9.3211324070000003</c:v>
                </c:pt>
                <c:pt idx="323">
                  <c:v>9.3675701389999997</c:v>
                </c:pt>
                <c:pt idx="324">
                  <c:v>9.3908134259999994</c:v>
                </c:pt>
                <c:pt idx="325">
                  <c:v>9.4658185190000008</c:v>
                </c:pt>
                <c:pt idx="326">
                  <c:v>9.5029199070000008</c:v>
                </c:pt>
                <c:pt idx="327">
                  <c:v>9.4879347220000003</c:v>
                </c:pt>
                <c:pt idx="328">
                  <c:v>9.4525319440000004</c:v>
                </c:pt>
                <c:pt idx="329">
                  <c:v>9.4550534719999995</c:v>
                </c:pt>
                <c:pt idx="330">
                  <c:v>9.4272337959999994</c:v>
                </c:pt>
                <c:pt idx="331">
                  <c:v>9.3864527780000007</c:v>
                </c:pt>
                <c:pt idx="332">
                  <c:v>9.305282407</c:v>
                </c:pt>
                <c:pt idx="333">
                  <c:v>9.3092333329999999</c:v>
                </c:pt>
                <c:pt idx="334">
                  <c:v>9.2903412040000006</c:v>
                </c:pt>
                <c:pt idx="335">
                  <c:v>9.2853328699999995</c:v>
                </c:pt>
                <c:pt idx="336">
                  <c:v>9.3025652310000009</c:v>
                </c:pt>
                <c:pt idx="337">
                  <c:v>9.3458897689999993</c:v>
                </c:pt>
                <c:pt idx="338">
                  <c:v>9.3904237039999998</c:v>
                </c:pt>
                <c:pt idx="339">
                  <c:v>9.3931422219999998</c:v>
                </c:pt>
                <c:pt idx="340">
                  <c:v>9.3283190739999995</c:v>
                </c:pt>
                <c:pt idx="341">
                  <c:v>9.2651082870000003</c:v>
                </c:pt>
                <c:pt idx="342">
                  <c:v>9.2040567129999999</c:v>
                </c:pt>
                <c:pt idx="343">
                  <c:v>9.1970843749999993</c:v>
                </c:pt>
                <c:pt idx="344">
                  <c:v>9.2343562499999994</c:v>
                </c:pt>
                <c:pt idx="345">
                  <c:v>9.2882301869999999</c:v>
                </c:pt>
                <c:pt idx="346">
                  <c:v>9.3421041240000005</c:v>
                </c:pt>
                <c:pt idx="347">
                  <c:v>9.3959780609999992</c:v>
                </c:pt>
                <c:pt idx="348">
                  <c:v>9.4498519979999998</c:v>
                </c:pt>
                <c:pt idx="349">
                  <c:v>9.5037259350000003</c:v>
                </c:pt>
                <c:pt idx="350">
                  <c:v>9.5575998720000008</c:v>
                </c:pt>
                <c:pt idx="351">
                  <c:v>9.6114738099999997</c:v>
                </c:pt>
                <c:pt idx="352">
                  <c:v>9.5860261409999996</c:v>
                </c:pt>
                <c:pt idx="353">
                  <c:v>9.5667299270000008</c:v>
                </c:pt>
                <c:pt idx="354">
                  <c:v>9.5536247690000007</c:v>
                </c:pt>
                <c:pt idx="355">
                  <c:v>9.5391393519999994</c:v>
                </c:pt>
                <c:pt idx="356">
                  <c:v>9.5765539349999997</c:v>
                </c:pt>
                <c:pt idx="357">
                  <c:v>9.6263328700000006</c:v>
                </c:pt>
                <c:pt idx="358">
                  <c:v>9.6990097219999996</c:v>
                </c:pt>
                <c:pt idx="359">
                  <c:v>9.709380093</c:v>
                </c:pt>
                <c:pt idx="360">
                  <c:v>9.6727689810000008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1B-4835-B713-78E4F5BF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ax val="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ax val="13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K-dose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35.267864369999998</c:v>
                </c:pt>
                <c:pt idx="1">
                  <c:v>35.199370960000003</c:v>
                </c:pt>
                <c:pt idx="2">
                  <c:v>34.623326589999998</c:v>
                </c:pt>
                <c:pt idx="3">
                  <c:v>34.04728222</c:v>
                </c:pt>
                <c:pt idx="4">
                  <c:v>33.471237840000001</c:v>
                </c:pt>
                <c:pt idx="5">
                  <c:v>32.895193470000002</c:v>
                </c:pt>
                <c:pt idx="6">
                  <c:v>32.731530429999999</c:v>
                </c:pt>
                <c:pt idx="7">
                  <c:v>32.596651250000001</c:v>
                </c:pt>
                <c:pt idx="8">
                  <c:v>32.453658779999998</c:v>
                </c:pt>
                <c:pt idx="9">
                  <c:v>32.176603569999997</c:v>
                </c:pt>
                <c:pt idx="10">
                  <c:v>31.936275819999999</c:v>
                </c:pt>
                <c:pt idx="11">
                  <c:v>31.824461490000001</c:v>
                </c:pt>
                <c:pt idx="12">
                  <c:v>31.65967307</c:v>
                </c:pt>
                <c:pt idx="13">
                  <c:v>31.473443629999998</c:v>
                </c:pt>
                <c:pt idx="14">
                  <c:v>31.851141940000002</c:v>
                </c:pt>
                <c:pt idx="15">
                  <c:v>31.819434780000002</c:v>
                </c:pt>
                <c:pt idx="16">
                  <c:v>31.599505149999999</c:v>
                </c:pt>
                <c:pt idx="17">
                  <c:v>31.463331279999998</c:v>
                </c:pt>
                <c:pt idx="18">
                  <c:v>33.151635159999998</c:v>
                </c:pt>
                <c:pt idx="19">
                  <c:v>32.998640119999997</c:v>
                </c:pt>
                <c:pt idx="20">
                  <c:v>32.794448670000001</c:v>
                </c:pt>
                <c:pt idx="21">
                  <c:v>32.16676768</c:v>
                </c:pt>
                <c:pt idx="22">
                  <c:v>31.5241881</c:v>
                </c:pt>
                <c:pt idx="23">
                  <c:v>31.13882216</c:v>
                </c:pt>
                <c:pt idx="24">
                  <c:v>30.705000569999999</c:v>
                </c:pt>
                <c:pt idx="25">
                  <c:v>30.48845481</c:v>
                </c:pt>
                <c:pt idx="26">
                  <c:v>30.405468679999998</c:v>
                </c:pt>
                <c:pt idx="27">
                  <c:v>30.415750249999999</c:v>
                </c:pt>
                <c:pt idx="28">
                  <c:v>30.36207881</c:v>
                </c:pt>
                <c:pt idx="29">
                  <c:v>30.33575037</c:v>
                </c:pt>
                <c:pt idx="30">
                  <c:v>32.315058319999999</c:v>
                </c:pt>
                <c:pt idx="31">
                  <c:v>36.337446049999997</c:v>
                </c:pt>
                <c:pt idx="32">
                  <c:v>37.049316390000001</c:v>
                </c:pt>
                <c:pt idx="33">
                  <c:v>37.15953253</c:v>
                </c:pt>
                <c:pt idx="34">
                  <c:v>36.058666850000002</c:v>
                </c:pt>
                <c:pt idx="35">
                  <c:v>35.327276830000002</c:v>
                </c:pt>
                <c:pt idx="36">
                  <c:v>34.870909230000002</c:v>
                </c:pt>
                <c:pt idx="37">
                  <c:v>36.107426869999998</c:v>
                </c:pt>
                <c:pt idx="38">
                  <c:v>36.894246109999997</c:v>
                </c:pt>
                <c:pt idx="39">
                  <c:v>35.586914149999998</c:v>
                </c:pt>
                <c:pt idx="40">
                  <c:v>34.740036500000002</c:v>
                </c:pt>
                <c:pt idx="41">
                  <c:v>34.140657150000003</c:v>
                </c:pt>
                <c:pt idx="42">
                  <c:v>33.75517962</c:v>
                </c:pt>
                <c:pt idx="43">
                  <c:v>33.440578500000001</c:v>
                </c:pt>
                <c:pt idx="44">
                  <c:v>33.366809619999998</c:v>
                </c:pt>
                <c:pt idx="45">
                  <c:v>33.278173049999999</c:v>
                </c:pt>
                <c:pt idx="46">
                  <c:v>32.98972054</c:v>
                </c:pt>
                <c:pt idx="47">
                  <c:v>32.62021361</c:v>
                </c:pt>
                <c:pt idx="48">
                  <c:v>32.632159119999997</c:v>
                </c:pt>
                <c:pt idx="49">
                  <c:v>35.194891390000002</c:v>
                </c:pt>
                <c:pt idx="50">
                  <c:v>35.554192559999997</c:v>
                </c:pt>
                <c:pt idx="51">
                  <c:v>34.451621500000002</c:v>
                </c:pt>
                <c:pt idx="52">
                  <c:v>33.91866606</c:v>
                </c:pt>
                <c:pt idx="53">
                  <c:v>34.9264315</c:v>
                </c:pt>
                <c:pt idx="54">
                  <c:v>35.972049939999998</c:v>
                </c:pt>
                <c:pt idx="55">
                  <c:v>37.452550330000001</c:v>
                </c:pt>
                <c:pt idx="56">
                  <c:v>36.853394530000003</c:v>
                </c:pt>
                <c:pt idx="57">
                  <c:v>35.419109859999999</c:v>
                </c:pt>
                <c:pt idx="58">
                  <c:v>34.230262949999997</c:v>
                </c:pt>
                <c:pt idx="59">
                  <c:v>33.353690100000001</c:v>
                </c:pt>
                <c:pt idx="60">
                  <c:v>32.906982669999998</c:v>
                </c:pt>
                <c:pt idx="61">
                  <c:v>34.001598059999999</c:v>
                </c:pt>
                <c:pt idx="62">
                  <c:v>33.594117490000002</c:v>
                </c:pt>
                <c:pt idx="63">
                  <c:v>32.863698669999998</c:v>
                </c:pt>
                <c:pt idx="64">
                  <c:v>31.929528520000002</c:v>
                </c:pt>
                <c:pt idx="65">
                  <c:v>31.818754460000001</c:v>
                </c:pt>
                <c:pt idx="66">
                  <c:v>31.978542340000001</c:v>
                </c:pt>
                <c:pt idx="67">
                  <c:v>32.119359099999997</c:v>
                </c:pt>
                <c:pt idx="68">
                  <c:v>31.388270840000001</c:v>
                </c:pt>
                <c:pt idx="69">
                  <c:v>30.826170189999999</c:v>
                </c:pt>
                <c:pt idx="70">
                  <c:v>30.795057920000001</c:v>
                </c:pt>
                <c:pt idx="71">
                  <c:v>31.101263939999999</c:v>
                </c:pt>
                <c:pt idx="72">
                  <c:v>30.589301259999999</c:v>
                </c:pt>
                <c:pt idx="73">
                  <c:v>29.800246179999998</c:v>
                </c:pt>
                <c:pt idx="74">
                  <c:v>29.522743200000001</c:v>
                </c:pt>
                <c:pt idx="75">
                  <c:v>31.74014558</c:v>
                </c:pt>
                <c:pt idx="76">
                  <c:v>32.477372670000001</c:v>
                </c:pt>
                <c:pt idx="77">
                  <c:v>31.771021260000001</c:v>
                </c:pt>
                <c:pt idx="78">
                  <c:v>33.994098200000003</c:v>
                </c:pt>
                <c:pt idx="79">
                  <c:v>33.625050559999998</c:v>
                </c:pt>
                <c:pt idx="80">
                  <c:v>32.261598679999999</c:v>
                </c:pt>
                <c:pt idx="81">
                  <c:v>31.270556769999999</c:v>
                </c:pt>
                <c:pt idx="82">
                  <c:v>31.341742480000001</c:v>
                </c:pt>
                <c:pt idx="83">
                  <c:v>31.499305639999999</c:v>
                </c:pt>
                <c:pt idx="84">
                  <c:v>30.844746300000001</c:v>
                </c:pt>
                <c:pt idx="85">
                  <c:v>31.0929526</c:v>
                </c:pt>
                <c:pt idx="86">
                  <c:v>32.520759689999998</c:v>
                </c:pt>
                <c:pt idx="87">
                  <c:v>31.125154739999999</c:v>
                </c:pt>
                <c:pt idx="88">
                  <c:v>29.743116709999999</c:v>
                </c:pt>
                <c:pt idx="89">
                  <c:v>28.8351975</c:v>
                </c:pt>
                <c:pt idx="90">
                  <c:v>28.799934329999999</c:v>
                </c:pt>
                <c:pt idx="91">
                  <c:v>28.887370539999999</c:v>
                </c:pt>
                <c:pt idx="92">
                  <c:v>29.193154150000002</c:v>
                </c:pt>
                <c:pt idx="93">
                  <c:v>30.55840019</c:v>
                </c:pt>
                <c:pt idx="94">
                  <c:v>35.744805159999999</c:v>
                </c:pt>
                <c:pt idx="95">
                  <c:v>35.842524480000002</c:v>
                </c:pt>
                <c:pt idx="96">
                  <c:v>36.535171249999998</c:v>
                </c:pt>
                <c:pt idx="97">
                  <c:v>34.810315729999999</c:v>
                </c:pt>
                <c:pt idx="98">
                  <c:v>33.261872709999999</c:v>
                </c:pt>
                <c:pt idx="99">
                  <c:v>31.86671977</c:v>
                </c:pt>
                <c:pt idx="100">
                  <c:v>32.24562555</c:v>
                </c:pt>
                <c:pt idx="101">
                  <c:v>31.37779368</c:v>
                </c:pt>
                <c:pt idx="102">
                  <c:v>30.15338985</c:v>
                </c:pt>
                <c:pt idx="103">
                  <c:v>29.028954760000001</c:v>
                </c:pt>
                <c:pt idx="104">
                  <c:v>28.037238429999999</c:v>
                </c:pt>
                <c:pt idx="105">
                  <c:v>27.24554938</c:v>
                </c:pt>
                <c:pt idx="106">
                  <c:v>26.513923210000002</c:v>
                </c:pt>
                <c:pt idx="107">
                  <c:v>25.963983989999999</c:v>
                </c:pt>
                <c:pt idx="108">
                  <c:v>25.410947029999999</c:v>
                </c:pt>
                <c:pt idx="109">
                  <c:v>24.80153571</c:v>
                </c:pt>
                <c:pt idx="110">
                  <c:v>24.038942729999999</c:v>
                </c:pt>
                <c:pt idx="111">
                  <c:v>23.179958790000001</c:v>
                </c:pt>
                <c:pt idx="112">
                  <c:v>22.30171606</c:v>
                </c:pt>
                <c:pt idx="113">
                  <c:v>21.46442734</c:v>
                </c:pt>
                <c:pt idx="114">
                  <c:v>20.719359000000001</c:v>
                </c:pt>
                <c:pt idx="115">
                  <c:v>19.88384787</c:v>
                </c:pt>
                <c:pt idx="116">
                  <c:v>19.072466779999999</c:v>
                </c:pt>
                <c:pt idx="117">
                  <c:v>18.425209639999999</c:v>
                </c:pt>
                <c:pt idx="118">
                  <c:v>17.816724879999999</c:v>
                </c:pt>
                <c:pt idx="119">
                  <c:v>17.140961189999999</c:v>
                </c:pt>
                <c:pt idx="120">
                  <c:v>16.502159339999999</c:v>
                </c:pt>
                <c:pt idx="121">
                  <c:v>15.95645056</c:v>
                </c:pt>
                <c:pt idx="122">
                  <c:v>15.55499893</c:v>
                </c:pt>
                <c:pt idx="123">
                  <c:v>15.348166989999999</c:v>
                </c:pt>
                <c:pt idx="124">
                  <c:v>15.101807239999999</c:v>
                </c:pt>
                <c:pt idx="125">
                  <c:v>14.684364349999999</c:v>
                </c:pt>
                <c:pt idx="126">
                  <c:v>14.271982899999999</c:v>
                </c:pt>
                <c:pt idx="127">
                  <c:v>13.87031172</c:v>
                </c:pt>
                <c:pt idx="128">
                  <c:v>13.63980514</c:v>
                </c:pt>
                <c:pt idx="129">
                  <c:v>13.401795099999999</c:v>
                </c:pt>
                <c:pt idx="130">
                  <c:v>13.20122716</c:v>
                </c:pt>
                <c:pt idx="131">
                  <c:v>13.036760210000001</c:v>
                </c:pt>
                <c:pt idx="132">
                  <c:v>12.86473165</c:v>
                </c:pt>
                <c:pt idx="133">
                  <c:v>12.730354670000001</c:v>
                </c:pt>
                <c:pt idx="134">
                  <c:v>12.688782939999999</c:v>
                </c:pt>
                <c:pt idx="135">
                  <c:v>12.6080413</c:v>
                </c:pt>
                <c:pt idx="136">
                  <c:v>12.53482627</c:v>
                </c:pt>
                <c:pt idx="137">
                  <c:v>14.06551093</c:v>
                </c:pt>
                <c:pt idx="138">
                  <c:v>19.39806797</c:v>
                </c:pt>
                <c:pt idx="139">
                  <c:v>18.44004434</c:v>
                </c:pt>
                <c:pt idx="140">
                  <c:v>17.384240810000001</c:v>
                </c:pt>
                <c:pt idx="141">
                  <c:v>16.398364990000001</c:v>
                </c:pt>
                <c:pt idx="142">
                  <c:v>15.65534892</c:v>
                </c:pt>
                <c:pt idx="143">
                  <c:v>15.38024931</c:v>
                </c:pt>
                <c:pt idx="144">
                  <c:v>15.27167524</c:v>
                </c:pt>
                <c:pt idx="145">
                  <c:v>16.678517920000001</c:v>
                </c:pt>
                <c:pt idx="146">
                  <c:v>16.54071879</c:v>
                </c:pt>
                <c:pt idx="147">
                  <c:v>16.248685519999999</c:v>
                </c:pt>
                <c:pt idx="148">
                  <c:v>15.58995943</c:v>
                </c:pt>
                <c:pt idx="149">
                  <c:v>14.98981232</c:v>
                </c:pt>
                <c:pt idx="150">
                  <c:v>14.793556730000001</c:v>
                </c:pt>
                <c:pt idx="151">
                  <c:v>14.74284316</c:v>
                </c:pt>
                <c:pt idx="152">
                  <c:v>14.499666530000001</c:v>
                </c:pt>
                <c:pt idx="153">
                  <c:v>14.16781508</c:v>
                </c:pt>
                <c:pt idx="154">
                  <c:v>13.951461269999999</c:v>
                </c:pt>
                <c:pt idx="155">
                  <c:v>14.009044640000001</c:v>
                </c:pt>
                <c:pt idx="156">
                  <c:v>13.879249120000001</c:v>
                </c:pt>
                <c:pt idx="157">
                  <c:v>13.64750184</c:v>
                </c:pt>
                <c:pt idx="158">
                  <c:v>13.414761370000001</c:v>
                </c:pt>
                <c:pt idx="159">
                  <c:v>13.26942494</c:v>
                </c:pt>
                <c:pt idx="160">
                  <c:v>13.205224919999999</c:v>
                </c:pt>
                <c:pt idx="161">
                  <c:v>13.355707130000001</c:v>
                </c:pt>
                <c:pt idx="162">
                  <c:v>13.33863618</c:v>
                </c:pt>
                <c:pt idx="163">
                  <c:v>13.185748419999999</c:v>
                </c:pt>
                <c:pt idx="164">
                  <c:v>13.07836318</c:v>
                </c:pt>
                <c:pt idx="165">
                  <c:v>12.97803485</c:v>
                </c:pt>
                <c:pt idx="166">
                  <c:v>12.902941589999999</c:v>
                </c:pt>
                <c:pt idx="167">
                  <c:v>12.7998665</c:v>
                </c:pt>
                <c:pt idx="168">
                  <c:v>12.63004312</c:v>
                </c:pt>
                <c:pt idx="169">
                  <c:v>13.155723289999999</c:v>
                </c:pt>
                <c:pt idx="170">
                  <c:v>13.956676290000001</c:v>
                </c:pt>
                <c:pt idx="171">
                  <c:v>14.164007379999999</c:v>
                </c:pt>
                <c:pt idx="172">
                  <c:v>14.734635519999999</c:v>
                </c:pt>
                <c:pt idx="173">
                  <c:v>17.246028720000002</c:v>
                </c:pt>
                <c:pt idx="174">
                  <c:v>18.74071996</c:v>
                </c:pt>
                <c:pt idx="175">
                  <c:v>20.227284220000001</c:v>
                </c:pt>
                <c:pt idx="176">
                  <c:v>21.19711088</c:v>
                </c:pt>
                <c:pt idx="177">
                  <c:v>25.43261051</c:v>
                </c:pt>
                <c:pt idx="178">
                  <c:v>26.221159400000001</c:v>
                </c:pt>
                <c:pt idx="179">
                  <c:v>26.9255639</c:v>
                </c:pt>
                <c:pt idx="180">
                  <c:v>27.149733980000001</c:v>
                </c:pt>
                <c:pt idx="181">
                  <c:v>26.333475459999999</c:v>
                </c:pt>
                <c:pt idx="182">
                  <c:v>30.160870540000001</c:v>
                </c:pt>
                <c:pt idx="183">
                  <c:v>30.605315959999999</c:v>
                </c:pt>
                <c:pt idx="184">
                  <c:v>29.030152279999999</c:v>
                </c:pt>
                <c:pt idx="185">
                  <c:v>29.878552970000001</c:v>
                </c:pt>
                <c:pt idx="186">
                  <c:v>28.688791210000002</c:v>
                </c:pt>
                <c:pt idx="187">
                  <c:v>27.443521619999999</c:v>
                </c:pt>
                <c:pt idx="188">
                  <c:v>30.81375194</c:v>
                </c:pt>
                <c:pt idx="189">
                  <c:v>29.740374639999999</c:v>
                </c:pt>
                <c:pt idx="190">
                  <c:v>28.506178670000001</c:v>
                </c:pt>
                <c:pt idx="191">
                  <c:v>28.70995636</c:v>
                </c:pt>
                <c:pt idx="192">
                  <c:v>28.919571529999999</c:v>
                </c:pt>
                <c:pt idx="193">
                  <c:v>31.453605799999998</c:v>
                </c:pt>
                <c:pt idx="194">
                  <c:v>30.016890579999998</c:v>
                </c:pt>
                <c:pt idx="195">
                  <c:v>28.919413080000002</c:v>
                </c:pt>
                <c:pt idx="196">
                  <c:v>27.982316730000001</c:v>
                </c:pt>
                <c:pt idx="197">
                  <c:v>26.723444570000002</c:v>
                </c:pt>
                <c:pt idx="198">
                  <c:v>25.654445620000001</c:v>
                </c:pt>
                <c:pt idx="199">
                  <c:v>24.529209720000001</c:v>
                </c:pt>
                <c:pt idx="200">
                  <c:v>23.790099219999998</c:v>
                </c:pt>
                <c:pt idx="201">
                  <c:v>26.870676620000001</c:v>
                </c:pt>
                <c:pt idx="202">
                  <c:v>28.72701249</c:v>
                </c:pt>
                <c:pt idx="203">
                  <c:v>27.4028524</c:v>
                </c:pt>
                <c:pt idx="204">
                  <c:v>26.618773340000001</c:v>
                </c:pt>
                <c:pt idx="205">
                  <c:v>25.998387139999998</c:v>
                </c:pt>
                <c:pt idx="206">
                  <c:v>26.04747352</c:v>
                </c:pt>
                <c:pt idx="207">
                  <c:v>27.0953205</c:v>
                </c:pt>
                <c:pt idx="208">
                  <c:v>30.646697830000001</c:v>
                </c:pt>
                <c:pt idx="209">
                  <c:v>31.595901990000002</c:v>
                </c:pt>
                <c:pt idx="210">
                  <c:v>30.403008979999999</c:v>
                </c:pt>
                <c:pt idx="211">
                  <c:v>29.23940283</c:v>
                </c:pt>
                <c:pt idx="212">
                  <c:v>27.90781342</c:v>
                </c:pt>
                <c:pt idx="213">
                  <c:v>26.715938170000001</c:v>
                </c:pt>
                <c:pt idx="214">
                  <c:v>23.995684529999998</c:v>
                </c:pt>
                <c:pt idx="215">
                  <c:v>23.760118290000001</c:v>
                </c:pt>
                <c:pt idx="216">
                  <c:v>23.499634690000001</c:v>
                </c:pt>
                <c:pt idx="217">
                  <c:v>23.244947880000002</c:v>
                </c:pt>
                <c:pt idx="218">
                  <c:v>22.945815929999998</c:v>
                </c:pt>
                <c:pt idx="219">
                  <c:v>24.033854080000001</c:v>
                </c:pt>
                <c:pt idx="220">
                  <c:v>29.503924309999999</c:v>
                </c:pt>
                <c:pt idx="221">
                  <c:v>28.741324030000001</c:v>
                </c:pt>
                <c:pt idx="222">
                  <c:v>27.919506779999999</c:v>
                </c:pt>
                <c:pt idx="223">
                  <c:v>27.538497199999998</c:v>
                </c:pt>
                <c:pt idx="224">
                  <c:v>27.490689060000001</c:v>
                </c:pt>
                <c:pt idx="225">
                  <c:v>27.14942469</c:v>
                </c:pt>
                <c:pt idx="226">
                  <c:v>26.665504800000001</c:v>
                </c:pt>
                <c:pt idx="227">
                  <c:v>26.042132200000001</c:v>
                </c:pt>
                <c:pt idx="228">
                  <c:v>26.149474999999999</c:v>
                </c:pt>
                <c:pt idx="229">
                  <c:v>28.088133899999999</c:v>
                </c:pt>
                <c:pt idx="230">
                  <c:v>28.545911050000001</c:v>
                </c:pt>
                <c:pt idx="231">
                  <c:v>27.659907440000001</c:v>
                </c:pt>
                <c:pt idx="232">
                  <c:v>26.895821860000002</c:v>
                </c:pt>
                <c:pt idx="233">
                  <c:v>26.33744772</c:v>
                </c:pt>
                <c:pt idx="234">
                  <c:v>25.88715526</c:v>
                </c:pt>
                <c:pt idx="235">
                  <c:v>25.506677029999999</c:v>
                </c:pt>
                <c:pt idx="236">
                  <c:v>25.1910922</c:v>
                </c:pt>
                <c:pt idx="237">
                  <c:v>24.911594260000001</c:v>
                </c:pt>
                <c:pt idx="238">
                  <c:v>24.608016750000001</c:v>
                </c:pt>
                <c:pt idx="239">
                  <c:v>24.29053407</c:v>
                </c:pt>
                <c:pt idx="240">
                  <c:v>24.058565919999999</c:v>
                </c:pt>
                <c:pt idx="241">
                  <c:v>24.03752459</c:v>
                </c:pt>
                <c:pt idx="242">
                  <c:v>23.844232989999998</c:v>
                </c:pt>
                <c:pt idx="243">
                  <c:v>23.499316360000002</c:v>
                </c:pt>
                <c:pt idx="244">
                  <c:v>23.00752091</c:v>
                </c:pt>
                <c:pt idx="245">
                  <c:v>22.501762830000001</c:v>
                </c:pt>
                <c:pt idx="246">
                  <c:v>22.083467949999999</c:v>
                </c:pt>
                <c:pt idx="247">
                  <c:v>21.6097535</c:v>
                </c:pt>
                <c:pt idx="248">
                  <c:v>21.045787919999999</c:v>
                </c:pt>
                <c:pt idx="249">
                  <c:v>20.432457429999999</c:v>
                </c:pt>
                <c:pt idx="250">
                  <c:v>20.28138113</c:v>
                </c:pt>
                <c:pt idx="251">
                  <c:v>20.465845399999999</c:v>
                </c:pt>
                <c:pt idx="252">
                  <c:v>20.799153319999999</c:v>
                </c:pt>
                <c:pt idx="253">
                  <c:v>20.935620499999999</c:v>
                </c:pt>
                <c:pt idx="254">
                  <c:v>20.872744860000001</c:v>
                </c:pt>
                <c:pt idx="255">
                  <c:v>21.092916590000002</c:v>
                </c:pt>
                <c:pt idx="256">
                  <c:v>24.21043173</c:v>
                </c:pt>
                <c:pt idx="257">
                  <c:v>29.412694940000002</c:v>
                </c:pt>
                <c:pt idx="258">
                  <c:v>32.923101580000001</c:v>
                </c:pt>
                <c:pt idx="259">
                  <c:v>32.142210300000002</c:v>
                </c:pt>
                <c:pt idx="260">
                  <c:v>32.631385719999997</c:v>
                </c:pt>
                <c:pt idx="261">
                  <c:v>33.575521379999998</c:v>
                </c:pt>
                <c:pt idx="262">
                  <c:v>34.460600720000002</c:v>
                </c:pt>
                <c:pt idx="263">
                  <c:v>34.019314960000003</c:v>
                </c:pt>
                <c:pt idx="264">
                  <c:v>35.350378630000002</c:v>
                </c:pt>
                <c:pt idx="265">
                  <c:v>34.567769310000003</c:v>
                </c:pt>
                <c:pt idx="266">
                  <c:v>33.672264810000001</c:v>
                </c:pt>
                <c:pt idx="267">
                  <c:v>34.058262460000002</c:v>
                </c:pt>
                <c:pt idx="268">
                  <c:v>34.92788685</c:v>
                </c:pt>
                <c:pt idx="269">
                  <c:v>35.117848819999999</c:v>
                </c:pt>
                <c:pt idx="270">
                  <c:v>34.620813409999997</c:v>
                </c:pt>
                <c:pt idx="271">
                  <c:v>31.74342253</c:v>
                </c:pt>
                <c:pt idx="272">
                  <c:v>31.235518419999998</c:v>
                </c:pt>
                <c:pt idx="273">
                  <c:v>31.59212673</c:v>
                </c:pt>
                <c:pt idx="274">
                  <c:v>31.905589150000001</c:v>
                </c:pt>
                <c:pt idx="275">
                  <c:v>31.654561910000002</c:v>
                </c:pt>
                <c:pt idx="276">
                  <c:v>31.478487529999999</c:v>
                </c:pt>
                <c:pt idx="277">
                  <c:v>32.727696569999999</c:v>
                </c:pt>
                <c:pt idx="278">
                  <c:v>34.98550436</c:v>
                </c:pt>
                <c:pt idx="279">
                  <c:v>36.117573450000002</c:v>
                </c:pt>
                <c:pt idx="280">
                  <c:v>34.855615929999999</c:v>
                </c:pt>
                <c:pt idx="281">
                  <c:v>35.393371729999998</c:v>
                </c:pt>
                <c:pt idx="282">
                  <c:v>36.915412259999997</c:v>
                </c:pt>
                <c:pt idx="283">
                  <c:v>36.558969660000002</c:v>
                </c:pt>
                <c:pt idx="284">
                  <c:v>35.518264989999999</c:v>
                </c:pt>
                <c:pt idx="285">
                  <c:v>36.796886409999999</c:v>
                </c:pt>
                <c:pt idx="286">
                  <c:v>37.238481190000002</c:v>
                </c:pt>
                <c:pt idx="287">
                  <c:v>37.125405000000001</c:v>
                </c:pt>
                <c:pt idx="288">
                  <c:v>36.931095280000001</c:v>
                </c:pt>
                <c:pt idx="289">
                  <c:v>37.351921599999997</c:v>
                </c:pt>
                <c:pt idx="290">
                  <c:v>36.421603679999997</c:v>
                </c:pt>
                <c:pt idx="291">
                  <c:v>35.855795299999997</c:v>
                </c:pt>
                <c:pt idx="292">
                  <c:v>37.37423794</c:v>
                </c:pt>
                <c:pt idx="293">
                  <c:v>37.683946980000002</c:v>
                </c:pt>
                <c:pt idx="294">
                  <c:v>37.64589385</c:v>
                </c:pt>
                <c:pt idx="295">
                  <c:v>39.207286500000002</c:v>
                </c:pt>
                <c:pt idx="296">
                  <c:v>38.704357219999999</c:v>
                </c:pt>
                <c:pt idx="297">
                  <c:v>37.53459221</c:v>
                </c:pt>
                <c:pt idx="298">
                  <c:v>37.210148150000002</c:v>
                </c:pt>
                <c:pt idx="299">
                  <c:v>36.950075439999999</c:v>
                </c:pt>
                <c:pt idx="300">
                  <c:v>36.468271190000003</c:v>
                </c:pt>
                <c:pt idx="301">
                  <c:v>35.812876789999997</c:v>
                </c:pt>
                <c:pt idx="302">
                  <c:v>36.286495539999997</c:v>
                </c:pt>
                <c:pt idx="303">
                  <c:v>38.673361759999999</c:v>
                </c:pt>
                <c:pt idx="304">
                  <c:v>38.173596799999999</c:v>
                </c:pt>
                <c:pt idx="305">
                  <c:v>37.410789129999998</c:v>
                </c:pt>
                <c:pt idx="306">
                  <c:v>37.558192689999998</c:v>
                </c:pt>
                <c:pt idx="307">
                  <c:v>37.623209150000001</c:v>
                </c:pt>
                <c:pt idx="308">
                  <c:v>37.728612630000001</c:v>
                </c:pt>
                <c:pt idx="309">
                  <c:v>37.713047240000002</c:v>
                </c:pt>
                <c:pt idx="310">
                  <c:v>38.365532850000001</c:v>
                </c:pt>
                <c:pt idx="311">
                  <c:v>38.781087790000001</c:v>
                </c:pt>
                <c:pt idx="312">
                  <c:v>38.14940962</c:v>
                </c:pt>
                <c:pt idx="313">
                  <c:v>37.960801660000001</c:v>
                </c:pt>
                <c:pt idx="314">
                  <c:v>37.600125970000001</c:v>
                </c:pt>
                <c:pt idx="315">
                  <c:v>37.237026499999999</c:v>
                </c:pt>
                <c:pt idx="316">
                  <c:v>36.872246820000001</c:v>
                </c:pt>
                <c:pt idx="317">
                  <c:v>37.155280279999999</c:v>
                </c:pt>
                <c:pt idx="318">
                  <c:v>38.76422702</c:v>
                </c:pt>
                <c:pt idx="319">
                  <c:v>38.927309649999998</c:v>
                </c:pt>
                <c:pt idx="320">
                  <c:v>40.093474360000002</c:v>
                </c:pt>
                <c:pt idx="321">
                  <c:v>39.60422775</c:v>
                </c:pt>
                <c:pt idx="322">
                  <c:v>39.312630050000003</c:v>
                </c:pt>
                <c:pt idx="323">
                  <c:v>39.546169089999999</c:v>
                </c:pt>
                <c:pt idx="324">
                  <c:v>39.294561420000001</c:v>
                </c:pt>
                <c:pt idx="325">
                  <c:v>38.67469097</c:v>
                </c:pt>
                <c:pt idx="326">
                  <c:v>38.110974339999999</c:v>
                </c:pt>
                <c:pt idx="327">
                  <c:v>38.132267229999997</c:v>
                </c:pt>
                <c:pt idx="328">
                  <c:v>38.722027060000002</c:v>
                </c:pt>
                <c:pt idx="329">
                  <c:v>38.196578279999997</c:v>
                </c:pt>
                <c:pt idx="330">
                  <c:v>37.759045780000001</c:v>
                </c:pt>
                <c:pt idx="331">
                  <c:v>39.355045709999999</c:v>
                </c:pt>
                <c:pt idx="332">
                  <c:v>39.567961150000002</c:v>
                </c:pt>
                <c:pt idx="333">
                  <c:v>40.1073418</c:v>
                </c:pt>
                <c:pt idx="334">
                  <c:v>39.226900909999998</c:v>
                </c:pt>
                <c:pt idx="335">
                  <c:v>39.728472600000003</c:v>
                </c:pt>
                <c:pt idx="336">
                  <c:v>39.605874710000002</c:v>
                </c:pt>
                <c:pt idx="337">
                  <c:v>38.854525459999998</c:v>
                </c:pt>
                <c:pt idx="338">
                  <c:v>38.74041587</c:v>
                </c:pt>
                <c:pt idx="339">
                  <c:v>38.754279920000002</c:v>
                </c:pt>
                <c:pt idx="340">
                  <c:v>38.76722934</c:v>
                </c:pt>
                <c:pt idx="341">
                  <c:v>38.743127479999998</c:v>
                </c:pt>
                <c:pt idx="342">
                  <c:v>38.719025619999996</c:v>
                </c:pt>
                <c:pt idx="343">
                  <c:v>38.694923760000002</c:v>
                </c:pt>
                <c:pt idx="344">
                  <c:v>38.6708219</c:v>
                </c:pt>
                <c:pt idx="345">
                  <c:v>38.646720039999998</c:v>
                </c:pt>
                <c:pt idx="346">
                  <c:v>38.622618180000003</c:v>
                </c:pt>
                <c:pt idx="347">
                  <c:v>38.598516320000002</c:v>
                </c:pt>
                <c:pt idx="348">
                  <c:v>38.57441446</c:v>
                </c:pt>
                <c:pt idx="349">
                  <c:v>38.550312599999998</c:v>
                </c:pt>
                <c:pt idx="350">
                  <c:v>38.526210740000003</c:v>
                </c:pt>
                <c:pt idx="351">
                  <c:v>38.502108880000002</c:v>
                </c:pt>
                <c:pt idx="352">
                  <c:v>38.197763899999998</c:v>
                </c:pt>
                <c:pt idx="353">
                  <c:v>37.998883200000002</c:v>
                </c:pt>
                <c:pt idx="354">
                  <c:v>37.558789279999999</c:v>
                </c:pt>
                <c:pt idx="355">
                  <c:v>38.2315015</c:v>
                </c:pt>
                <c:pt idx="356">
                  <c:v>37.930594110000001</c:v>
                </c:pt>
                <c:pt idx="357">
                  <c:v>37.203320869999999</c:v>
                </c:pt>
                <c:pt idx="358">
                  <c:v>36.865305650000003</c:v>
                </c:pt>
                <c:pt idx="359">
                  <c:v>36.632093419999997</c:v>
                </c:pt>
                <c:pt idx="360">
                  <c:v>36.316992310000003</c:v>
                </c:pt>
              </c:numCache>
            </c:numRef>
          </c:xVal>
          <c:yVal>
            <c:numRef>
              <c:f>selhausen_SM_Kdose_daily!$E$8:$E$400</c:f>
              <c:numCache>
                <c:formatCode>General</c:formatCode>
                <c:ptCount val="393"/>
                <c:pt idx="0">
                  <c:v>38.958197533908731</c:v>
                </c:pt>
                <c:pt idx="1">
                  <c:v>38.712183748458678</c:v>
                </c:pt>
                <c:pt idx="2">
                  <c:v>38.417968212083842</c:v>
                </c:pt>
                <c:pt idx="3">
                  <c:v>38.393183995067808</c:v>
                </c:pt>
                <c:pt idx="4">
                  <c:v>38.213981368680621</c:v>
                </c:pt>
                <c:pt idx="5">
                  <c:v>37.522448286066584</c:v>
                </c:pt>
                <c:pt idx="6">
                  <c:v>36.825044525277413</c:v>
                </c:pt>
                <c:pt idx="7">
                  <c:v>36.078563847102338</c:v>
                </c:pt>
                <c:pt idx="8">
                  <c:v>35.598455265104796</c:v>
                </c:pt>
                <c:pt idx="9">
                  <c:v>34.66090678175091</c:v>
                </c:pt>
                <c:pt idx="10">
                  <c:v>34.559260419235493</c:v>
                </c:pt>
                <c:pt idx="11">
                  <c:v>33.827062515413054</c:v>
                </c:pt>
                <c:pt idx="12">
                  <c:v>34.102123057953129</c:v>
                </c:pt>
                <c:pt idx="13">
                  <c:v>34.626909494451283</c:v>
                </c:pt>
                <c:pt idx="14">
                  <c:v>35.742630271270016</c:v>
                </c:pt>
                <c:pt idx="15">
                  <c:v>35.662054167694187</c:v>
                </c:pt>
                <c:pt idx="16">
                  <c:v>34.717855240443875</c:v>
                </c:pt>
                <c:pt idx="17">
                  <c:v>34.766417755856956</c:v>
                </c:pt>
                <c:pt idx="18">
                  <c:v>36.177284562268788</c:v>
                </c:pt>
                <c:pt idx="19">
                  <c:v>37.902752083847091</c:v>
                </c:pt>
                <c:pt idx="20">
                  <c:v>38.20868441430332</c:v>
                </c:pt>
                <c:pt idx="21">
                  <c:v>37.327190937114651</c:v>
                </c:pt>
                <c:pt idx="22">
                  <c:v>36.39721194821206</c:v>
                </c:pt>
                <c:pt idx="23">
                  <c:v>35.844970197287289</c:v>
                </c:pt>
                <c:pt idx="24">
                  <c:v>35.467418483353882</c:v>
                </c:pt>
                <c:pt idx="25">
                  <c:v>35.229449235511701</c:v>
                </c:pt>
                <c:pt idx="26">
                  <c:v>35.119605425400721</c:v>
                </c:pt>
                <c:pt idx="27">
                  <c:v>35.268201689272487</c:v>
                </c:pt>
                <c:pt idx="28">
                  <c:v>35.437040456226882</c:v>
                </c:pt>
                <c:pt idx="29">
                  <c:v>37.180786757090004</c:v>
                </c:pt>
                <c:pt idx="30">
                  <c:v>40.85800852034523</c:v>
                </c:pt>
                <c:pt idx="31">
                  <c:v>42.326805610357574</c:v>
                </c:pt>
                <c:pt idx="32">
                  <c:v>41.96988742293464</c:v>
                </c:pt>
                <c:pt idx="33">
                  <c:v>39.346891701602949</c:v>
                </c:pt>
                <c:pt idx="34">
                  <c:v>38.839122367447594</c:v>
                </c:pt>
                <c:pt idx="35">
                  <c:v>37.428720826140555</c:v>
                </c:pt>
                <c:pt idx="36">
                  <c:v>37.850795264943685</c:v>
                </c:pt>
                <c:pt idx="37">
                  <c:v>38.376893877795688</c:v>
                </c:pt>
                <c:pt idx="38">
                  <c:v>38.961194360936616</c:v>
                </c:pt>
                <c:pt idx="39">
                  <c:v>36.835019948354137</c:v>
                </c:pt>
                <c:pt idx="40">
                  <c:v>34.423818150854686</c:v>
                </c:pt>
                <c:pt idx="41">
                  <c:v>33.866693126041277</c:v>
                </c:pt>
                <c:pt idx="42">
                  <c:v>34.46923047944275</c:v>
                </c:pt>
                <c:pt idx="43">
                  <c:v>35.291584222756015</c:v>
                </c:pt>
                <c:pt idx="44">
                  <c:v>35.035492605446365</c:v>
                </c:pt>
                <c:pt idx="45">
                  <c:v>34.39887492808716</c:v>
                </c:pt>
                <c:pt idx="46">
                  <c:v>33.875517098456619</c:v>
                </c:pt>
                <c:pt idx="47">
                  <c:v>34.359280902985539</c:v>
                </c:pt>
                <c:pt idx="48">
                  <c:v>36.216217509915914</c:v>
                </c:pt>
                <c:pt idx="49">
                  <c:v>37.982275035672835</c:v>
                </c:pt>
                <c:pt idx="50">
                  <c:v>38.268961072229324</c:v>
                </c:pt>
                <c:pt idx="51">
                  <c:v>36.927545618542105</c:v>
                </c:pt>
                <c:pt idx="52">
                  <c:v>35.896725316660749</c:v>
                </c:pt>
                <c:pt idx="53">
                  <c:v>35.978395890041178</c:v>
                </c:pt>
                <c:pt idx="54">
                  <c:v>37.76046920990963</c:v>
                </c:pt>
                <c:pt idx="55">
                  <c:v>38.984867617330522</c:v>
                </c:pt>
                <c:pt idx="56">
                  <c:v>39.203069157684475</c:v>
                </c:pt>
                <c:pt idx="57">
                  <c:v>37.873843643186646</c:v>
                </c:pt>
                <c:pt idx="58">
                  <c:v>36.043686356769783</c:v>
                </c:pt>
                <c:pt idx="59">
                  <c:v>35.536895567613925</c:v>
                </c:pt>
                <c:pt idx="60">
                  <c:v>36.662679198461667</c:v>
                </c:pt>
                <c:pt idx="61">
                  <c:v>37.4757772281191</c:v>
                </c:pt>
                <c:pt idx="62">
                  <c:v>37.014262797189417</c:v>
                </c:pt>
                <c:pt idx="63">
                  <c:v>35.10582194442911</c:v>
                </c:pt>
                <c:pt idx="64">
                  <c:v>33.770288124542738</c:v>
                </c:pt>
                <c:pt idx="65">
                  <c:v>34.508915245048641</c:v>
                </c:pt>
                <c:pt idx="66">
                  <c:v>35.496393309863812</c:v>
                </c:pt>
                <c:pt idx="67">
                  <c:v>34.995624677536433</c:v>
                </c:pt>
                <c:pt idx="68">
                  <c:v>33.827076147550933</c:v>
                </c:pt>
                <c:pt idx="69">
                  <c:v>34.300325792910485</c:v>
                </c:pt>
                <c:pt idx="70">
                  <c:v>34.70135386509974</c:v>
                </c:pt>
                <c:pt idx="71">
                  <c:v>34.646711322040296</c:v>
                </c:pt>
                <c:pt idx="72">
                  <c:v>33.421798198977612</c:v>
                </c:pt>
                <c:pt idx="73">
                  <c:v>33.048861051396607</c:v>
                </c:pt>
                <c:pt idx="74">
                  <c:v>33.621876070131989</c:v>
                </c:pt>
                <c:pt idx="75">
                  <c:v>34.090284508950084</c:v>
                </c:pt>
                <c:pt idx="76">
                  <c:v>33.741920939915282</c:v>
                </c:pt>
                <c:pt idx="77">
                  <c:v>35.153523671439551</c:v>
                </c:pt>
                <c:pt idx="78">
                  <c:v>36.185626677142004</c:v>
                </c:pt>
                <c:pt idx="79">
                  <c:v>36.750583525571059</c:v>
                </c:pt>
                <c:pt idx="80">
                  <c:v>35.106673610445498</c:v>
                </c:pt>
                <c:pt idx="81">
                  <c:v>33.165619623619889</c:v>
                </c:pt>
                <c:pt idx="82">
                  <c:v>33.399170744136754</c:v>
                </c:pt>
                <c:pt idx="83">
                  <c:v>32.81269285120684</c:v>
                </c:pt>
                <c:pt idx="84">
                  <c:v>32.870062462296289</c:v>
                </c:pt>
                <c:pt idx="85">
                  <c:v>33.255595972213584</c:v>
                </c:pt>
                <c:pt idx="86">
                  <c:v>33.745237229626099</c:v>
                </c:pt>
                <c:pt idx="87">
                  <c:v>32.327702243429236</c:v>
                </c:pt>
                <c:pt idx="88">
                  <c:v>29.918071592221303</c:v>
                </c:pt>
                <c:pt idx="89">
                  <c:v>28.396489856537261</c:v>
                </c:pt>
                <c:pt idx="90">
                  <c:v>28.538929479940823</c:v>
                </c:pt>
                <c:pt idx="91">
                  <c:v>28.609732688320612</c:v>
                </c:pt>
                <c:pt idx="92">
                  <c:v>28.746105185248915</c:v>
                </c:pt>
                <c:pt idx="93">
                  <c:v>31.497039460746944</c:v>
                </c:pt>
                <c:pt idx="94">
                  <c:v>33.931179911663122</c:v>
                </c:pt>
                <c:pt idx="95">
                  <c:v>35.795922654564698</c:v>
                </c:pt>
                <c:pt idx="96">
                  <c:v>35.084925192172477</c:v>
                </c:pt>
                <c:pt idx="97">
                  <c:v>33.357437054223702</c:v>
                </c:pt>
                <c:pt idx="98">
                  <c:v>32.643967770418854</c:v>
                </c:pt>
                <c:pt idx="99">
                  <c:v>33.729429996909126</c:v>
                </c:pt>
                <c:pt idx="100">
                  <c:v>34.362508282865782</c:v>
                </c:pt>
                <c:pt idx="101">
                  <c:v>33.766051345775864</c:v>
                </c:pt>
                <c:pt idx="102">
                  <c:v>30.68753446583813</c:v>
                </c:pt>
                <c:pt idx="103">
                  <c:v>28.787610761519957</c:v>
                </c:pt>
                <c:pt idx="104">
                  <c:v>26.621507857327234</c:v>
                </c:pt>
                <c:pt idx="105">
                  <c:v>25.773095708570402</c:v>
                </c:pt>
                <c:pt idx="106">
                  <c:v>25.91682429185051</c:v>
                </c:pt>
                <c:pt idx="107">
                  <c:v>27.328730068172238</c:v>
                </c:pt>
                <c:pt idx="108">
                  <c:v>26.985611961212665</c:v>
                </c:pt>
                <c:pt idx="109">
                  <c:v>26.018271102858435</c:v>
                </c:pt>
                <c:pt idx="110">
                  <c:v>24.037820511753413</c:v>
                </c:pt>
                <c:pt idx="111">
                  <c:v>22.239795666780537</c:v>
                </c:pt>
                <c:pt idx="112">
                  <c:v>20.65997158549655</c:v>
                </c:pt>
                <c:pt idx="113">
                  <c:v>19.89322010347756</c:v>
                </c:pt>
                <c:pt idx="114">
                  <c:v>19.350020601515141</c:v>
                </c:pt>
                <c:pt idx="115">
                  <c:v>18.365203178168976</c:v>
                </c:pt>
                <c:pt idx="116">
                  <c:v>18.143753306951027</c:v>
                </c:pt>
                <c:pt idx="117">
                  <c:v>18.026029876065419</c:v>
                </c:pt>
                <c:pt idx="118">
                  <c:v>16.365591940605853</c:v>
                </c:pt>
                <c:pt idx="119">
                  <c:v>13.555780971927758</c:v>
                </c:pt>
                <c:pt idx="120">
                  <c:v>12.08740150022866</c:v>
                </c:pt>
                <c:pt idx="121">
                  <c:v>12.296569758153478</c:v>
                </c:pt>
                <c:pt idx="122">
                  <c:v>12.371577783407842</c:v>
                </c:pt>
                <c:pt idx="123">
                  <c:v>12.480135145795664</c:v>
                </c:pt>
                <c:pt idx="124">
                  <c:v>11.077750127346356</c:v>
                </c:pt>
                <c:pt idx="125">
                  <c:v>9.7091187680054034</c:v>
                </c:pt>
                <c:pt idx="126">
                  <c:v>8.3213919763156703</c:v>
                </c:pt>
                <c:pt idx="127">
                  <c:v>7.823222095956174</c:v>
                </c:pt>
                <c:pt idx="128">
                  <c:v>7.7052876170302103</c:v>
                </c:pt>
                <c:pt idx="129">
                  <c:v>7.9922695105884234</c:v>
                </c:pt>
                <c:pt idx="130">
                  <c:v>7.6067470459606623</c:v>
                </c:pt>
                <c:pt idx="131">
                  <c:v>6.8859927637697096</c:v>
                </c:pt>
                <c:pt idx="132">
                  <c:v>5.3417499562452955</c:v>
                </c:pt>
                <c:pt idx="133">
                  <c:v>4.1651789999525635</c:v>
                </c:pt>
                <c:pt idx="134">
                  <c:v>3.2484059680748438</c:v>
                </c:pt>
                <c:pt idx="135">
                  <c:v>3.2090991436418181</c:v>
                </c:pt>
                <c:pt idx="136">
                  <c:v>6.5938420289758515</c:v>
                </c:pt>
                <c:pt idx="137">
                  <c:v>13.062313804415179</c:v>
                </c:pt>
                <c:pt idx="138">
                  <c:v>18.521725438038455</c:v>
                </c:pt>
                <c:pt idx="139">
                  <c:v>19.569198768365315</c:v>
                </c:pt>
                <c:pt idx="140">
                  <c:v>17.301987748532405</c:v>
                </c:pt>
                <c:pt idx="141">
                  <c:v>16.045075506694833</c:v>
                </c:pt>
                <c:pt idx="142">
                  <c:v>16.343014075889375</c:v>
                </c:pt>
                <c:pt idx="143">
                  <c:v>16.248689913738005</c:v>
                </c:pt>
                <c:pt idx="144">
                  <c:v>17.945394841914066</c:v>
                </c:pt>
                <c:pt idx="145">
                  <c:v>19.118443814808671</c:v>
                </c:pt>
                <c:pt idx="146">
                  <c:v>20.101336505885747</c:v>
                </c:pt>
                <c:pt idx="147">
                  <c:v>18.619444011010586</c:v>
                </c:pt>
                <c:pt idx="148">
                  <c:v>16.590751128531313</c:v>
                </c:pt>
                <c:pt idx="149">
                  <c:v>16.973065069202882</c:v>
                </c:pt>
                <c:pt idx="150">
                  <c:v>17.132715024019745</c:v>
                </c:pt>
                <c:pt idx="151">
                  <c:v>15.994542652891452</c:v>
                </c:pt>
                <c:pt idx="152">
                  <c:v>12.228608387625332</c:v>
                </c:pt>
                <c:pt idx="153">
                  <c:v>9.3099220157273184</c:v>
                </c:pt>
                <c:pt idx="154">
                  <c:v>8.5131730580726739</c:v>
                </c:pt>
                <c:pt idx="155">
                  <c:v>7.9746434011268672</c:v>
                </c:pt>
                <c:pt idx="156">
                  <c:v>8.2637702272626754</c:v>
                </c:pt>
                <c:pt idx="157">
                  <c:v>7.5002488367326459</c:v>
                </c:pt>
                <c:pt idx="158">
                  <c:v>6.7387916072762115</c:v>
                </c:pt>
                <c:pt idx="159">
                  <c:v>6.2906296620655366</c:v>
                </c:pt>
                <c:pt idx="160">
                  <c:v>6.8754814128897186</c:v>
                </c:pt>
                <c:pt idx="161">
                  <c:v>8.0480336442184104</c:v>
                </c:pt>
                <c:pt idx="162">
                  <c:v>8.5427900619286419</c:v>
                </c:pt>
                <c:pt idx="163">
                  <c:v>7.8049101604480429</c:v>
                </c:pt>
                <c:pt idx="164">
                  <c:v>7.4260239969745925</c:v>
                </c:pt>
                <c:pt idx="165">
                  <c:v>8.7278898767285291</c:v>
                </c:pt>
                <c:pt idx="166">
                  <c:v>8.6817545593710026</c:v>
                </c:pt>
                <c:pt idx="167">
                  <c:v>8.5785146369946563</c:v>
                </c:pt>
                <c:pt idx="168">
                  <c:v>9.3061551200886115</c:v>
                </c:pt>
                <c:pt idx="169">
                  <c:v>12.935757812946461</c:v>
                </c:pt>
                <c:pt idx="170">
                  <c:v>15.871820678049193</c:v>
                </c:pt>
                <c:pt idx="171">
                  <c:v>18.492530069617512</c:v>
                </c:pt>
                <c:pt idx="172">
                  <c:v>19.369416390868153</c:v>
                </c:pt>
                <c:pt idx="173">
                  <c:v>21.566401815028968</c:v>
                </c:pt>
                <c:pt idx="174">
                  <c:v>22.44722498129973</c:v>
                </c:pt>
                <c:pt idx="175">
                  <c:v>24.209477883057808</c:v>
                </c:pt>
                <c:pt idx="176">
                  <c:v>26.046087566414389</c:v>
                </c:pt>
                <c:pt idx="177">
                  <c:v>26.95631353577599</c:v>
                </c:pt>
                <c:pt idx="178">
                  <c:v>28.142324176662193</c:v>
                </c:pt>
                <c:pt idx="179">
                  <c:v>28.183936003940637</c:v>
                </c:pt>
                <c:pt idx="180">
                  <c:v>27.930028713700558</c:v>
                </c:pt>
                <c:pt idx="181">
                  <c:v>29.384025296959461</c:v>
                </c:pt>
                <c:pt idx="182">
                  <c:v>30.903511412574911</c:v>
                </c:pt>
                <c:pt idx="183">
                  <c:v>32.30461631408577</c:v>
                </c:pt>
                <c:pt idx="184">
                  <c:v>30.81649293757814</c:v>
                </c:pt>
                <c:pt idx="185">
                  <c:v>28.46950806361804</c:v>
                </c:pt>
                <c:pt idx="186">
                  <c:v>26.256896332741668</c:v>
                </c:pt>
                <c:pt idx="187">
                  <c:v>25.989287802852921</c:v>
                </c:pt>
                <c:pt idx="188">
                  <c:v>26.786370426282755</c:v>
                </c:pt>
                <c:pt idx="189">
                  <c:v>27.041900627832465</c:v>
                </c:pt>
                <c:pt idx="190">
                  <c:v>25.627045193517016</c:v>
                </c:pt>
                <c:pt idx="191">
                  <c:v>24.996616208059805</c:v>
                </c:pt>
                <c:pt idx="192">
                  <c:v>27.283703500734955</c:v>
                </c:pt>
                <c:pt idx="193">
                  <c:v>27.659893062931893</c:v>
                </c:pt>
                <c:pt idx="194">
                  <c:v>26.824232838013092</c:v>
                </c:pt>
                <c:pt idx="195">
                  <c:v>24.470982214422406</c:v>
                </c:pt>
                <c:pt idx="196">
                  <c:v>23.883661536252518</c:v>
                </c:pt>
                <c:pt idx="197">
                  <c:v>25.475436128236741</c:v>
                </c:pt>
                <c:pt idx="198">
                  <c:v>24.240578051787903</c:v>
                </c:pt>
                <c:pt idx="199">
                  <c:v>23.619240073982727</c:v>
                </c:pt>
                <c:pt idx="200">
                  <c:v>25.412582244143017</c:v>
                </c:pt>
                <c:pt idx="201">
                  <c:v>28.549187669543759</c:v>
                </c:pt>
                <c:pt idx="202">
                  <c:v>30.754889395807631</c:v>
                </c:pt>
                <c:pt idx="203">
                  <c:v>30.850062268803942</c:v>
                </c:pt>
                <c:pt idx="204">
                  <c:v>30.389025893958063</c:v>
                </c:pt>
                <c:pt idx="205">
                  <c:v>30.913669667077677</c:v>
                </c:pt>
                <c:pt idx="206">
                  <c:v>31.691130579531421</c:v>
                </c:pt>
                <c:pt idx="207">
                  <c:v>33.335950678175088</c:v>
                </c:pt>
                <c:pt idx="208">
                  <c:v>33.058152897657195</c:v>
                </c:pt>
                <c:pt idx="209">
                  <c:v>32.50556584463623</c:v>
                </c:pt>
                <c:pt idx="210">
                  <c:v>30.074422318125759</c:v>
                </c:pt>
                <c:pt idx="211">
                  <c:v>27.515698520345243</c:v>
                </c:pt>
                <c:pt idx="212">
                  <c:v>24.043407768187411</c:v>
                </c:pt>
                <c:pt idx="213">
                  <c:v>20.447267324290983</c:v>
                </c:pt>
                <c:pt idx="214">
                  <c:v>17.240757829839691</c:v>
                </c:pt>
                <c:pt idx="215">
                  <c:v>15.31347040690504</c:v>
                </c:pt>
                <c:pt idx="216">
                  <c:v>13.308812330456206</c:v>
                </c:pt>
                <c:pt idx="217">
                  <c:v>12.104115289765719</c:v>
                </c:pt>
                <c:pt idx="218">
                  <c:v>12.384787299630071</c:v>
                </c:pt>
                <c:pt idx="219">
                  <c:v>18.576000739827368</c:v>
                </c:pt>
                <c:pt idx="220">
                  <c:v>24.577790382244135</c:v>
                </c:pt>
                <c:pt idx="221">
                  <c:v>28.100767200986436</c:v>
                </c:pt>
                <c:pt idx="222">
                  <c:v>24.629826633785434</c:v>
                </c:pt>
                <c:pt idx="223">
                  <c:v>22.276370653514178</c:v>
                </c:pt>
                <c:pt idx="224">
                  <c:v>21.485283353884085</c:v>
                </c:pt>
                <c:pt idx="225">
                  <c:v>23.04008828606657</c:v>
                </c:pt>
                <c:pt idx="226">
                  <c:v>22.364721824907505</c:v>
                </c:pt>
                <c:pt idx="227">
                  <c:v>22.135303945745971</c:v>
                </c:pt>
                <c:pt idx="228">
                  <c:v>24.497893588162739</c:v>
                </c:pt>
                <c:pt idx="229">
                  <c:v>28.010418125770641</c:v>
                </c:pt>
                <c:pt idx="230">
                  <c:v>29.618360912453742</c:v>
                </c:pt>
                <c:pt idx="231">
                  <c:v>26.906859432799006</c:v>
                </c:pt>
                <c:pt idx="232">
                  <c:v>24.187656966707756</c:v>
                </c:pt>
                <c:pt idx="233">
                  <c:v>21.805224414303311</c:v>
                </c:pt>
                <c:pt idx="234">
                  <c:v>20.065868064118362</c:v>
                </c:pt>
                <c:pt idx="235">
                  <c:v>19.52711849568432</c:v>
                </c:pt>
                <c:pt idx="236">
                  <c:v>20.268775462392103</c:v>
                </c:pt>
                <c:pt idx="237">
                  <c:v>20.644697287299614</c:v>
                </c:pt>
                <c:pt idx="238">
                  <c:v>19.477417016029573</c:v>
                </c:pt>
                <c:pt idx="239">
                  <c:v>19.650034771886542</c:v>
                </c:pt>
                <c:pt idx="240">
                  <c:v>21.150365967940807</c:v>
                </c:pt>
                <c:pt idx="241">
                  <c:v>23.223041430332916</c:v>
                </c:pt>
                <c:pt idx="242">
                  <c:v>23.034051418002466</c:v>
                </c:pt>
                <c:pt idx="243">
                  <c:v>21.377817139334148</c:v>
                </c:pt>
                <c:pt idx="244">
                  <c:v>19.540747595561022</c:v>
                </c:pt>
                <c:pt idx="245">
                  <c:v>18.107066584463606</c:v>
                </c:pt>
                <c:pt idx="246">
                  <c:v>17.579400123304548</c:v>
                </c:pt>
                <c:pt idx="247">
                  <c:v>16.176882120838457</c:v>
                </c:pt>
                <c:pt idx="248">
                  <c:v>16.227885080147956</c:v>
                </c:pt>
                <c:pt idx="249">
                  <c:v>15.796164981504299</c:v>
                </c:pt>
                <c:pt idx="250">
                  <c:v>20.578315536374827</c:v>
                </c:pt>
                <c:pt idx="251">
                  <c:v>24.900397287299619</c:v>
                </c:pt>
                <c:pt idx="252">
                  <c:v>29.676933538840917</c:v>
                </c:pt>
                <c:pt idx="253">
                  <c:v>29.817454993834755</c:v>
                </c:pt>
                <c:pt idx="254">
                  <c:v>28.515270406905053</c:v>
                </c:pt>
                <c:pt idx="255">
                  <c:v>28.680946609124515</c:v>
                </c:pt>
                <c:pt idx="256">
                  <c:v>30.226124044389632</c:v>
                </c:pt>
                <c:pt idx="257">
                  <c:v>32.800346485819958</c:v>
                </c:pt>
                <c:pt idx="258">
                  <c:v>34.55195055487053</c:v>
                </c:pt>
                <c:pt idx="259">
                  <c:v>35.878559272503068</c:v>
                </c:pt>
                <c:pt idx="260">
                  <c:v>36.541298471023417</c:v>
                </c:pt>
                <c:pt idx="261">
                  <c:v>37.083932725030813</c:v>
                </c:pt>
                <c:pt idx="262">
                  <c:v>37.793817077681851</c:v>
                </c:pt>
                <c:pt idx="263">
                  <c:v>38.499812762022174</c:v>
                </c:pt>
                <c:pt idx="264">
                  <c:v>38.762365844636243</c:v>
                </c:pt>
                <c:pt idx="265">
                  <c:v>37.835625314426615</c:v>
                </c:pt>
                <c:pt idx="266">
                  <c:v>37.345820776818741</c:v>
                </c:pt>
                <c:pt idx="267">
                  <c:v>36.929616498150409</c:v>
                </c:pt>
                <c:pt idx="268">
                  <c:v>37.831749210850802</c:v>
                </c:pt>
                <c:pt idx="269">
                  <c:v>37.866808803945737</c:v>
                </c:pt>
                <c:pt idx="270">
                  <c:v>37.773422725030819</c:v>
                </c:pt>
                <c:pt idx="271">
                  <c:v>37.411695092478404</c:v>
                </c:pt>
                <c:pt idx="272">
                  <c:v>37.84645442663377</c:v>
                </c:pt>
                <c:pt idx="273">
                  <c:v>38.499763094944498</c:v>
                </c:pt>
                <c:pt idx="274">
                  <c:v>38.604514882860656</c:v>
                </c:pt>
                <c:pt idx="275">
                  <c:v>38.093508816276184</c:v>
                </c:pt>
                <c:pt idx="276">
                  <c:v>38.10363577065349</c:v>
                </c:pt>
                <c:pt idx="277">
                  <c:v>38.983850530209594</c:v>
                </c:pt>
                <c:pt idx="278">
                  <c:v>40.726343785450048</c:v>
                </c:pt>
                <c:pt idx="279">
                  <c:v>41.722630382244134</c:v>
                </c:pt>
                <c:pt idx="280">
                  <c:v>41.652035672009859</c:v>
                </c:pt>
                <c:pt idx="281">
                  <c:v>41.326474512946959</c:v>
                </c:pt>
                <c:pt idx="282">
                  <c:v>40.861941701602952</c:v>
                </c:pt>
                <c:pt idx="283">
                  <c:v>40.981258853267548</c:v>
                </c:pt>
                <c:pt idx="284">
                  <c:v>41.172303859432787</c:v>
                </c:pt>
                <c:pt idx="285">
                  <c:v>41.741953810110957</c:v>
                </c:pt>
                <c:pt idx="286">
                  <c:v>41.263649124537594</c:v>
                </c:pt>
                <c:pt idx="287">
                  <c:v>40.908865943279892</c:v>
                </c:pt>
                <c:pt idx="288">
                  <c:v>41.000779210850801</c:v>
                </c:pt>
                <c:pt idx="289">
                  <c:v>41.866651257706529</c:v>
                </c:pt>
                <c:pt idx="290">
                  <c:v>41.756527718865591</c:v>
                </c:pt>
                <c:pt idx="291">
                  <c:v>42.429037077681855</c:v>
                </c:pt>
                <c:pt idx="292">
                  <c:v>42.932656300863123</c:v>
                </c:pt>
                <c:pt idx="293">
                  <c:v>43.812985228113419</c:v>
                </c:pt>
                <c:pt idx="294">
                  <c:v>43.308929309494445</c:v>
                </c:pt>
                <c:pt idx="295">
                  <c:v>43.383497163995052</c:v>
                </c:pt>
                <c:pt idx="296">
                  <c:v>43.53873532675707</c:v>
                </c:pt>
                <c:pt idx="297">
                  <c:v>43.848743551171374</c:v>
                </c:pt>
                <c:pt idx="298">
                  <c:v>43.603906929716381</c:v>
                </c:pt>
                <c:pt idx="299">
                  <c:v>43.02282276202218</c:v>
                </c:pt>
                <c:pt idx="300">
                  <c:v>42.726586399506758</c:v>
                </c:pt>
                <c:pt idx="301">
                  <c:v>43.529162096177537</c:v>
                </c:pt>
                <c:pt idx="302">
                  <c:v>43.372982034525258</c:v>
                </c:pt>
                <c:pt idx="303">
                  <c:v>43.670776818742276</c:v>
                </c:pt>
                <c:pt idx="304">
                  <c:v>43.107977114673233</c:v>
                </c:pt>
                <c:pt idx="305">
                  <c:v>43.435736054253994</c:v>
                </c:pt>
                <c:pt idx="306">
                  <c:v>43.116554204685571</c:v>
                </c:pt>
                <c:pt idx="307">
                  <c:v>42.331115561035745</c:v>
                </c:pt>
                <c:pt idx="308">
                  <c:v>42.136111676942029</c:v>
                </c:pt>
                <c:pt idx="309">
                  <c:v>42.010029913686793</c:v>
                </c:pt>
                <c:pt idx="310">
                  <c:v>42.604777484586904</c:v>
                </c:pt>
                <c:pt idx="311">
                  <c:v>42.460131528976561</c:v>
                </c:pt>
                <c:pt idx="312">
                  <c:v>42.515110517879144</c:v>
                </c:pt>
                <c:pt idx="313">
                  <c:v>41.991908138101103</c:v>
                </c:pt>
                <c:pt idx="314">
                  <c:v>41.311957694204672</c:v>
                </c:pt>
                <c:pt idx="315">
                  <c:v>40.594778964241655</c:v>
                </c:pt>
                <c:pt idx="316">
                  <c:v>40.398590554870509</c:v>
                </c:pt>
                <c:pt idx="317">
                  <c:v>41.573700160295928</c:v>
                </c:pt>
                <c:pt idx="318">
                  <c:v>42.39743743526509</c:v>
                </c:pt>
                <c:pt idx="319">
                  <c:v>43.419343970406899</c:v>
                </c:pt>
                <c:pt idx="320">
                  <c:v>43.89964664611589</c:v>
                </c:pt>
                <c:pt idx="321">
                  <c:v>43.634901467324291</c:v>
                </c:pt>
                <c:pt idx="322">
                  <c:v>43.167294611590613</c:v>
                </c:pt>
                <c:pt idx="323">
                  <c:v>42.594696189889014</c:v>
                </c:pt>
                <c:pt idx="324">
                  <c:v>42.308095856966702</c:v>
                </c:pt>
                <c:pt idx="325">
                  <c:v>41.383248840937092</c:v>
                </c:pt>
                <c:pt idx="326">
                  <c:v>40.925771800246586</c:v>
                </c:pt>
                <c:pt idx="327">
                  <c:v>41.110545967940794</c:v>
                </c:pt>
                <c:pt idx="328">
                  <c:v>41.547078372379758</c:v>
                </c:pt>
                <c:pt idx="329">
                  <c:v>41.515986781750918</c:v>
                </c:pt>
                <c:pt idx="330">
                  <c:v>41.859016078914912</c:v>
                </c:pt>
                <c:pt idx="331">
                  <c:v>42.361864636251518</c:v>
                </c:pt>
                <c:pt idx="332">
                  <c:v>43.362732342786671</c:v>
                </c:pt>
                <c:pt idx="333">
                  <c:v>43.314015622688025</c:v>
                </c:pt>
                <c:pt idx="334">
                  <c:v>43.546964192355098</c:v>
                </c:pt>
                <c:pt idx="335">
                  <c:v>43.608719235511707</c:v>
                </c:pt>
                <c:pt idx="336">
                  <c:v>43.396236362515388</c:v>
                </c:pt>
                <c:pt idx="337">
                  <c:v>42.862025043156592</c:v>
                </c:pt>
                <c:pt idx="338">
                  <c:v>42.312901307028348</c:v>
                </c:pt>
                <c:pt idx="339">
                  <c:v>42.27938073982736</c:v>
                </c:pt>
                <c:pt idx="340">
                  <c:v>43.078679728729959</c:v>
                </c:pt>
                <c:pt idx="341">
                  <c:v>43.858097570900107</c:v>
                </c:pt>
                <c:pt idx="342">
                  <c:v>44.61089133168926</c:v>
                </c:pt>
                <c:pt idx="343">
                  <c:v>44.696863440197284</c:v>
                </c:pt>
                <c:pt idx="344">
                  <c:v>44.237284217016025</c:v>
                </c:pt>
                <c:pt idx="345">
                  <c:v>43.572993995067804</c:v>
                </c:pt>
                <c:pt idx="346">
                  <c:v>42.908703773119584</c:v>
                </c:pt>
                <c:pt idx="347">
                  <c:v>42.244413551171391</c:v>
                </c:pt>
                <c:pt idx="348">
                  <c:v>41.58012332922317</c:v>
                </c:pt>
                <c:pt idx="349">
                  <c:v>40.915833107274956</c:v>
                </c:pt>
                <c:pt idx="350">
                  <c:v>40.251542885326735</c:v>
                </c:pt>
                <c:pt idx="351">
                  <c:v>39.587252651048082</c:v>
                </c:pt>
                <c:pt idx="352">
                  <c:v>39.901034019728719</c:v>
                </c:pt>
                <c:pt idx="353">
                  <c:v>40.138965141800227</c:v>
                </c:pt>
                <c:pt idx="354">
                  <c:v>40.300557718865576</c:v>
                </c:pt>
                <c:pt idx="355">
                  <c:v>40.479169519112205</c:v>
                </c:pt>
                <c:pt idx="356">
                  <c:v>40.017830641183714</c:v>
                </c:pt>
                <c:pt idx="357">
                  <c:v>39.40403366214548</c:v>
                </c:pt>
                <c:pt idx="358">
                  <c:v>38.507894919852028</c:v>
                </c:pt>
                <c:pt idx="359">
                  <c:v>38.38002351418001</c:v>
                </c:pt>
                <c:pt idx="360">
                  <c:v>38.83145522811342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C-4371-AAB3-629E8476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35.267864369999998</c:v>
                </c:pt>
                <c:pt idx="1">
                  <c:v>35.199370960000003</c:v>
                </c:pt>
                <c:pt idx="2">
                  <c:v>34.623326589999998</c:v>
                </c:pt>
                <c:pt idx="3">
                  <c:v>34.04728222</c:v>
                </c:pt>
                <c:pt idx="4">
                  <c:v>33.471237840000001</c:v>
                </c:pt>
                <c:pt idx="5">
                  <c:v>32.895193470000002</c:v>
                </c:pt>
                <c:pt idx="6">
                  <c:v>32.731530429999999</c:v>
                </c:pt>
                <c:pt idx="7">
                  <c:v>32.596651250000001</c:v>
                </c:pt>
                <c:pt idx="8">
                  <c:v>32.453658779999998</c:v>
                </c:pt>
                <c:pt idx="9">
                  <c:v>32.176603569999997</c:v>
                </c:pt>
                <c:pt idx="10">
                  <c:v>31.936275819999999</c:v>
                </c:pt>
                <c:pt idx="11">
                  <c:v>31.824461490000001</c:v>
                </c:pt>
                <c:pt idx="12">
                  <c:v>31.65967307</c:v>
                </c:pt>
                <c:pt idx="13">
                  <c:v>31.473443629999998</c:v>
                </c:pt>
                <c:pt idx="14">
                  <c:v>31.851141940000002</c:v>
                </c:pt>
                <c:pt idx="15">
                  <c:v>31.819434780000002</c:v>
                </c:pt>
                <c:pt idx="16">
                  <c:v>31.599505149999999</c:v>
                </c:pt>
                <c:pt idx="17">
                  <c:v>31.463331279999998</c:v>
                </c:pt>
                <c:pt idx="18">
                  <c:v>33.151635159999998</c:v>
                </c:pt>
                <c:pt idx="19">
                  <c:v>32.998640119999997</c:v>
                </c:pt>
                <c:pt idx="20">
                  <c:v>32.794448670000001</c:v>
                </c:pt>
                <c:pt idx="21">
                  <c:v>32.16676768</c:v>
                </c:pt>
                <c:pt idx="22">
                  <c:v>31.5241881</c:v>
                </c:pt>
                <c:pt idx="23">
                  <c:v>31.13882216</c:v>
                </c:pt>
                <c:pt idx="24">
                  <c:v>30.705000569999999</c:v>
                </c:pt>
                <c:pt idx="25">
                  <c:v>30.48845481</c:v>
                </c:pt>
                <c:pt idx="26">
                  <c:v>30.405468679999998</c:v>
                </c:pt>
                <c:pt idx="27">
                  <c:v>30.415750249999999</c:v>
                </c:pt>
                <c:pt idx="28">
                  <c:v>30.36207881</c:v>
                </c:pt>
                <c:pt idx="29">
                  <c:v>30.33575037</c:v>
                </c:pt>
                <c:pt idx="30">
                  <c:v>32.315058319999999</c:v>
                </c:pt>
                <c:pt idx="31">
                  <c:v>36.337446049999997</c:v>
                </c:pt>
                <c:pt idx="32">
                  <c:v>37.049316390000001</c:v>
                </c:pt>
                <c:pt idx="33">
                  <c:v>37.15953253</c:v>
                </c:pt>
                <c:pt idx="34">
                  <c:v>36.058666850000002</c:v>
                </c:pt>
                <c:pt idx="35">
                  <c:v>35.327276830000002</c:v>
                </c:pt>
                <c:pt idx="36">
                  <c:v>34.870909230000002</c:v>
                </c:pt>
                <c:pt idx="37">
                  <c:v>36.107426869999998</c:v>
                </c:pt>
                <c:pt idx="38">
                  <c:v>36.894246109999997</c:v>
                </c:pt>
                <c:pt idx="39">
                  <c:v>35.586914149999998</c:v>
                </c:pt>
                <c:pt idx="40">
                  <c:v>34.740036500000002</c:v>
                </c:pt>
                <c:pt idx="41">
                  <c:v>34.140657150000003</c:v>
                </c:pt>
                <c:pt idx="42">
                  <c:v>33.75517962</c:v>
                </c:pt>
                <c:pt idx="43">
                  <c:v>33.440578500000001</c:v>
                </c:pt>
                <c:pt idx="44">
                  <c:v>33.366809619999998</c:v>
                </c:pt>
                <c:pt idx="45">
                  <c:v>33.278173049999999</c:v>
                </c:pt>
                <c:pt idx="46">
                  <c:v>32.98972054</c:v>
                </c:pt>
                <c:pt idx="47">
                  <c:v>32.62021361</c:v>
                </c:pt>
                <c:pt idx="48">
                  <c:v>32.632159119999997</c:v>
                </c:pt>
                <c:pt idx="49">
                  <c:v>35.194891390000002</c:v>
                </c:pt>
                <c:pt idx="50">
                  <c:v>35.554192559999997</c:v>
                </c:pt>
                <c:pt idx="51">
                  <c:v>34.451621500000002</c:v>
                </c:pt>
                <c:pt idx="52">
                  <c:v>33.91866606</c:v>
                </c:pt>
                <c:pt idx="53">
                  <c:v>34.9264315</c:v>
                </c:pt>
                <c:pt idx="54">
                  <c:v>35.972049939999998</c:v>
                </c:pt>
                <c:pt idx="55">
                  <c:v>37.452550330000001</c:v>
                </c:pt>
                <c:pt idx="56">
                  <c:v>36.853394530000003</c:v>
                </c:pt>
                <c:pt idx="57">
                  <c:v>35.419109859999999</c:v>
                </c:pt>
                <c:pt idx="58">
                  <c:v>34.230262949999997</c:v>
                </c:pt>
                <c:pt idx="59">
                  <c:v>33.353690100000001</c:v>
                </c:pt>
                <c:pt idx="60">
                  <c:v>32.906982669999998</c:v>
                </c:pt>
                <c:pt idx="61">
                  <c:v>34.001598059999999</c:v>
                </c:pt>
                <c:pt idx="62">
                  <c:v>33.594117490000002</c:v>
                </c:pt>
                <c:pt idx="63">
                  <c:v>32.863698669999998</c:v>
                </c:pt>
                <c:pt idx="64">
                  <c:v>31.929528520000002</c:v>
                </c:pt>
                <c:pt idx="65">
                  <c:v>31.818754460000001</c:v>
                </c:pt>
                <c:pt idx="66">
                  <c:v>31.978542340000001</c:v>
                </c:pt>
                <c:pt idx="67">
                  <c:v>32.119359099999997</c:v>
                </c:pt>
                <c:pt idx="68">
                  <c:v>31.388270840000001</c:v>
                </c:pt>
                <c:pt idx="69">
                  <c:v>30.826170189999999</c:v>
                </c:pt>
                <c:pt idx="70">
                  <c:v>30.795057920000001</c:v>
                </c:pt>
                <c:pt idx="71">
                  <c:v>31.101263939999999</c:v>
                </c:pt>
                <c:pt idx="72">
                  <c:v>30.589301259999999</c:v>
                </c:pt>
                <c:pt idx="73">
                  <c:v>29.800246179999998</c:v>
                </c:pt>
                <c:pt idx="74">
                  <c:v>29.522743200000001</c:v>
                </c:pt>
                <c:pt idx="75">
                  <c:v>31.74014558</c:v>
                </c:pt>
                <c:pt idx="76">
                  <c:v>32.477372670000001</c:v>
                </c:pt>
                <c:pt idx="77">
                  <c:v>31.771021260000001</c:v>
                </c:pt>
                <c:pt idx="78">
                  <c:v>33.994098200000003</c:v>
                </c:pt>
                <c:pt idx="79">
                  <c:v>33.625050559999998</c:v>
                </c:pt>
                <c:pt idx="80">
                  <c:v>32.261598679999999</c:v>
                </c:pt>
                <c:pt idx="81">
                  <c:v>31.270556769999999</c:v>
                </c:pt>
                <c:pt idx="82">
                  <c:v>31.341742480000001</c:v>
                </c:pt>
                <c:pt idx="83">
                  <c:v>31.499305639999999</c:v>
                </c:pt>
                <c:pt idx="84">
                  <c:v>30.844746300000001</c:v>
                </c:pt>
                <c:pt idx="85">
                  <c:v>31.0929526</c:v>
                </c:pt>
                <c:pt idx="86">
                  <c:v>32.520759689999998</c:v>
                </c:pt>
                <c:pt idx="87">
                  <c:v>31.125154739999999</c:v>
                </c:pt>
                <c:pt idx="88">
                  <c:v>29.743116709999999</c:v>
                </c:pt>
                <c:pt idx="89">
                  <c:v>28.8351975</c:v>
                </c:pt>
                <c:pt idx="90">
                  <c:v>28.799934329999999</c:v>
                </c:pt>
                <c:pt idx="91">
                  <c:v>28.887370539999999</c:v>
                </c:pt>
                <c:pt idx="92">
                  <c:v>29.193154150000002</c:v>
                </c:pt>
                <c:pt idx="93">
                  <c:v>30.55840019</c:v>
                </c:pt>
                <c:pt idx="94">
                  <c:v>35.744805159999999</c:v>
                </c:pt>
                <c:pt idx="95">
                  <c:v>35.842524480000002</c:v>
                </c:pt>
                <c:pt idx="96">
                  <c:v>36.535171249999998</c:v>
                </c:pt>
                <c:pt idx="97">
                  <c:v>34.810315729999999</c:v>
                </c:pt>
                <c:pt idx="98">
                  <c:v>33.261872709999999</c:v>
                </c:pt>
                <c:pt idx="99">
                  <c:v>31.86671977</c:v>
                </c:pt>
                <c:pt idx="100">
                  <c:v>32.24562555</c:v>
                </c:pt>
                <c:pt idx="101">
                  <c:v>31.37779368</c:v>
                </c:pt>
                <c:pt idx="102">
                  <c:v>30.15338985</c:v>
                </c:pt>
                <c:pt idx="103">
                  <c:v>29.028954760000001</c:v>
                </c:pt>
                <c:pt idx="104">
                  <c:v>28.037238429999999</c:v>
                </c:pt>
                <c:pt idx="105">
                  <c:v>27.24554938</c:v>
                </c:pt>
                <c:pt idx="106">
                  <c:v>26.513923210000002</c:v>
                </c:pt>
                <c:pt idx="107">
                  <c:v>25.963983989999999</c:v>
                </c:pt>
                <c:pt idx="108">
                  <c:v>25.410947029999999</c:v>
                </c:pt>
                <c:pt idx="109">
                  <c:v>24.80153571</c:v>
                </c:pt>
                <c:pt idx="110">
                  <c:v>24.038942729999999</c:v>
                </c:pt>
                <c:pt idx="111">
                  <c:v>23.179958790000001</c:v>
                </c:pt>
                <c:pt idx="112">
                  <c:v>22.30171606</c:v>
                </c:pt>
                <c:pt idx="113">
                  <c:v>21.46442734</c:v>
                </c:pt>
                <c:pt idx="114">
                  <c:v>20.719359000000001</c:v>
                </c:pt>
                <c:pt idx="115">
                  <c:v>19.88384787</c:v>
                </c:pt>
                <c:pt idx="116">
                  <c:v>19.072466779999999</c:v>
                </c:pt>
                <c:pt idx="117">
                  <c:v>18.425209639999999</c:v>
                </c:pt>
                <c:pt idx="118">
                  <c:v>17.816724879999999</c:v>
                </c:pt>
                <c:pt idx="119">
                  <c:v>17.140961189999999</c:v>
                </c:pt>
                <c:pt idx="120">
                  <c:v>16.502159339999999</c:v>
                </c:pt>
                <c:pt idx="121">
                  <c:v>15.95645056</c:v>
                </c:pt>
                <c:pt idx="122">
                  <c:v>15.55499893</c:v>
                </c:pt>
                <c:pt idx="123">
                  <c:v>15.348166989999999</c:v>
                </c:pt>
                <c:pt idx="124">
                  <c:v>15.101807239999999</c:v>
                </c:pt>
                <c:pt idx="125">
                  <c:v>14.684364349999999</c:v>
                </c:pt>
                <c:pt idx="126">
                  <c:v>14.271982899999999</c:v>
                </c:pt>
                <c:pt idx="127">
                  <c:v>13.87031172</c:v>
                </c:pt>
                <c:pt idx="128">
                  <c:v>13.63980514</c:v>
                </c:pt>
                <c:pt idx="129">
                  <c:v>13.401795099999999</c:v>
                </c:pt>
                <c:pt idx="130">
                  <c:v>13.20122716</c:v>
                </c:pt>
                <c:pt idx="131">
                  <c:v>13.036760210000001</c:v>
                </c:pt>
                <c:pt idx="132">
                  <c:v>12.86473165</c:v>
                </c:pt>
                <c:pt idx="133">
                  <c:v>12.730354670000001</c:v>
                </c:pt>
                <c:pt idx="134">
                  <c:v>12.688782939999999</c:v>
                </c:pt>
                <c:pt idx="135">
                  <c:v>12.6080413</c:v>
                </c:pt>
                <c:pt idx="136">
                  <c:v>12.53482627</c:v>
                </c:pt>
                <c:pt idx="137">
                  <c:v>14.06551093</c:v>
                </c:pt>
                <c:pt idx="138">
                  <c:v>19.39806797</c:v>
                </c:pt>
                <c:pt idx="139">
                  <c:v>18.44004434</c:v>
                </c:pt>
                <c:pt idx="140">
                  <c:v>17.384240810000001</c:v>
                </c:pt>
                <c:pt idx="141">
                  <c:v>16.398364990000001</c:v>
                </c:pt>
                <c:pt idx="142">
                  <c:v>15.65534892</c:v>
                </c:pt>
                <c:pt idx="143">
                  <c:v>15.38024931</c:v>
                </c:pt>
                <c:pt idx="144">
                  <c:v>15.27167524</c:v>
                </c:pt>
                <c:pt idx="145">
                  <c:v>16.678517920000001</c:v>
                </c:pt>
                <c:pt idx="146">
                  <c:v>16.54071879</c:v>
                </c:pt>
                <c:pt idx="147">
                  <c:v>16.248685519999999</c:v>
                </c:pt>
                <c:pt idx="148">
                  <c:v>15.58995943</c:v>
                </c:pt>
                <c:pt idx="149">
                  <c:v>14.98981232</c:v>
                </c:pt>
                <c:pt idx="150">
                  <c:v>14.793556730000001</c:v>
                </c:pt>
                <c:pt idx="151">
                  <c:v>14.74284316</c:v>
                </c:pt>
                <c:pt idx="152">
                  <c:v>14.499666530000001</c:v>
                </c:pt>
                <c:pt idx="153">
                  <c:v>14.16781508</c:v>
                </c:pt>
                <c:pt idx="154">
                  <c:v>13.951461269999999</c:v>
                </c:pt>
                <c:pt idx="155">
                  <c:v>14.009044640000001</c:v>
                </c:pt>
                <c:pt idx="156">
                  <c:v>13.879249120000001</c:v>
                </c:pt>
                <c:pt idx="157">
                  <c:v>13.64750184</c:v>
                </c:pt>
                <c:pt idx="158">
                  <c:v>13.414761370000001</c:v>
                </c:pt>
                <c:pt idx="159">
                  <c:v>13.26942494</c:v>
                </c:pt>
                <c:pt idx="160">
                  <c:v>13.205224919999999</c:v>
                </c:pt>
                <c:pt idx="161">
                  <c:v>13.355707130000001</c:v>
                </c:pt>
                <c:pt idx="162">
                  <c:v>13.33863618</c:v>
                </c:pt>
                <c:pt idx="163">
                  <c:v>13.185748419999999</c:v>
                </c:pt>
                <c:pt idx="164">
                  <c:v>13.07836318</c:v>
                </c:pt>
                <c:pt idx="165">
                  <c:v>12.97803485</c:v>
                </c:pt>
                <c:pt idx="166">
                  <c:v>12.902941589999999</c:v>
                </c:pt>
                <c:pt idx="167">
                  <c:v>12.7998665</c:v>
                </c:pt>
                <c:pt idx="168">
                  <c:v>12.63004312</c:v>
                </c:pt>
                <c:pt idx="169">
                  <c:v>13.155723289999999</c:v>
                </c:pt>
                <c:pt idx="170">
                  <c:v>13.956676290000001</c:v>
                </c:pt>
                <c:pt idx="171">
                  <c:v>14.164007379999999</c:v>
                </c:pt>
                <c:pt idx="172">
                  <c:v>14.734635519999999</c:v>
                </c:pt>
                <c:pt idx="173">
                  <c:v>17.246028720000002</c:v>
                </c:pt>
                <c:pt idx="174">
                  <c:v>18.74071996</c:v>
                </c:pt>
                <c:pt idx="175">
                  <c:v>20.227284220000001</c:v>
                </c:pt>
                <c:pt idx="176">
                  <c:v>21.19711088</c:v>
                </c:pt>
                <c:pt idx="177">
                  <c:v>25.43261051</c:v>
                </c:pt>
                <c:pt idx="178">
                  <c:v>26.221159400000001</c:v>
                </c:pt>
                <c:pt idx="179">
                  <c:v>26.9255639</c:v>
                </c:pt>
                <c:pt idx="180">
                  <c:v>27.149733980000001</c:v>
                </c:pt>
                <c:pt idx="181">
                  <c:v>26.333475459999999</c:v>
                </c:pt>
                <c:pt idx="182">
                  <c:v>30.160870540000001</c:v>
                </c:pt>
                <c:pt idx="183">
                  <c:v>30.605315959999999</c:v>
                </c:pt>
                <c:pt idx="184">
                  <c:v>29.030152279999999</c:v>
                </c:pt>
                <c:pt idx="185">
                  <c:v>29.878552970000001</c:v>
                </c:pt>
                <c:pt idx="186">
                  <c:v>28.688791210000002</c:v>
                </c:pt>
                <c:pt idx="187">
                  <c:v>27.443521619999999</c:v>
                </c:pt>
                <c:pt idx="188">
                  <c:v>30.81375194</c:v>
                </c:pt>
                <c:pt idx="189">
                  <c:v>29.740374639999999</c:v>
                </c:pt>
                <c:pt idx="190">
                  <c:v>28.506178670000001</c:v>
                </c:pt>
                <c:pt idx="191">
                  <c:v>28.70995636</c:v>
                </c:pt>
                <c:pt idx="192">
                  <c:v>28.919571529999999</c:v>
                </c:pt>
                <c:pt idx="193">
                  <c:v>31.453605799999998</c:v>
                </c:pt>
                <c:pt idx="194">
                  <c:v>30.016890579999998</c:v>
                </c:pt>
                <c:pt idx="195">
                  <c:v>28.919413080000002</c:v>
                </c:pt>
                <c:pt idx="196">
                  <c:v>27.982316730000001</c:v>
                </c:pt>
                <c:pt idx="197">
                  <c:v>26.723444570000002</c:v>
                </c:pt>
                <c:pt idx="198">
                  <c:v>25.654445620000001</c:v>
                </c:pt>
                <c:pt idx="199">
                  <c:v>24.529209720000001</c:v>
                </c:pt>
                <c:pt idx="200">
                  <c:v>23.790099219999998</c:v>
                </c:pt>
                <c:pt idx="201">
                  <c:v>26.870676620000001</c:v>
                </c:pt>
                <c:pt idx="202">
                  <c:v>28.72701249</c:v>
                </c:pt>
                <c:pt idx="203">
                  <c:v>27.4028524</c:v>
                </c:pt>
                <c:pt idx="204">
                  <c:v>26.618773340000001</c:v>
                </c:pt>
                <c:pt idx="205">
                  <c:v>25.998387139999998</c:v>
                </c:pt>
                <c:pt idx="206">
                  <c:v>26.04747352</c:v>
                </c:pt>
                <c:pt idx="207">
                  <c:v>27.0953205</c:v>
                </c:pt>
                <c:pt idx="208">
                  <c:v>30.646697830000001</c:v>
                </c:pt>
                <c:pt idx="209">
                  <c:v>31.595901990000002</c:v>
                </c:pt>
                <c:pt idx="210">
                  <c:v>30.403008979999999</c:v>
                </c:pt>
                <c:pt idx="211">
                  <c:v>29.23940283</c:v>
                </c:pt>
                <c:pt idx="212">
                  <c:v>27.90781342</c:v>
                </c:pt>
                <c:pt idx="213">
                  <c:v>26.715938170000001</c:v>
                </c:pt>
                <c:pt idx="214">
                  <c:v>23.995684529999998</c:v>
                </c:pt>
                <c:pt idx="215">
                  <c:v>23.760118290000001</c:v>
                </c:pt>
                <c:pt idx="216">
                  <c:v>23.499634690000001</c:v>
                </c:pt>
                <c:pt idx="217">
                  <c:v>23.244947880000002</c:v>
                </c:pt>
                <c:pt idx="218">
                  <c:v>22.945815929999998</c:v>
                </c:pt>
                <c:pt idx="219">
                  <c:v>24.033854080000001</c:v>
                </c:pt>
                <c:pt idx="220">
                  <c:v>29.503924309999999</c:v>
                </c:pt>
                <c:pt idx="221">
                  <c:v>28.741324030000001</c:v>
                </c:pt>
                <c:pt idx="222">
                  <c:v>27.919506779999999</c:v>
                </c:pt>
                <c:pt idx="223">
                  <c:v>27.538497199999998</c:v>
                </c:pt>
                <c:pt idx="224">
                  <c:v>27.490689060000001</c:v>
                </c:pt>
                <c:pt idx="225">
                  <c:v>27.14942469</c:v>
                </c:pt>
                <c:pt idx="226">
                  <c:v>26.665504800000001</c:v>
                </c:pt>
                <c:pt idx="227">
                  <c:v>26.042132200000001</c:v>
                </c:pt>
                <c:pt idx="228">
                  <c:v>26.149474999999999</c:v>
                </c:pt>
                <c:pt idx="229">
                  <c:v>28.088133899999999</c:v>
                </c:pt>
                <c:pt idx="230">
                  <c:v>28.545911050000001</c:v>
                </c:pt>
                <c:pt idx="231">
                  <c:v>27.659907440000001</c:v>
                </c:pt>
                <c:pt idx="232">
                  <c:v>26.895821860000002</c:v>
                </c:pt>
                <c:pt idx="233">
                  <c:v>26.33744772</c:v>
                </c:pt>
                <c:pt idx="234">
                  <c:v>25.88715526</c:v>
                </c:pt>
                <c:pt idx="235">
                  <c:v>25.506677029999999</c:v>
                </c:pt>
                <c:pt idx="236">
                  <c:v>25.1910922</c:v>
                </c:pt>
                <c:pt idx="237">
                  <c:v>24.911594260000001</c:v>
                </c:pt>
                <c:pt idx="238">
                  <c:v>24.608016750000001</c:v>
                </c:pt>
                <c:pt idx="239">
                  <c:v>24.29053407</c:v>
                </c:pt>
                <c:pt idx="240">
                  <c:v>24.058565919999999</c:v>
                </c:pt>
                <c:pt idx="241">
                  <c:v>24.03752459</c:v>
                </c:pt>
                <c:pt idx="242">
                  <c:v>23.844232989999998</c:v>
                </c:pt>
                <c:pt idx="243">
                  <c:v>23.499316360000002</c:v>
                </c:pt>
                <c:pt idx="244">
                  <c:v>23.00752091</c:v>
                </c:pt>
                <c:pt idx="245">
                  <c:v>22.501762830000001</c:v>
                </c:pt>
                <c:pt idx="246">
                  <c:v>22.083467949999999</c:v>
                </c:pt>
                <c:pt idx="247">
                  <c:v>21.6097535</c:v>
                </c:pt>
                <c:pt idx="248">
                  <c:v>21.045787919999999</c:v>
                </c:pt>
                <c:pt idx="249">
                  <c:v>20.432457429999999</c:v>
                </c:pt>
                <c:pt idx="250">
                  <c:v>20.28138113</c:v>
                </c:pt>
                <c:pt idx="251">
                  <c:v>20.465845399999999</c:v>
                </c:pt>
                <c:pt idx="252">
                  <c:v>20.799153319999999</c:v>
                </c:pt>
                <c:pt idx="253">
                  <c:v>20.935620499999999</c:v>
                </c:pt>
                <c:pt idx="254">
                  <c:v>20.872744860000001</c:v>
                </c:pt>
                <c:pt idx="255">
                  <c:v>21.092916590000002</c:v>
                </c:pt>
                <c:pt idx="256">
                  <c:v>24.21043173</c:v>
                </c:pt>
                <c:pt idx="257">
                  <c:v>29.412694940000002</c:v>
                </c:pt>
                <c:pt idx="258">
                  <c:v>32.923101580000001</c:v>
                </c:pt>
                <c:pt idx="259">
                  <c:v>32.142210300000002</c:v>
                </c:pt>
                <c:pt idx="260">
                  <c:v>32.631385719999997</c:v>
                </c:pt>
                <c:pt idx="261">
                  <c:v>33.575521379999998</c:v>
                </c:pt>
                <c:pt idx="262">
                  <c:v>34.460600720000002</c:v>
                </c:pt>
                <c:pt idx="263">
                  <c:v>34.019314960000003</c:v>
                </c:pt>
                <c:pt idx="264">
                  <c:v>35.350378630000002</c:v>
                </c:pt>
                <c:pt idx="265">
                  <c:v>34.567769310000003</c:v>
                </c:pt>
                <c:pt idx="266">
                  <c:v>33.672264810000001</c:v>
                </c:pt>
                <c:pt idx="267">
                  <c:v>34.058262460000002</c:v>
                </c:pt>
                <c:pt idx="268">
                  <c:v>34.92788685</c:v>
                </c:pt>
                <c:pt idx="269">
                  <c:v>35.117848819999999</c:v>
                </c:pt>
                <c:pt idx="270">
                  <c:v>34.620813409999997</c:v>
                </c:pt>
                <c:pt idx="271">
                  <c:v>31.74342253</c:v>
                </c:pt>
                <c:pt idx="272">
                  <c:v>31.235518419999998</c:v>
                </c:pt>
                <c:pt idx="273">
                  <c:v>31.59212673</c:v>
                </c:pt>
                <c:pt idx="274">
                  <c:v>31.905589150000001</c:v>
                </c:pt>
                <c:pt idx="275">
                  <c:v>31.654561910000002</c:v>
                </c:pt>
                <c:pt idx="276">
                  <c:v>31.478487529999999</c:v>
                </c:pt>
                <c:pt idx="277">
                  <c:v>32.727696569999999</c:v>
                </c:pt>
                <c:pt idx="278">
                  <c:v>34.98550436</c:v>
                </c:pt>
                <c:pt idx="279">
                  <c:v>36.117573450000002</c:v>
                </c:pt>
                <c:pt idx="280">
                  <c:v>34.855615929999999</c:v>
                </c:pt>
                <c:pt idx="281">
                  <c:v>35.393371729999998</c:v>
                </c:pt>
                <c:pt idx="282">
                  <c:v>36.915412259999997</c:v>
                </c:pt>
                <c:pt idx="283">
                  <c:v>36.558969660000002</c:v>
                </c:pt>
                <c:pt idx="284">
                  <c:v>35.518264989999999</c:v>
                </c:pt>
                <c:pt idx="285">
                  <c:v>36.796886409999999</c:v>
                </c:pt>
                <c:pt idx="286">
                  <c:v>37.238481190000002</c:v>
                </c:pt>
                <c:pt idx="287">
                  <c:v>37.125405000000001</c:v>
                </c:pt>
                <c:pt idx="288">
                  <c:v>36.931095280000001</c:v>
                </c:pt>
                <c:pt idx="289">
                  <c:v>37.351921599999997</c:v>
                </c:pt>
                <c:pt idx="290">
                  <c:v>36.421603679999997</c:v>
                </c:pt>
                <c:pt idx="291">
                  <c:v>35.855795299999997</c:v>
                </c:pt>
                <c:pt idx="292">
                  <c:v>37.37423794</c:v>
                </c:pt>
                <c:pt idx="293">
                  <c:v>37.683946980000002</c:v>
                </c:pt>
                <c:pt idx="294">
                  <c:v>37.64589385</c:v>
                </c:pt>
                <c:pt idx="295">
                  <c:v>39.207286500000002</c:v>
                </c:pt>
                <c:pt idx="296">
                  <c:v>38.704357219999999</c:v>
                </c:pt>
                <c:pt idx="297">
                  <c:v>37.53459221</c:v>
                </c:pt>
                <c:pt idx="298">
                  <c:v>37.210148150000002</c:v>
                </c:pt>
                <c:pt idx="299">
                  <c:v>36.950075439999999</c:v>
                </c:pt>
                <c:pt idx="300">
                  <c:v>36.468271190000003</c:v>
                </c:pt>
                <c:pt idx="301">
                  <c:v>35.812876789999997</c:v>
                </c:pt>
                <c:pt idx="302">
                  <c:v>36.286495539999997</c:v>
                </c:pt>
                <c:pt idx="303">
                  <c:v>38.673361759999999</c:v>
                </c:pt>
                <c:pt idx="304">
                  <c:v>38.173596799999999</c:v>
                </c:pt>
                <c:pt idx="305">
                  <c:v>37.410789129999998</c:v>
                </c:pt>
                <c:pt idx="306">
                  <c:v>37.558192689999998</c:v>
                </c:pt>
                <c:pt idx="307">
                  <c:v>37.623209150000001</c:v>
                </c:pt>
                <c:pt idx="308">
                  <c:v>37.728612630000001</c:v>
                </c:pt>
                <c:pt idx="309">
                  <c:v>37.713047240000002</c:v>
                </c:pt>
                <c:pt idx="310">
                  <c:v>38.365532850000001</c:v>
                </c:pt>
                <c:pt idx="311">
                  <c:v>38.781087790000001</c:v>
                </c:pt>
                <c:pt idx="312">
                  <c:v>38.14940962</c:v>
                </c:pt>
                <c:pt idx="313">
                  <c:v>37.960801660000001</c:v>
                </c:pt>
                <c:pt idx="314">
                  <c:v>37.600125970000001</c:v>
                </c:pt>
                <c:pt idx="315">
                  <c:v>37.237026499999999</c:v>
                </c:pt>
                <c:pt idx="316">
                  <c:v>36.872246820000001</c:v>
                </c:pt>
                <c:pt idx="317">
                  <c:v>37.155280279999999</c:v>
                </c:pt>
                <c:pt idx="318">
                  <c:v>38.76422702</c:v>
                </c:pt>
                <c:pt idx="319">
                  <c:v>38.927309649999998</c:v>
                </c:pt>
                <c:pt idx="320">
                  <c:v>40.093474360000002</c:v>
                </c:pt>
                <c:pt idx="321">
                  <c:v>39.60422775</c:v>
                </c:pt>
                <c:pt idx="322">
                  <c:v>39.312630050000003</c:v>
                </c:pt>
                <c:pt idx="323">
                  <c:v>39.546169089999999</c:v>
                </c:pt>
                <c:pt idx="324">
                  <c:v>39.294561420000001</c:v>
                </c:pt>
                <c:pt idx="325">
                  <c:v>38.67469097</c:v>
                </c:pt>
                <c:pt idx="326">
                  <c:v>38.110974339999999</c:v>
                </c:pt>
                <c:pt idx="327">
                  <c:v>38.132267229999997</c:v>
                </c:pt>
                <c:pt idx="328">
                  <c:v>38.722027060000002</c:v>
                </c:pt>
                <c:pt idx="329">
                  <c:v>38.196578279999997</c:v>
                </c:pt>
                <c:pt idx="330">
                  <c:v>37.759045780000001</c:v>
                </c:pt>
                <c:pt idx="331">
                  <c:v>39.355045709999999</c:v>
                </c:pt>
                <c:pt idx="332">
                  <c:v>39.567961150000002</c:v>
                </c:pt>
                <c:pt idx="333">
                  <c:v>40.1073418</c:v>
                </c:pt>
                <c:pt idx="334">
                  <c:v>39.226900909999998</c:v>
                </c:pt>
                <c:pt idx="335">
                  <c:v>39.728472600000003</c:v>
                </c:pt>
                <c:pt idx="336">
                  <c:v>39.605874710000002</c:v>
                </c:pt>
                <c:pt idx="337">
                  <c:v>38.854525459999998</c:v>
                </c:pt>
                <c:pt idx="338">
                  <c:v>38.74041587</c:v>
                </c:pt>
                <c:pt idx="339">
                  <c:v>38.754279920000002</c:v>
                </c:pt>
                <c:pt idx="340">
                  <c:v>38.76722934</c:v>
                </c:pt>
                <c:pt idx="341">
                  <c:v>38.743127479999998</c:v>
                </c:pt>
                <c:pt idx="342">
                  <c:v>38.719025619999996</c:v>
                </c:pt>
                <c:pt idx="343">
                  <c:v>38.694923760000002</c:v>
                </c:pt>
                <c:pt idx="344">
                  <c:v>38.6708219</c:v>
                </c:pt>
                <c:pt idx="345">
                  <c:v>38.646720039999998</c:v>
                </c:pt>
                <c:pt idx="346">
                  <c:v>38.622618180000003</c:v>
                </c:pt>
                <c:pt idx="347">
                  <c:v>38.598516320000002</c:v>
                </c:pt>
                <c:pt idx="348">
                  <c:v>38.57441446</c:v>
                </c:pt>
                <c:pt idx="349">
                  <c:v>38.550312599999998</c:v>
                </c:pt>
                <c:pt idx="350">
                  <c:v>38.526210740000003</c:v>
                </c:pt>
                <c:pt idx="351">
                  <c:v>38.502108880000002</c:v>
                </c:pt>
                <c:pt idx="352">
                  <c:v>38.197763899999998</c:v>
                </c:pt>
                <c:pt idx="353">
                  <c:v>37.998883200000002</c:v>
                </c:pt>
                <c:pt idx="354">
                  <c:v>37.558789279999999</c:v>
                </c:pt>
                <c:pt idx="355">
                  <c:v>38.2315015</c:v>
                </c:pt>
                <c:pt idx="356">
                  <c:v>37.930594110000001</c:v>
                </c:pt>
                <c:pt idx="357">
                  <c:v>37.203320869999999</c:v>
                </c:pt>
                <c:pt idx="358">
                  <c:v>36.865305650000003</c:v>
                </c:pt>
                <c:pt idx="359">
                  <c:v>36.632093419999997</c:v>
                </c:pt>
                <c:pt idx="360">
                  <c:v>36.316992310000003</c:v>
                </c:pt>
              </c:numCache>
            </c:numRef>
          </c:xVal>
          <c:yVal>
            <c:numRef>
              <c:f>selhausen_SM_Kdose_daily!$B$8:$B$400</c:f>
              <c:numCache>
                <c:formatCode>General</c:formatCode>
                <c:ptCount val="393"/>
                <c:pt idx="0">
                  <c:v>9.6624901800000007</c:v>
                </c:pt>
                <c:pt idx="1">
                  <c:v>9.6824418980000004</c:v>
                </c:pt>
                <c:pt idx="2">
                  <c:v>9.7063027779999995</c:v>
                </c:pt>
                <c:pt idx="3">
                  <c:v>9.7083127779999998</c:v>
                </c:pt>
                <c:pt idx="4">
                  <c:v>9.7228461110000008</c:v>
                </c:pt>
                <c:pt idx="5">
                  <c:v>9.7789294439999992</c:v>
                </c:pt>
                <c:pt idx="6">
                  <c:v>9.8354888890000005</c:v>
                </c:pt>
                <c:pt idx="7">
                  <c:v>9.8960284719999994</c:v>
                </c:pt>
                <c:pt idx="8">
                  <c:v>9.934965278</c:v>
                </c:pt>
                <c:pt idx="9">
                  <c:v>10.01100046</c:v>
                </c:pt>
                <c:pt idx="10">
                  <c:v>10.019243980000001</c:v>
                </c:pt>
                <c:pt idx="11">
                  <c:v>10.07862523</c:v>
                </c:pt>
                <c:pt idx="12">
                  <c:v>10.05631782</c:v>
                </c:pt>
                <c:pt idx="13">
                  <c:v>10.01375764</c:v>
                </c:pt>
                <c:pt idx="14">
                  <c:v>9.9232726850000006</c:v>
                </c:pt>
                <c:pt idx="15">
                  <c:v>9.9298074070000002</c:v>
                </c:pt>
                <c:pt idx="16">
                  <c:v>10.006381940000001</c:v>
                </c:pt>
                <c:pt idx="17">
                  <c:v>10.00244352</c:v>
                </c:pt>
                <c:pt idx="18">
                  <c:v>9.888022222</c:v>
                </c:pt>
                <c:pt idx="19">
                  <c:v>9.7480868059999999</c:v>
                </c:pt>
                <c:pt idx="20">
                  <c:v>9.7232756939999998</c:v>
                </c:pt>
                <c:pt idx="21">
                  <c:v>9.7947648150000006</c:v>
                </c:pt>
                <c:pt idx="22">
                  <c:v>9.8701861110000007</c:v>
                </c:pt>
                <c:pt idx="23">
                  <c:v>9.9149729170000001</c:v>
                </c:pt>
                <c:pt idx="24">
                  <c:v>9.9455923609999992</c:v>
                </c:pt>
                <c:pt idx="25">
                  <c:v>9.9648916669999998</c:v>
                </c:pt>
                <c:pt idx="26">
                  <c:v>9.9738000000000007</c:v>
                </c:pt>
                <c:pt idx="27">
                  <c:v>9.9617488430000005</c:v>
                </c:pt>
                <c:pt idx="28">
                  <c:v>9.9480560189999991</c:v>
                </c:pt>
                <c:pt idx="29">
                  <c:v>9.8066381939999996</c:v>
                </c:pt>
                <c:pt idx="30">
                  <c:v>9.5084155090000007</c:v>
                </c:pt>
                <c:pt idx="31">
                  <c:v>9.3892960649999999</c:v>
                </c:pt>
                <c:pt idx="32">
                  <c:v>9.4182421299999994</c:v>
                </c:pt>
                <c:pt idx="33">
                  <c:v>9.6309670829999998</c:v>
                </c:pt>
                <c:pt idx="34">
                  <c:v>9.6721471759999993</c:v>
                </c:pt>
                <c:pt idx="35">
                  <c:v>9.786530741</c:v>
                </c:pt>
                <c:pt idx="36">
                  <c:v>9.7523005040130659</c:v>
                </c:pt>
                <c:pt idx="37">
                  <c:v>9.7096339065107689</c:v>
                </c:pt>
                <c:pt idx="38">
                  <c:v>9.6622471373280394</c:v>
                </c:pt>
                <c:pt idx="39">
                  <c:v>9.8346798821884782</c:v>
                </c:pt>
                <c:pt idx="40">
                  <c:v>10.030228347965684</c:v>
                </c:pt>
                <c:pt idx="41">
                  <c:v>10.075411187478052</c:v>
                </c:pt>
                <c:pt idx="42">
                  <c:v>10.026545408117192</c:v>
                </c:pt>
                <c:pt idx="43">
                  <c:v>9.9598525195344862</c:v>
                </c:pt>
                <c:pt idx="44">
                  <c:v>9.9806215496982986</c:v>
                </c:pt>
                <c:pt idx="45">
                  <c:v>10.03225124333213</c:v>
                </c:pt>
                <c:pt idx="46">
                  <c:v>10.074695563315167</c:v>
                </c:pt>
                <c:pt idx="47">
                  <c:v>10.035462318767872</c:v>
                </c:pt>
                <c:pt idx="48">
                  <c:v>9.8848647599458186</c:v>
                </c:pt>
                <c:pt idx="49">
                  <c:v>9.7416374946069322</c:v>
                </c:pt>
                <c:pt idx="50">
                  <c:v>9.7183872570422007</c:v>
                </c:pt>
                <c:pt idx="51">
                  <c:v>9.8271760503362344</c:v>
                </c:pt>
                <c:pt idx="52">
                  <c:v>9.9107755768188124</c:v>
                </c:pt>
                <c:pt idx="53">
                  <c:v>9.9041520933176592</c:v>
                </c:pt>
                <c:pt idx="54">
                  <c:v>9.7596259470763282</c:v>
                </c:pt>
                <c:pt idx="55">
                  <c:v>9.6603272362344939</c:v>
                </c:pt>
                <c:pt idx="56">
                  <c:v>9.6426310913117881</c:v>
                </c:pt>
                <c:pt idx="57">
                  <c:v>9.7504312805375619</c:v>
                </c:pt>
                <c:pt idx="58">
                  <c:v>9.8988570364659694</c:v>
                </c:pt>
                <c:pt idx="59">
                  <c:v>9.9399577694665098</c:v>
                </c:pt>
                <c:pt idx="60">
                  <c:v>9.8486567170047579</c:v>
                </c:pt>
                <c:pt idx="61">
                  <c:v>9.7827144667995398</c:v>
                </c:pt>
                <c:pt idx="62">
                  <c:v>9.8201432871479373</c:v>
                </c:pt>
                <c:pt idx="63">
                  <c:v>9.974917840306798</c:v>
                </c:pt>
                <c:pt idx="64">
                  <c:v>10.083229633099583</c:v>
                </c:pt>
                <c:pt idx="65">
                  <c:v>10.023326973626554</c:v>
                </c:pt>
                <c:pt idx="66">
                  <c:v>9.9432425025700439</c:v>
                </c:pt>
                <c:pt idx="67">
                  <c:v>9.9838548386517942</c:v>
                </c:pt>
                <c:pt idx="68">
                  <c:v>10.078624124433619</c:v>
                </c:pt>
                <c:pt idx="69">
                  <c:v>10.040243578194959</c:v>
                </c:pt>
                <c:pt idx="70">
                  <c:v>10.00772020154041</c:v>
                </c:pt>
                <c:pt idx="71">
                  <c:v>10.012151711782531</c:v>
                </c:pt>
                <c:pt idx="72">
                  <c:v>10.111492166062915</c:v>
                </c:pt>
                <c:pt idx="73">
                  <c:v>10.141737368731734</c:v>
                </c:pt>
                <c:pt idx="74">
                  <c:v>10.095265850712295</c:v>
                </c:pt>
                <c:pt idx="75">
                  <c:v>10.057277926324147</c:v>
                </c:pt>
                <c:pt idx="76">
                  <c:v>10.08553021177287</c:v>
                </c:pt>
                <c:pt idx="77">
                  <c:v>9.9710492302462512</c:v>
                </c:pt>
                <c:pt idx="78">
                  <c:v>9.8873456764837826</c:v>
                </c:pt>
                <c:pt idx="79">
                  <c:v>9.8415276760761863</c:v>
                </c:pt>
                <c:pt idx="80">
                  <c:v>9.9748487701928692</c:v>
                </c:pt>
                <c:pt idx="81">
                  <c:v>10.132268248524426</c:v>
                </c:pt>
                <c:pt idx="82">
                  <c:v>10.113327252650508</c:v>
                </c:pt>
                <c:pt idx="83">
                  <c:v>10.160890609767124</c:v>
                </c:pt>
                <c:pt idx="84">
                  <c:v>10.15623793430777</c:v>
                </c:pt>
                <c:pt idx="85">
                  <c:v>10.124971166653477</c:v>
                </c:pt>
                <c:pt idx="86">
                  <c:v>10.085261260677322</c:v>
                </c:pt>
                <c:pt idx="87">
                  <c:v>10.200223348057888</c:v>
                </c:pt>
                <c:pt idx="88">
                  <c:v>10.395644393870851</c:v>
                </c:pt>
                <c:pt idx="89">
                  <c:v>10.519044672634827</c:v>
                </c:pt>
                <c:pt idx="90">
                  <c:v>10.507492819176798</c:v>
                </c:pt>
                <c:pt idx="91">
                  <c:v>10.501750678977197</c:v>
                </c:pt>
                <c:pt idx="92">
                  <c:v>10.490690869476312</c:v>
                </c:pt>
                <c:pt idx="93">
                  <c:v>10.267590099733422</c:v>
                </c:pt>
                <c:pt idx="94">
                  <c:v>10.07018130916412</c:v>
                </c:pt>
                <c:pt idx="95">
                  <c:v>9.9189506727148018</c:v>
                </c:pt>
                <c:pt idx="96">
                  <c:v>9.9766125669148114</c:v>
                </c:pt>
                <c:pt idx="97">
                  <c:v>10.116711854902457</c:v>
                </c:pt>
                <c:pt idx="98">
                  <c:v>10.17457421381903</c:v>
                </c:pt>
                <c:pt idx="99">
                  <c:v>10.086543227250669</c:v>
                </c:pt>
                <c:pt idx="100">
                  <c:v>10.035200578259584</c:v>
                </c:pt>
                <c:pt idx="101">
                  <c:v>10.083573235857576</c:v>
                </c:pt>
                <c:pt idx="102">
                  <c:v>10.333240954820527</c:v>
                </c:pt>
                <c:pt idx="103">
                  <c:v>10.487324767240731</c:v>
                </c:pt>
                <c:pt idx="104">
                  <c:v>10.66299571277076</c:v>
                </c:pt>
                <c:pt idx="105">
                  <c:v>10.731801938034939</c:v>
                </c:pt>
                <c:pt idx="106">
                  <c:v>10.720145549930923</c:v>
                </c:pt>
                <c:pt idx="107">
                  <c:v>10.60563999147123</c:v>
                </c:pt>
                <c:pt idx="108">
                  <c:v>10.633466869945652</c:v>
                </c:pt>
                <c:pt idx="109">
                  <c:v>10.71191821355818</c:v>
                </c:pt>
                <c:pt idx="110">
                  <c:v>10.872532756496797</c:v>
                </c:pt>
                <c:pt idx="111">
                  <c:v>11.018352571424098</c:v>
                </c:pt>
                <c:pt idx="112">
                  <c:v>11.146476304416229</c:v>
                </c:pt>
                <c:pt idx="113">
                  <c:v>11.208659849607969</c:v>
                </c:pt>
                <c:pt idx="114">
                  <c:v>11.252713329217121</c:v>
                </c:pt>
                <c:pt idx="115">
                  <c:v>11.332582022250495</c:v>
                </c:pt>
                <c:pt idx="116">
                  <c:v>11.350541606806271</c:v>
                </c:pt>
                <c:pt idx="117">
                  <c:v>11.360088977051094</c:v>
                </c:pt>
                <c:pt idx="118">
                  <c:v>11.494750493616865</c:v>
                </c:pt>
                <c:pt idx="119">
                  <c:v>11.722626163176658</c:v>
                </c:pt>
                <c:pt idx="120">
                  <c:v>11.841711738331455</c:v>
                </c:pt>
                <c:pt idx="121">
                  <c:v>11.824748192613752</c:v>
                </c:pt>
                <c:pt idx="122">
                  <c:v>11.818665041765623</c:v>
                </c:pt>
                <c:pt idx="123">
                  <c:v>11.809861039675971</c:v>
                </c:pt>
                <c:pt idx="124">
                  <c:v>11.92359446467221</c:v>
                </c:pt>
                <c:pt idx="125">
                  <c:v>12.034590467914761</c:v>
                </c:pt>
                <c:pt idx="126">
                  <c:v>12.147135110720798</c:v>
                </c:pt>
                <c:pt idx="127">
                  <c:v>12.187536688017953</c:v>
                </c:pt>
                <c:pt idx="128">
                  <c:v>12.197101174258849</c:v>
                </c:pt>
                <c:pt idx="129">
                  <c:v>12.173826942691278</c:v>
                </c:pt>
                <c:pt idx="130">
                  <c:v>12.205092814572589</c:v>
                </c:pt>
                <c:pt idx="131">
                  <c:v>12.263545986858276</c:v>
                </c:pt>
                <c:pt idx="132">
                  <c:v>12.388784078548506</c:v>
                </c:pt>
                <c:pt idx="133">
                  <c:v>12.484203983103846</c:v>
                </c:pt>
                <c:pt idx="134">
                  <c:v>12.558554275989129</c:v>
                </c:pt>
                <c:pt idx="135">
                  <c:v>12.561742059450648</c:v>
                </c:pt>
                <c:pt idx="136">
                  <c:v>12.287239411450058</c:v>
                </c:pt>
                <c:pt idx="137">
                  <c:v>11.762646350461928</c:v>
                </c:pt>
                <c:pt idx="138">
                  <c:v>11.31988806697508</c:v>
                </c:pt>
                <c:pt idx="139">
                  <c:v>11.234937979885572</c:v>
                </c:pt>
                <c:pt idx="140">
                  <c:v>11.418808793594021</c:v>
                </c:pt>
                <c:pt idx="141">
                  <c:v>11.520744376407048</c:v>
                </c:pt>
                <c:pt idx="142">
                  <c:v>11.496581558445371</c:v>
                </c:pt>
                <c:pt idx="143">
                  <c:v>11.504231247995847</c:v>
                </c:pt>
                <c:pt idx="144">
                  <c:v>11.366628478320768</c:v>
                </c:pt>
                <c:pt idx="145">
                  <c:v>11.271494206619016</c:v>
                </c:pt>
                <c:pt idx="146">
                  <c:v>11.191781609372665</c:v>
                </c:pt>
                <c:pt idx="147">
                  <c:v>11.311963090707041</c:v>
                </c:pt>
                <c:pt idx="148">
                  <c:v>11.47649008347611</c:v>
                </c:pt>
                <c:pt idx="149">
                  <c:v>11.445484422887645</c:v>
                </c:pt>
                <c:pt idx="150">
                  <c:v>11.432536811551998</c:v>
                </c:pt>
                <c:pt idx="151">
                  <c:v>11.524842590850502</c:v>
                </c:pt>
                <c:pt idx="152">
                  <c:v>11.830259859763585</c:v>
                </c:pt>
                <c:pt idx="153">
                  <c:v>12.066965324524514</c:v>
                </c:pt>
                <c:pt idx="154">
                  <c:v>12.131581664990305</c:v>
                </c:pt>
                <c:pt idx="155">
                  <c:v>12.17525642016861</c:v>
                </c:pt>
                <c:pt idx="156">
                  <c:v>12.151808234568996</c:v>
                </c:pt>
                <c:pt idx="157">
                  <c:v>12.213729819340982</c:v>
                </c:pt>
                <c:pt idx="158">
                  <c:v>12.275484000649898</c:v>
                </c:pt>
                <c:pt idx="159">
                  <c:v>12.311829934406484</c:v>
                </c:pt>
                <c:pt idx="160">
                  <c:v>12.264398457414643</c:v>
                </c:pt>
                <c:pt idx="161">
                  <c:v>12.169304471453886</c:v>
                </c:pt>
                <c:pt idx="162">
                  <c:v>12.129179725977586</c:v>
                </c:pt>
                <c:pt idx="163">
                  <c:v>12.189021785987663</c:v>
                </c:pt>
                <c:pt idx="164">
                  <c:v>12.21974945384536</c:v>
                </c:pt>
                <c:pt idx="165">
                  <c:v>12.114168130997315</c:v>
                </c:pt>
                <c:pt idx="166">
                  <c:v>12.117909705235011</c:v>
                </c:pt>
                <c:pt idx="167">
                  <c:v>12.126282462939733</c:v>
                </c:pt>
                <c:pt idx="168">
                  <c:v>12.067270819760813</c:v>
                </c:pt>
                <c:pt idx="169">
                  <c:v>11.772910041370041</c:v>
                </c:pt>
                <c:pt idx="170">
                  <c:v>11.534795343010209</c:v>
                </c:pt>
                <c:pt idx="171">
                  <c:v>11.322255811354019</c:v>
                </c:pt>
                <c:pt idx="172">
                  <c:v>11.251140330700592</c:v>
                </c:pt>
                <c:pt idx="173">
                  <c:v>11.07296481280115</c:v>
                </c:pt>
                <c:pt idx="174">
                  <c:v>11.001530054016591</c:v>
                </c:pt>
                <c:pt idx="175">
                  <c:v>10.858611343684011</c:v>
                </c:pt>
                <c:pt idx="176">
                  <c:v>10.709662298363792</c:v>
                </c:pt>
                <c:pt idx="177">
                  <c:v>10.635842972248566</c:v>
                </c:pt>
                <c:pt idx="178">
                  <c:v>10.539657509272695</c:v>
                </c:pt>
                <c:pt idx="179">
                  <c:v>10.536282790080413</c:v>
                </c:pt>
                <c:pt idx="180">
                  <c:v>10.556874671318884</c:v>
                </c:pt>
                <c:pt idx="181">
                  <c:v>10.438955548416587</c:v>
                </c:pt>
                <c:pt idx="182">
                  <c:v>10.315725224440174</c:v>
                </c:pt>
                <c:pt idx="183">
                  <c:v>10.202095616927643</c:v>
                </c:pt>
                <c:pt idx="184">
                  <c:v>10.322782422762412</c:v>
                </c:pt>
                <c:pt idx="185">
                  <c:v>10.513122896040576</c:v>
                </c:pt>
                <c:pt idx="186">
                  <c:v>10.69256570741465</c:v>
                </c:pt>
                <c:pt idx="187">
                  <c:v>10.714268759188627</c:v>
                </c:pt>
                <c:pt idx="188">
                  <c:v>10.649625358428468</c:v>
                </c:pt>
                <c:pt idx="189">
                  <c:v>10.628901859082786</c:v>
                </c:pt>
                <c:pt idx="190">
                  <c:v>10.743646634805769</c:v>
                </c:pt>
                <c:pt idx="191">
                  <c:v>10.794774425526349</c:v>
                </c:pt>
                <c:pt idx="192">
                  <c:v>10.609291646090394</c:v>
                </c:pt>
                <c:pt idx="193">
                  <c:v>10.578782672596223</c:v>
                </c:pt>
                <c:pt idx="194">
                  <c:v>10.646554716837137</c:v>
                </c:pt>
                <c:pt idx="195">
                  <c:v>10.837403342410342</c:v>
                </c:pt>
                <c:pt idx="196">
                  <c:v>10.88503504940992</c:v>
                </c:pt>
                <c:pt idx="197">
                  <c:v>10.755942129999999</c:v>
                </c:pt>
                <c:pt idx="198">
                  <c:v>10.85608912</c:v>
                </c:pt>
                <c:pt idx="199">
                  <c:v>10.90647963</c:v>
                </c:pt>
                <c:pt idx="200">
                  <c:v>10.76103958</c:v>
                </c:pt>
                <c:pt idx="201">
                  <c:v>10.50666088</c:v>
                </c:pt>
                <c:pt idx="202">
                  <c:v>10.32777847</c:v>
                </c:pt>
                <c:pt idx="203">
                  <c:v>10.320059949999999</c:v>
                </c:pt>
                <c:pt idx="204">
                  <c:v>10.35745</c:v>
                </c:pt>
                <c:pt idx="205">
                  <c:v>10.314901389999999</c:v>
                </c:pt>
                <c:pt idx="206">
                  <c:v>10.251849310000001</c:v>
                </c:pt>
                <c:pt idx="207">
                  <c:v>10.118454399999999</c:v>
                </c:pt>
                <c:pt idx="208">
                  <c:v>10.140983800000001</c:v>
                </c:pt>
                <c:pt idx="209">
                  <c:v>10.185798610000001</c:v>
                </c:pt>
                <c:pt idx="210">
                  <c:v>10.38296435</c:v>
                </c:pt>
                <c:pt idx="211">
                  <c:v>10.59047685</c:v>
                </c:pt>
                <c:pt idx="212">
                  <c:v>10.87207963</c:v>
                </c:pt>
                <c:pt idx="213">
                  <c:v>11.16372662</c:v>
                </c:pt>
                <c:pt idx="214">
                  <c:v>11.42377454</c:v>
                </c:pt>
                <c:pt idx="215">
                  <c:v>11.58007755</c:v>
                </c:pt>
                <c:pt idx="216">
                  <c:v>11.742655320000001</c:v>
                </c:pt>
                <c:pt idx="217">
                  <c:v>11.840356249999999</c:v>
                </c:pt>
                <c:pt idx="218">
                  <c:v>11.81759375</c:v>
                </c:pt>
                <c:pt idx="219">
                  <c:v>11.31548634</c:v>
                </c:pt>
                <c:pt idx="220">
                  <c:v>10.8287412</c:v>
                </c:pt>
                <c:pt idx="221">
                  <c:v>10.543027779999999</c:v>
                </c:pt>
                <c:pt idx="222">
                  <c:v>10.82452106</c:v>
                </c:pt>
                <c:pt idx="223">
                  <c:v>11.015386339999999</c:v>
                </c:pt>
                <c:pt idx="224">
                  <c:v>11.07954352</c:v>
                </c:pt>
                <c:pt idx="225">
                  <c:v>10.95344884</c:v>
                </c:pt>
                <c:pt idx="226">
                  <c:v>11.00822106</c:v>
                </c:pt>
                <c:pt idx="227">
                  <c:v>11.026826850000001</c:v>
                </c:pt>
                <c:pt idx="228">
                  <c:v>10.835220830000001</c:v>
                </c:pt>
                <c:pt idx="229">
                  <c:v>10.55035509</c:v>
                </c:pt>
                <c:pt idx="230">
                  <c:v>10.419950930000001</c:v>
                </c:pt>
                <c:pt idx="231">
                  <c:v>10.6398537</c:v>
                </c:pt>
                <c:pt idx="232">
                  <c:v>10.86038102</c:v>
                </c:pt>
                <c:pt idx="233">
                  <c:v>11.053596300000001</c:v>
                </c:pt>
                <c:pt idx="234">
                  <c:v>11.1946581</c:v>
                </c:pt>
                <c:pt idx="235">
                  <c:v>11.238350690000001</c:v>
                </c:pt>
                <c:pt idx="236">
                  <c:v>11.17820231</c:v>
                </c:pt>
                <c:pt idx="237">
                  <c:v>11.14771505</c:v>
                </c:pt>
                <c:pt idx="238">
                  <c:v>11.242381480000001</c:v>
                </c:pt>
                <c:pt idx="239">
                  <c:v>11.228382180000001</c:v>
                </c:pt>
                <c:pt idx="240">
                  <c:v>11.10670532</c:v>
                </c:pt>
                <c:pt idx="241">
                  <c:v>10.93861134</c:v>
                </c:pt>
                <c:pt idx="242">
                  <c:v>10.953938429999999</c:v>
                </c:pt>
                <c:pt idx="243">
                  <c:v>11.08825903</c:v>
                </c:pt>
                <c:pt idx="244">
                  <c:v>11.23724537</c:v>
                </c:pt>
                <c:pt idx="245">
                  <c:v>11.353516900000001</c:v>
                </c:pt>
                <c:pt idx="246">
                  <c:v>11.39631065</c:v>
                </c:pt>
                <c:pt idx="247">
                  <c:v>11.51005486</c:v>
                </c:pt>
                <c:pt idx="248">
                  <c:v>11.50591852</c:v>
                </c:pt>
                <c:pt idx="249">
                  <c:v>11.54093102</c:v>
                </c:pt>
                <c:pt idx="250">
                  <c:v>11.153098610000001</c:v>
                </c:pt>
                <c:pt idx="251">
                  <c:v>10.80257778</c:v>
                </c:pt>
                <c:pt idx="252">
                  <c:v>10.415200690000001</c:v>
                </c:pt>
                <c:pt idx="253">
                  <c:v>10.4038044</c:v>
                </c:pt>
                <c:pt idx="254">
                  <c:v>10.509411569999999</c:v>
                </c:pt>
                <c:pt idx="255">
                  <c:v>10.495975230000001</c:v>
                </c:pt>
                <c:pt idx="256">
                  <c:v>10.37066134</c:v>
                </c:pt>
                <c:pt idx="257">
                  <c:v>10.161891900000001</c:v>
                </c:pt>
                <c:pt idx="258">
                  <c:v>10.019836809999999</c:v>
                </c:pt>
                <c:pt idx="259">
                  <c:v>9.9122488430000004</c:v>
                </c:pt>
                <c:pt idx="260">
                  <c:v>9.858500694</c:v>
                </c:pt>
                <c:pt idx="261">
                  <c:v>9.8144930559999999</c:v>
                </c:pt>
                <c:pt idx="262">
                  <c:v>9.7569214350000006</c:v>
                </c:pt>
                <c:pt idx="263">
                  <c:v>9.6996651850000006</c:v>
                </c:pt>
                <c:pt idx="264">
                  <c:v>9.6783721299999996</c:v>
                </c:pt>
                <c:pt idx="265">
                  <c:v>9.7535307870000008</c:v>
                </c:pt>
                <c:pt idx="266">
                  <c:v>9.7932539349999992</c:v>
                </c:pt>
                <c:pt idx="267">
                  <c:v>9.8270081020000006</c:v>
                </c:pt>
                <c:pt idx="268">
                  <c:v>9.7538451389999992</c:v>
                </c:pt>
                <c:pt idx="269">
                  <c:v>9.7510018059999997</c:v>
                </c:pt>
                <c:pt idx="270">
                  <c:v>9.7585754169999994</c:v>
                </c:pt>
                <c:pt idx="271">
                  <c:v>9.7879115280000004</c:v>
                </c:pt>
                <c:pt idx="272">
                  <c:v>9.7526525460000002</c:v>
                </c:pt>
                <c:pt idx="273">
                  <c:v>9.699669213</c:v>
                </c:pt>
                <c:pt idx="274">
                  <c:v>9.6911738429999996</c:v>
                </c:pt>
                <c:pt idx="275">
                  <c:v>9.7326164350000006</c:v>
                </c:pt>
                <c:pt idx="276">
                  <c:v>9.7317951390000008</c:v>
                </c:pt>
                <c:pt idx="277">
                  <c:v>9.6604097220000007</c:v>
                </c:pt>
                <c:pt idx="278">
                  <c:v>9.5190935190000001</c:v>
                </c:pt>
                <c:pt idx="279">
                  <c:v>9.4382946759999999</c:v>
                </c:pt>
                <c:pt idx="280">
                  <c:v>9.4440199069999995</c:v>
                </c:pt>
                <c:pt idx="281">
                  <c:v>9.4704229170000005</c:v>
                </c:pt>
                <c:pt idx="282">
                  <c:v>9.5080965279999994</c:v>
                </c:pt>
                <c:pt idx="283">
                  <c:v>9.4984199070000006</c:v>
                </c:pt>
                <c:pt idx="284">
                  <c:v>9.4829261569999996</c:v>
                </c:pt>
                <c:pt idx="285">
                  <c:v>9.4367275460000002</c:v>
                </c:pt>
                <c:pt idx="286">
                  <c:v>9.4755180560000003</c:v>
                </c:pt>
                <c:pt idx="287">
                  <c:v>9.5042909719999997</c:v>
                </c:pt>
                <c:pt idx="288">
                  <c:v>9.4968368059999992</c:v>
                </c:pt>
                <c:pt idx="289">
                  <c:v>9.4266145829999992</c:v>
                </c:pt>
                <c:pt idx="290">
                  <c:v>9.4355456019999995</c:v>
                </c:pt>
                <c:pt idx="291">
                  <c:v>9.3810050930000006</c:v>
                </c:pt>
                <c:pt idx="292">
                  <c:v>9.3401615739999997</c:v>
                </c:pt>
                <c:pt idx="293">
                  <c:v>9.2687668980000009</c:v>
                </c:pt>
                <c:pt idx="294">
                  <c:v>9.3096458329999994</c:v>
                </c:pt>
                <c:pt idx="295">
                  <c:v>9.3035983800000004</c:v>
                </c:pt>
                <c:pt idx="296">
                  <c:v>9.2910085650000003</c:v>
                </c:pt>
                <c:pt idx="297">
                  <c:v>9.2658668980000005</c:v>
                </c:pt>
                <c:pt idx="298">
                  <c:v>9.2857231480000006</c:v>
                </c:pt>
                <c:pt idx="299">
                  <c:v>9.3328490740000003</c:v>
                </c:pt>
                <c:pt idx="300">
                  <c:v>9.3568738430000007</c:v>
                </c:pt>
                <c:pt idx="301">
                  <c:v>9.2917849540000006</c:v>
                </c:pt>
                <c:pt idx="302">
                  <c:v>9.3044511570000008</c:v>
                </c:pt>
                <c:pt idx="303">
                  <c:v>9.2803000000000004</c:v>
                </c:pt>
                <c:pt idx="304">
                  <c:v>9.3259430559999998</c:v>
                </c:pt>
                <c:pt idx="305">
                  <c:v>9.2993618060000003</c:v>
                </c:pt>
                <c:pt idx="306">
                  <c:v>9.3252474539999994</c:v>
                </c:pt>
                <c:pt idx="307">
                  <c:v>9.388946528</c:v>
                </c:pt>
                <c:pt idx="308">
                  <c:v>9.4047613430000006</c:v>
                </c:pt>
                <c:pt idx="309">
                  <c:v>9.4149865740000003</c:v>
                </c:pt>
                <c:pt idx="310">
                  <c:v>9.3667525460000007</c:v>
                </c:pt>
                <c:pt idx="311">
                  <c:v>9.3784833330000001</c:v>
                </c:pt>
                <c:pt idx="312">
                  <c:v>9.3740245370000004</c:v>
                </c:pt>
                <c:pt idx="313">
                  <c:v>9.4164562499999995</c:v>
                </c:pt>
                <c:pt idx="314">
                  <c:v>9.471600231</c:v>
                </c:pt>
                <c:pt idx="315">
                  <c:v>9.5297634260000006</c:v>
                </c:pt>
                <c:pt idx="316">
                  <c:v>9.5456743060000004</c:v>
                </c:pt>
                <c:pt idx="317">
                  <c:v>9.4503729169999993</c:v>
                </c:pt>
                <c:pt idx="318">
                  <c:v>9.383567824</c:v>
                </c:pt>
                <c:pt idx="319">
                  <c:v>9.3006912039999996</c:v>
                </c:pt>
                <c:pt idx="320">
                  <c:v>9.2617386570000004</c:v>
                </c:pt>
                <c:pt idx="321">
                  <c:v>9.2832094909999991</c:v>
                </c:pt>
                <c:pt idx="322">
                  <c:v>9.3211324070000003</c:v>
                </c:pt>
                <c:pt idx="323">
                  <c:v>9.3675701389999997</c:v>
                </c:pt>
                <c:pt idx="324">
                  <c:v>9.3908134259999994</c:v>
                </c:pt>
                <c:pt idx="325">
                  <c:v>9.4658185190000008</c:v>
                </c:pt>
                <c:pt idx="326">
                  <c:v>9.5029199070000008</c:v>
                </c:pt>
                <c:pt idx="327">
                  <c:v>9.4879347220000003</c:v>
                </c:pt>
                <c:pt idx="328">
                  <c:v>9.4525319440000004</c:v>
                </c:pt>
                <c:pt idx="329">
                  <c:v>9.4550534719999995</c:v>
                </c:pt>
                <c:pt idx="330">
                  <c:v>9.4272337959999994</c:v>
                </c:pt>
                <c:pt idx="331">
                  <c:v>9.3864527780000007</c:v>
                </c:pt>
                <c:pt idx="332">
                  <c:v>9.305282407</c:v>
                </c:pt>
                <c:pt idx="333">
                  <c:v>9.3092333329999999</c:v>
                </c:pt>
                <c:pt idx="334">
                  <c:v>9.2903412040000006</c:v>
                </c:pt>
                <c:pt idx="335">
                  <c:v>9.2853328699999995</c:v>
                </c:pt>
                <c:pt idx="336">
                  <c:v>9.3025652310000009</c:v>
                </c:pt>
                <c:pt idx="337">
                  <c:v>9.3458897689999993</c:v>
                </c:pt>
                <c:pt idx="338">
                  <c:v>9.3904237039999998</c:v>
                </c:pt>
                <c:pt idx="339">
                  <c:v>9.3931422219999998</c:v>
                </c:pt>
                <c:pt idx="340">
                  <c:v>9.3283190739999995</c:v>
                </c:pt>
                <c:pt idx="341">
                  <c:v>9.2651082870000003</c:v>
                </c:pt>
                <c:pt idx="342">
                  <c:v>9.2040567129999999</c:v>
                </c:pt>
                <c:pt idx="343">
                  <c:v>9.1970843749999993</c:v>
                </c:pt>
                <c:pt idx="344">
                  <c:v>9.2343562499999994</c:v>
                </c:pt>
                <c:pt idx="345">
                  <c:v>9.2882301869999999</c:v>
                </c:pt>
                <c:pt idx="346">
                  <c:v>9.3421041240000005</c:v>
                </c:pt>
                <c:pt idx="347">
                  <c:v>9.3959780609999992</c:v>
                </c:pt>
                <c:pt idx="348">
                  <c:v>9.4498519979999998</c:v>
                </c:pt>
                <c:pt idx="349">
                  <c:v>9.5037259350000003</c:v>
                </c:pt>
                <c:pt idx="350">
                  <c:v>9.5575998720000008</c:v>
                </c:pt>
                <c:pt idx="351">
                  <c:v>9.6114738099999997</c:v>
                </c:pt>
                <c:pt idx="352">
                  <c:v>9.5860261409999996</c:v>
                </c:pt>
                <c:pt idx="353">
                  <c:v>9.5667299270000008</c:v>
                </c:pt>
                <c:pt idx="354">
                  <c:v>9.5536247690000007</c:v>
                </c:pt>
                <c:pt idx="355">
                  <c:v>9.5391393519999994</c:v>
                </c:pt>
                <c:pt idx="356">
                  <c:v>9.5765539349999997</c:v>
                </c:pt>
                <c:pt idx="357">
                  <c:v>9.6263328700000006</c:v>
                </c:pt>
                <c:pt idx="358">
                  <c:v>9.6990097219999996</c:v>
                </c:pt>
                <c:pt idx="359">
                  <c:v>9.709380093</c:v>
                </c:pt>
                <c:pt idx="360">
                  <c:v>9.6727689810000008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3-4658-BD55-03C7F1D33A1A}"/>
            </c:ext>
          </c:extLst>
        </c:ser>
        <c:ser>
          <c:idx val="1"/>
          <c:order val="1"/>
          <c:tx>
            <c:v>parameter fitting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35.267864369999998</c:v>
                </c:pt>
                <c:pt idx="1">
                  <c:v>35.199370960000003</c:v>
                </c:pt>
                <c:pt idx="2">
                  <c:v>34.623326589999998</c:v>
                </c:pt>
                <c:pt idx="3">
                  <c:v>34.04728222</c:v>
                </c:pt>
                <c:pt idx="4">
                  <c:v>33.471237840000001</c:v>
                </c:pt>
                <c:pt idx="5">
                  <c:v>32.895193470000002</c:v>
                </c:pt>
                <c:pt idx="6">
                  <c:v>32.731530429999999</c:v>
                </c:pt>
                <c:pt idx="7">
                  <c:v>32.596651250000001</c:v>
                </c:pt>
                <c:pt idx="8">
                  <c:v>32.453658779999998</c:v>
                </c:pt>
                <c:pt idx="9">
                  <c:v>32.176603569999997</c:v>
                </c:pt>
                <c:pt idx="10">
                  <c:v>31.936275819999999</c:v>
                </c:pt>
                <c:pt idx="11">
                  <c:v>31.824461490000001</c:v>
                </c:pt>
                <c:pt idx="12">
                  <c:v>31.65967307</c:v>
                </c:pt>
                <c:pt idx="13">
                  <c:v>31.473443629999998</c:v>
                </c:pt>
                <c:pt idx="14">
                  <c:v>31.851141940000002</c:v>
                </c:pt>
                <c:pt idx="15">
                  <c:v>31.819434780000002</c:v>
                </c:pt>
                <c:pt idx="16">
                  <c:v>31.599505149999999</c:v>
                </c:pt>
                <c:pt idx="17">
                  <c:v>31.463331279999998</c:v>
                </c:pt>
                <c:pt idx="18">
                  <c:v>33.151635159999998</c:v>
                </c:pt>
                <c:pt idx="19">
                  <c:v>32.998640119999997</c:v>
                </c:pt>
                <c:pt idx="20">
                  <c:v>32.794448670000001</c:v>
                </c:pt>
                <c:pt idx="21">
                  <c:v>32.16676768</c:v>
                </c:pt>
                <c:pt idx="22">
                  <c:v>31.5241881</c:v>
                </c:pt>
                <c:pt idx="23">
                  <c:v>31.13882216</c:v>
                </c:pt>
                <c:pt idx="24">
                  <c:v>30.705000569999999</c:v>
                </c:pt>
                <c:pt idx="25">
                  <c:v>30.48845481</c:v>
                </c:pt>
                <c:pt idx="26">
                  <c:v>30.405468679999998</c:v>
                </c:pt>
                <c:pt idx="27">
                  <c:v>30.415750249999999</c:v>
                </c:pt>
                <c:pt idx="28">
                  <c:v>30.36207881</c:v>
                </c:pt>
                <c:pt idx="29">
                  <c:v>30.33575037</c:v>
                </c:pt>
                <c:pt idx="30">
                  <c:v>32.315058319999999</c:v>
                </c:pt>
                <c:pt idx="31">
                  <c:v>36.337446049999997</c:v>
                </c:pt>
                <c:pt idx="32">
                  <c:v>37.049316390000001</c:v>
                </c:pt>
                <c:pt idx="33">
                  <c:v>37.15953253</c:v>
                </c:pt>
                <c:pt idx="34">
                  <c:v>36.058666850000002</c:v>
                </c:pt>
                <c:pt idx="35">
                  <c:v>35.327276830000002</c:v>
                </c:pt>
                <c:pt idx="36">
                  <c:v>34.870909230000002</c:v>
                </c:pt>
                <c:pt idx="37">
                  <c:v>36.107426869999998</c:v>
                </c:pt>
                <c:pt idx="38">
                  <c:v>36.894246109999997</c:v>
                </c:pt>
                <c:pt idx="39">
                  <c:v>35.586914149999998</c:v>
                </c:pt>
                <c:pt idx="40">
                  <c:v>34.740036500000002</c:v>
                </c:pt>
                <c:pt idx="41">
                  <c:v>34.140657150000003</c:v>
                </c:pt>
                <c:pt idx="42">
                  <c:v>33.75517962</c:v>
                </c:pt>
                <c:pt idx="43">
                  <c:v>33.440578500000001</c:v>
                </c:pt>
                <c:pt idx="44">
                  <c:v>33.366809619999998</c:v>
                </c:pt>
                <c:pt idx="45">
                  <c:v>33.278173049999999</c:v>
                </c:pt>
                <c:pt idx="46">
                  <c:v>32.98972054</c:v>
                </c:pt>
                <c:pt idx="47">
                  <c:v>32.62021361</c:v>
                </c:pt>
                <c:pt idx="48">
                  <c:v>32.632159119999997</c:v>
                </c:pt>
                <c:pt idx="49">
                  <c:v>35.194891390000002</c:v>
                </c:pt>
                <c:pt idx="50">
                  <c:v>35.554192559999997</c:v>
                </c:pt>
                <c:pt idx="51">
                  <c:v>34.451621500000002</c:v>
                </c:pt>
                <c:pt idx="52">
                  <c:v>33.91866606</c:v>
                </c:pt>
                <c:pt idx="53">
                  <c:v>34.9264315</c:v>
                </c:pt>
                <c:pt idx="54">
                  <c:v>35.972049939999998</c:v>
                </c:pt>
                <c:pt idx="55">
                  <c:v>37.452550330000001</c:v>
                </c:pt>
                <c:pt idx="56">
                  <c:v>36.853394530000003</c:v>
                </c:pt>
                <c:pt idx="57">
                  <c:v>35.419109859999999</c:v>
                </c:pt>
                <c:pt idx="58">
                  <c:v>34.230262949999997</c:v>
                </c:pt>
                <c:pt idx="59">
                  <c:v>33.353690100000001</c:v>
                </c:pt>
                <c:pt idx="60">
                  <c:v>32.906982669999998</c:v>
                </c:pt>
                <c:pt idx="61">
                  <c:v>34.001598059999999</c:v>
                </c:pt>
                <c:pt idx="62">
                  <c:v>33.594117490000002</c:v>
                </c:pt>
                <c:pt idx="63">
                  <c:v>32.863698669999998</c:v>
                </c:pt>
                <c:pt idx="64">
                  <c:v>31.929528520000002</c:v>
                </c:pt>
                <c:pt idx="65">
                  <c:v>31.818754460000001</c:v>
                </c:pt>
                <c:pt idx="66">
                  <c:v>31.978542340000001</c:v>
                </c:pt>
                <c:pt idx="67">
                  <c:v>32.119359099999997</c:v>
                </c:pt>
                <c:pt idx="68">
                  <c:v>31.388270840000001</c:v>
                </c:pt>
                <c:pt idx="69">
                  <c:v>30.826170189999999</c:v>
                </c:pt>
                <c:pt idx="70">
                  <c:v>30.795057920000001</c:v>
                </c:pt>
                <c:pt idx="71">
                  <c:v>31.101263939999999</c:v>
                </c:pt>
                <c:pt idx="72">
                  <c:v>30.589301259999999</c:v>
                </c:pt>
                <c:pt idx="73">
                  <c:v>29.800246179999998</c:v>
                </c:pt>
                <c:pt idx="74">
                  <c:v>29.522743200000001</c:v>
                </c:pt>
                <c:pt idx="75">
                  <c:v>31.74014558</c:v>
                </c:pt>
                <c:pt idx="76">
                  <c:v>32.477372670000001</c:v>
                </c:pt>
                <c:pt idx="77">
                  <c:v>31.771021260000001</c:v>
                </c:pt>
                <c:pt idx="78">
                  <c:v>33.994098200000003</c:v>
                </c:pt>
                <c:pt idx="79">
                  <c:v>33.625050559999998</c:v>
                </c:pt>
                <c:pt idx="80">
                  <c:v>32.261598679999999</c:v>
                </c:pt>
                <c:pt idx="81">
                  <c:v>31.270556769999999</c:v>
                </c:pt>
                <c:pt idx="82">
                  <c:v>31.341742480000001</c:v>
                </c:pt>
                <c:pt idx="83">
                  <c:v>31.499305639999999</c:v>
                </c:pt>
                <c:pt idx="84">
                  <c:v>30.844746300000001</c:v>
                </c:pt>
                <c:pt idx="85">
                  <c:v>31.0929526</c:v>
                </c:pt>
                <c:pt idx="86">
                  <c:v>32.520759689999998</c:v>
                </c:pt>
                <c:pt idx="87">
                  <c:v>31.125154739999999</c:v>
                </c:pt>
                <c:pt idx="88">
                  <c:v>29.743116709999999</c:v>
                </c:pt>
                <c:pt idx="89">
                  <c:v>28.8351975</c:v>
                </c:pt>
                <c:pt idx="90">
                  <c:v>28.799934329999999</c:v>
                </c:pt>
                <c:pt idx="91">
                  <c:v>28.887370539999999</c:v>
                </c:pt>
                <c:pt idx="92">
                  <c:v>29.193154150000002</c:v>
                </c:pt>
                <c:pt idx="93">
                  <c:v>30.55840019</c:v>
                </c:pt>
                <c:pt idx="94">
                  <c:v>35.744805159999999</c:v>
                </c:pt>
                <c:pt idx="95">
                  <c:v>35.842524480000002</c:v>
                </c:pt>
                <c:pt idx="96">
                  <c:v>36.535171249999998</c:v>
                </c:pt>
                <c:pt idx="97">
                  <c:v>34.810315729999999</c:v>
                </c:pt>
                <c:pt idx="98">
                  <c:v>33.261872709999999</c:v>
                </c:pt>
                <c:pt idx="99">
                  <c:v>31.86671977</c:v>
                </c:pt>
                <c:pt idx="100">
                  <c:v>32.24562555</c:v>
                </c:pt>
                <c:pt idx="101">
                  <c:v>31.37779368</c:v>
                </c:pt>
                <c:pt idx="102">
                  <c:v>30.15338985</c:v>
                </c:pt>
                <c:pt idx="103">
                  <c:v>29.028954760000001</c:v>
                </c:pt>
                <c:pt idx="104">
                  <c:v>28.037238429999999</c:v>
                </c:pt>
                <c:pt idx="105">
                  <c:v>27.24554938</c:v>
                </c:pt>
                <c:pt idx="106">
                  <c:v>26.513923210000002</c:v>
                </c:pt>
                <c:pt idx="107">
                  <c:v>25.963983989999999</c:v>
                </c:pt>
                <c:pt idx="108">
                  <c:v>25.410947029999999</c:v>
                </c:pt>
                <c:pt idx="109">
                  <c:v>24.80153571</c:v>
                </c:pt>
                <c:pt idx="110">
                  <c:v>24.038942729999999</c:v>
                </c:pt>
                <c:pt idx="111">
                  <c:v>23.179958790000001</c:v>
                </c:pt>
                <c:pt idx="112">
                  <c:v>22.30171606</c:v>
                </c:pt>
                <c:pt idx="113">
                  <c:v>21.46442734</c:v>
                </c:pt>
                <c:pt idx="114">
                  <c:v>20.719359000000001</c:v>
                </c:pt>
                <c:pt idx="115">
                  <c:v>19.88384787</c:v>
                </c:pt>
                <c:pt idx="116">
                  <c:v>19.072466779999999</c:v>
                </c:pt>
                <c:pt idx="117">
                  <c:v>18.425209639999999</c:v>
                </c:pt>
                <c:pt idx="118">
                  <c:v>17.816724879999999</c:v>
                </c:pt>
                <c:pt idx="119">
                  <c:v>17.140961189999999</c:v>
                </c:pt>
                <c:pt idx="120">
                  <c:v>16.502159339999999</c:v>
                </c:pt>
                <c:pt idx="121">
                  <c:v>15.95645056</c:v>
                </c:pt>
                <c:pt idx="122">
                  <c:v>15.55499893</c:v>
                </c:pt>
                <c:pt idx="123">
                  <c:v>15.348166989999999</c:v>
                </c:pt>
                <c:pt idx="124">
                  <c:v>15.101807239999999</c:v>
                </c:pt>
                <c:pt idx="125">
                  <c:v>14.684364349999999</c:v>
                </c:pt>
                <c:pt idx="126">
                  <c:v>14.271982899999999</c:v>
                </c:pt>
                <c:pt idx="127">
                  <c:v>13.87031172</c:v>
                </c:pt>
                <c:pt idx="128">
                  <c:v>13.63980514</c:v>
                </c:pt>
                <c:pt idx="129">
                  <c:v>13.401795099999999</c:v>
                </c:pt>
                <c:pt idx="130">
                  <c:v>13.20122716</c:v>
                </c:pt>
                <c:pt idx="131">
                  <c:v>13.036760210000001</c:v>
                </c:pt>
                <c:pt idx="132">
                  <c:v>12.86473165</c:v>
                </c:pt>
                <c:pt idx="133">
                  <c:v>12.730354670000001</c:v>
                </c:pt>
                <c:pt idx="134">
                  <c:v>12.688782939999999</c:v>
                </c:pt>
                <c:pt idx="135">
                  <c:v>12.6080413</c:v>
                </c:pt>
                <c:pt idx="136">
                  <c:v>12.53482627</c:v>
                </c:pt>
                <c:pt idx="137">
                  <c:v>14.06551093</c:v>
                </c:pt>
                <c:pt idx="138">
                  <c:v>19.39806797</c:v>
                </c:pt>
                <c:pt idx="139">
                  <c:v>18.44004434</c:v>
                </c:pt>
                <c:pt idx="140">
                  <c:v>17.384240810000001</c:v>
                </c:pt>
                <c:pt idx="141">
                  <c:v>16.398364990000001</c:v>
                </c:pt>
                <c:pt idx="142">
                  <c:v>15.65534892</c:v>
                </c:pt>
                <c:pt idx="143">
                  <c:v>15.38024931</c:v>
                </c:pt>
                <c:pt idx="144">
                  <c:v>15.27167524</c:v>
                </c:pt>
                <c:pt idx="145">
                  <c:v>16.678517920000001</c:v>
                </c:pt>
                <c:pt idx="146">
                  <c:v>16.54071879</c:v>
                </c:pt>
                <c:pt idx="147">
                  <c:v>16.248685519999999</c:v>
                </c:pt>
                <c:pt idx="148">
                  <c:v>15.58995943</c:v>
                </c:pt>
                <c:pt idx="149">
                  <c:v>14.98981232</c:v>
                </c:pt>
                <c:pt idx="150">
                  <c:v>14.793556730000001</c:v>
                </c:pt>
                <c:pt idx="151">
                  <c:v>14.74284316</c:v>
                </c:pt>
                <c:pt idx="152">
                  <c:v>14.499666530000001</c:v>
                </c:pt>
                <c:pt idx="153">
                  <c:v>14.16781508</c:v>
                </c:pt>
                <c:pt idx="154">
                  <c:v>13.951461269999999</c:v>
                </c:pt>
                <c:pt idx="155">
                  <c:v>14.009044640000001</c:v>
                </c:pt>
                <c:pt idx="156">
                  <c:v>13.879249120000001</c:v>
                </c:pt>
                <c:pt idx="157">
                  <c:v>13.64750184</c:v>
                </c:pt>
                <c:pt idx="158">
                  <c:v>13.414761370000001</c:v>
                </c:pt>
                <c:pt idx="159">
                  <c:v>13.26942494</c:v>
                </c:pt>
                <c:pt idx="160">
                  <c:v>13.205224919999999</c:v>
                </c:pt>
                <c:pt idx="161">
                  <c:v>13.355707130000001</c:v>
                </c:pt>
                <c:pt idx="162">
                  <c:v>13.33863618</c:v>
                </c:pt>
                <c:pt idx="163">
                  <c:v>13.185748419999999</c:v>
                </c:pt>
                <c:pt idx="164">
                  <c:v>13.07836318</c:v>
                </c:pt>
                <c:pt idx="165">
                  <c:v>12.97803485</c:v>
                </c:pt>
                <c:pt idx="166">
                  <c:v>12.902941589999999</c:v>
                </c:pt>
                <c:pt idx="167">
                  <c:v>12.7998665</c:v>
                </c:pt>
                <c:pt idx="168">
                  <c:v>12.63004312</c:v>
                </c:pt>
                <c:pt idx="169">
                  <c:v>13.155723289999999</c:v>
                </c:pt>
                <c:pt idx="170">
                  <c:v>13.956676290000001</c:v>
                </c:pt>
                <c:pt idx="171">
                  <c:v>14.164007379999999</c:v>
                </c:pt>
                <c:pt idx="172">
                  <c:v>14.734635519999999</c:v>
                </c:pt>
                <c:pt idx="173">
                  <c:v>17.246028720000002</c:v>
                </c:pt>
                <c:pt idx="174">
                  <c:v>18.74071996</c:v>
                </c:pt>
                <c:pt idx="175">
                  <c:v>20.227284220000001</c:v>
                </c:pt>
                <c:pt idx="176">
                  <c:v>21.19711088</c:v>
                </c:pt>
                <c:pt idx="177">
                  <c:v>25.43261051</c:v>
                </c:pt>
                <c:pt idx="178">
                  <c:v>26.221159400000001</c:v>
                </c:pt>
                <c:pt idx="179">
                  <c:v>26.9255639</c:v>
                </c:pt>
                <c:pt idx="180">
                  <c:v>27.149733980000001</c:v>
                </c:pt>
                <c:pt idx="181">
                  <c:v>26.333475459999999</c:v>
                </c:pt>
                <c:pt idx="182">
                  <c:v>30.160870540000001</c:v>
                </c:pt>
                <c:pt idx="183">
                  <c:v>30.605315959999999</c:v>
                </c:pt>
                <c:pt idx="184">
                  <c:v>29.030152279999999</c:v>
                </c:pt>
                <c:pt idx="185">
                  <c:v>29.878552970000001</c:v>
                </c:pt>
                <c:pt idx="186">
                  <c:v>28.688791210000002</c:v>
                </c:pt>
                <c:pt idx="187">
                  <c:v>27.443521619999999</c:v>
                </c:pt>
                <c:pt idx="188">
                  <c:v>30.81375194</c:v>
                </c:pt>
                <c:pt idx="189">
                  <c:v>29.740374639999999</c:v>
                </c:pt>
                <c:pt idx="190">
                  <c:v>28.506178670000001</c:v>
                </c:pt>
                <c:pt idx="191">
                  <c:v>28.70995636</c:v>
                </c:pt>
                <c:pt idx="192">
                  <c:v>28.919571529999999</c:v>
                </c:pt>
                <c:pt idx="193">
                  <c:v>31.453605799999998</c:v>
                </c:pt>
                <c:pt idx="194">
                  <c:v>30.016890579999998</c:v>
                </c:pt>
                <c:pt idx="195">
                  <c:v>28.919413080000002</c:v>
                </c:pt>
                <c:pt idx="196">
                  <c:v>27.982316730000001</c:v>
                </c:pt>
                <c:pt idx="197">
                  <c:v>26.723444570000002</c:v>
                </c:pt>
                <c:pt idx="198">
                  <c:v>25.654445620000001</c:v>
                </c:pt>
                <c:pt idx="199">
                  <c:v>24.529209720000001</c:v>
                </c:pt>
                <c:pt idx="200">
                  <c:v>23.790099219999998</c:v>
                </c:pt>
                <c:pt idx="201">
                  <c:v>26.870676620000001</c:v>
                </c:pt>
                <c:pt idx="202">
                  <c:v>28.72701249</c:v>
                </c:pt>
                <c:pt idx="203">
                  <c:v>27.4028524</c:v>
                </c:pt>
                <c:pt idx="204">
                  <c:v>26.618773340000001</c:v>
                </c:pt>
                <c:pt idx="205">
                  <c:v>25.998387139999998</c:v>
                </c:pt>
                <c:pt idx="206">
                  <c:v>26.04747352</c:v>
                </c:pt>
                <c:pt idx="207">
                  <c:v>27.0953205</c:v>
                </c:pt>
                <c:pt idx="208">
                  <c:v>30.646697830000001</c:v>
                </c:pt>
                <c:pt idx="209">
                  <c:v>31.595901990000002</c:v>
                </c:pt>
                <c:pt idx="210">
                  <c:v>30.403008979999999</c:v>
                </c:pt>
                <c:pt idx="211">
                  <c:v>29.23940283</c:v>
                </c:pt>
                <c:pt idx="212">
                  <c:v>27.90781342</c:v>
                </c:pt>
                <c:pt idx="213">
                  <c:v>26.715938170000001</c:v>
                </c:pt>
                <c:pt idx="214">
                  <c:v>23.995684529999998</c:v>
                </c:pt>
                <c:pt idx="215">
                  <c:v>23.760118290000001</c:v>
                </c:pt>
                <c:pt idx="216">
                  <c:v>23.499634690000001</c:v>
                </c:pt>
                <c:pt idx="217">
                  <c:v>23.244947880000002</c:v>
                </c:pt>
                <c:pt idx="218">
                  <c:v>22.945815929999998</c:v>
                </c:pt>
                <c:pt idx="219">
                  <c:v>24.033854080000001</c:v>
                </c:pt>
                <c:pt idx="220">
                  <c:v>29.503924309999999</c:v>
                </c:pt>
                <c:pt idx="221">
                  <c:v>28.741324030000001</c:v>
                </c:pt>
                <c:pt idx="222">
                  <c:v>27.919506779999999</c:v>
                </c:pt>
                <c:pt idx="223">
                  <c:v>27.538497199999998</c:v>
                </c:pt>
                <c:pt idx="224">
                  <c:v>27.490689060000001</c:v>
                </c:pt>
                <c:pt idx="225">
                  <c:v>27.14942469</c:v>
                </c:pt>
                <c:pt idx="226">
                  <c:v>26.665504800000001</c:v>
                </c:pt>
                <c:pt idx="227">
                  <c:v>26.042132200000001</c:v>
                </c:pt>
                <c:pt idx="228">
                  <c:v>26.149474999999999</c:v>
                </c:pt>
                <c:pt idx="229">
                  <c:v>28.088133899999999</c:v>
                </c:pt>
                <c:pt idx="230">
                  <c:v>28.545911050000001</c:v>
                </c:pt>
                <c:pt idx="231">
                  <c:v>27.659907440000001</c:v>
                </c:pt>
                <c:pt idx="232">
                  <c:v>26.895821860000002</c:v>
                </c:pt>
                <c:pt idx="233">
                  <c:v>26.33744772</c:v>
                </c:pt>
                <c:pt idx="234">
                  <c:v>25.88715526</c:v>
                </c:pt>
                <c:pt idx="235">
                  <c:v>25.506677029999999</c:v>
                </c:pt>
                <c:pt idx="236">
                  <c:v>25.1910922</c:v>
                </c:pt>
                <c:pt idx="237">
                  <c:v>24.911594260000001</c:v>
                </c:pt>
                <c:pt idx="238">
                  <c:v>24.608016750000001</c:v>
                </c:pt>
                <c:pt idx="239">
                  <c:v>24.29053407</c:v>
                </c:pt>
                <c:pt idx="240">
                  <c:v>24.058565919999999</c:v>
                </c:pt>
                <c:pt idx="241">
                  <c:v>24.03752459</c:v>
                </c:pt>
                <c:pt idx="242">
                  <c:v>23.844232989999998</c:v>
                </c:pt>
                <c:pt idx="243">
                  <c:v>23.499316360000002</c:v>
                </c:pt>
                <c:pt idx="244">
                  <c:v>23.00752091</c:v>
                </c:pt>
                <c:pt idx="245">
                  <c:v>22.501762830000001</c:v>
                </c:pt>
                <c:pt idx="246">
                  <c:v>22.083467949999999</c:v>
                </c:pt>
                <c:pt idx="247">
                  <c:v>21.6097535</c:v>
                </c:pt>
                <c:pt idx="248">
                  <c:v>21.045787919999999</c:v>
                </c:pt>
                <c:pt idx="249">
                  <c:v>20.432457429999999</c:v>
                </c:pt>
                <c:pt idx="250">
                  <c:v>20.28138113</c:v>
                </c:pt>
                <c:pt idx="251">
                  <c:v>20.465845399999999</c:v>
                </c:pt>
                <c:pt idx="252">
                  <c:v>20.799153319999999</c:v>
                </c:pt>
                <c:pt idx="253">
                  <c:v>20.935620499999999</c:v>
                </c:pt>
                <c:pt idx="254">
                  <c:v>20.872744860000001</c:v>
                </c:pt>
                <c:pt idx="255">
                  <c:v>21.092916590000002</c:v>
                </c:pt>
                <c:pt idx="256">
                  <c:v>24.21043173</c:v>
                </c:pt>
                <c:pt idx="257">
                  <c:v>29.412694940000002</c:v>
                </c:pt>
                <c:pt idx="258">
                  <c:v>32.923101580000001</c:v>
                </c:pt>
                <c:pt idx="259">
                  <c:v>32.142210300000002</c:v>
                </c:pt>
                <c:pt idx="260">
                  <c:v>32.631385719999997</c:v>
                </c:pt>
                <c:pt idx="261">
                  <c:v>33.575521379999998</c:v>
                </c:pt>
                <c:pt idx="262">
                  <c:v>34.460600720000002</c:v>
                </c:pt>
                <c:pt idx="263">
                  <c:v>34.019314960000003</c:v>
                </c:pt>
                <c:pt idx="264">
                  <c:v>35.350378630000002</c:v>
                </c:pt>
                <c:pt idx="265">
                  <c:v>34.567769310000003</c:v>
                </c:pt>
                <c:pt idx="266">
                  <c:v>33.672264810000001</c:v>
                </c:pt>
                <c:pt idx="267">
                  <c:v>34.058262460000002</c:v>
                </c:pt>
                <c:pt idx="268">
                  <c:v>34.92788685</c:v>
                </c:pt>
                <c:pt idx="269">
                  <c:v>35.117848819999999</c:v>
                </c:pt>
                <c:pt idx="270">
                  <c:v>34.620813409999997</c:v>
                </c:pt>
                <c:pt idx="271">
                  <c:v>31.74342253</c:v>
                </c:pt>
                <c:pt idx="272">
                  <c:v>31.235518419999998</c:v>
                </c:pt>
                <c:pt idx="273">
                  <c:v>31.59212673</c:v>
                </c:pt>
                <c:pt idx="274">
                  <c:v>31.905589150000001</c:v>
                </c:pt>
                <c:pt idx="275">
                  <c:v>31.654561910000002</c:v>
                </c:pt>
                <c:pt idx="276">
                  <c:v>31.478487529999999</c:v>
                </c:pt>
                <c:pt idx="277">
                  <c:v>32.727696569999999</c:v>
                </c:pt>
                <c:pt idx="278">
                  <c:v>34.98550436</c:v>
                </c:pt>
                <c:pt idx="279">
                  <c:v>36.117573450000002</c:v>
                </c:pt>
                <c:pt idx="280">
                  <c:v>34.855615929999999</c:v>
                </c:pt>
                <c:pt idx="281">
                  <c:v>35.393371729999998</c:v>
                </c:pt>
                <c:pt idx="282">
                  <c:v>36.915412259999997</c:v>
                </c:pt>
                <c:pt idx="283">
                  <c:v>36.558969660000002</c:v>
                </c:pt>
                <c:pt idx="284">
                  <c:v>35.518264989999999</c:v>
                </c:pt>
                <c:pt idx="285">
                  <c:v>36.796886409999999</c:v>
                </c:pt>
                <c:pt idx="286">
                  <c:v>37.238481190000002</c:v>
                </c:pt>
                <c:pt idx="287">
                  <c:v>37.125405000000001</c:v>
                </c:pt>
                <c:pt idx="288">
                  <c:v>36.931095280000001</c:v>
                </c:pt>
                <c:pt idx="289">
                  <c:v>37.351921599999997</c:v>
                </c:pt>
                <c:pt idx="290">
                  <c:v>36.421603679999997</c:v>
                </c:pt>
                <c:pt idx="291">
                  <c:v>35.855795299999997</c:v>
                </c:pt>
                <c:pt idx="292">
                  <c:v>37.37423794</c:v>
                </c:pt>
                <c:pt idx="293">
                  <c:v>37.683946980000002</c:v>
                </c:pt>
                <c:pt idx="294">
                  <c:v>37.64589385</c:v>
                </c:pt>
                <c:pt idx="295">
                  <c:v>39.207286500000002</c:v>
                </c:pt>
                <c:pt idx="296">
                  <c:v>38.704357219999999</c:v>
                </c:pt>
                <c:pt idx="297">
                  <c:v>37.53459221</c:v>
                </c:pt>
                <c:pt idx="298">
                  <c:v>37.210148150000002</c:v>
                </c:pt>
                <c:pt idx="299">
                  <c:v>36.950075439999999</c:v>
                </c:pt>
                <c:pt idx="300">
                  <c:v>36.468271190000003</c:v>
                </c:pt>
                <c:pt idx="301">
                  <c:v>35.812876789999997</c:v>
                </c:pt>
                <c:pt idx="302">
                  <c:v>36.286495539999997</c:v>
                </c:pt>
                <c:pt idx="303">
                  <c:v>38.673361759999999</c:v>
                </c:pt>
                <c:pt idx="304">
                  <c:v>38.173596799999999</c:v>
                </c:pt>
                <c:pt idx="305">
                  <c:v>37.410789129999998</c:v>
                </c:pt>
                <c:pt idx="306">
                  <c:v>37.558192689999998</c:v>
                </c:pt>
                <c:pt idx="307">
                  <c:v>37.623209150000001</c:v>
                </c:pt>
                <c:pt idx="308">
                  <c:v>37.728612630000001</c:v>
                </c:pt>
                <c:pt idx="309">
                  <c:v>37.713047240000002</c:v>
                </c:pt>
                <c:pt idx="310">
                  <c:v>38.365532850000001</c:v>
                </c:pt>
                <c:pt idx="311">
                  <c:v>38.781087790000001</c:v>
                </c:pt>
                <c:pt idx="312">
                  <c:v>38.14940962</c:v>
                </c:pt>
                <c:pt idx="313">
                  <c:v>37.960801660000001</c:v>
                </c:pt>
                <c:pt idx="314">
                  <c:v>37.600125970000001</c:v>
                </c:pt>
                <c:pt idx="315">
                  <c:v>37.237026499999999</c:v>
                </c:pt>
                <c:pt idx="316">
                  <c:v>36.872246820000001</c:v>
                </c:pt>
                <c:pt idx="317">
                  <c:v>37.155280279999999</c:v>
                </c:pt>
                <c:pt idx="318">
                  <c:v>38.76422702</c:v>
                </c:pt>
                <c:pt idx="319">
                  <c:v>38.927309649999998</c:v>
                </c:pt>
                <c:pt idx="320">
                  <c:v>40.093474360000002</c:v>
                </c:pt>
                <c:pt idx="321">
                  <c:v>39.60422775</c:v>
                </c:pt>
                <c:pt idx="322">
                  <c:v>39.312630050000003</c:v>
                </c:pt>
                <c:pt idx="323">
                  <c:v>39.546169089999999</c:v>
                </c:pt>
                <c:pt idx="324">
                  <c:v>39.294561420000001</c:v>
                </c:pt>
                <c:pt idx="325">
                  <c:v>38.67469097</c:v>
                </c:pt>
                <c:pt idx="326">
                  <c:v>38.110974339999999</c:v>
                </c:pt>
                <c:pt idx="327">
                  <c:v>38.132267229999997</c:v>
                </c:pt>
                <c:pt idx="328">
                  <c:v>38.722027060000002</c:v>
                </c:pt>
                <c:pt idx="329">
                  <c:v>38.196578279999997</c:v>
                </c:pt>
                <c:pt idx="330">
                  <c:v>37.759045780000001</c:v>
                </c:pt>
                <c:pt idx="331">
                  <c:v>39.355045709999999</c:v>
                </c:pt>
                <c:pt idx="332">
                  <c:v>39.567961150000002</c:v>
                </c:pt>
                <c:pt idx="333">
                  <c:v>40.1073418</c:v>
                </c:pt>
                <c:pt idx="334">
                  <c:v>39.226900909999998</c:v>
                </c:pt>
                <c:pt idx="335">
                  <c:v>39.728472600000003</c:v>
                </c:pt>
                <c:pt idx="336">
                  <c:v>39.605874710000002</c:v>
                </c:pt>
                <c:pt idx="337">
                  <c:v>38.854525459999998</c:v>
                </c:pt>
                <c:pt idx="338">
                  <c:v>38.74041587</c:v>
                </c:pt>
                <c:pt idx="339">
                  <c:v>38.754279920000002</c:v>
                </c:pt>
                <c:pt idx="340">
                  <c:v>38.76722934</c:v>
                </c:pt>
                <c:pt idx="341">
                  <c:v>38.743127479999998</c:v>
                </c:pt>
                <c:pt idx="342">
                  <c:v>38.719025619999996</c:v>
                </c:pt>
                <c:pt idx="343">
                  <c:v>38.694923760000002</c:v>
                </c:pt>
                <c:pt idx="344">
                  <c:v>38.6708219</c:v>
                </c:pt>
                <c:pt idx="345">
                  <c:v>38.646720039999998</c:v>
                </c:pt>
                <c:pt idx="346">
                  <c:v>38.622618180000003</c:v>
                </c:pt>
                <c:pt idx="347">
                  <c:v>38.598516320000002</c:v>
                </c:pt>
                <c:pt idx="348">
                  <c:v>38.57441446</c:v>
                </c:pt>
                <c:pt idx="349">
                  <c:v>38.550312599999998</c:v>
                </c:pt>
                <c:pt idx="350">
                  <c:v>38.526210740000003</c:v>
                </c:pt>
                <c:pt idx="351">
                  <c:v>38.502108880000002</c:v>
                </c:pt>
                <c:pt idx="352">
                  <c:v>38.197763899999998</c:v>
                </c:pt>
                <c:pt idx="353">
                  <c:v>37.998883200000002</c:v>
                </c:pt>
                <c:pt idx="354">
                  <c:v>37.558789279999999</c:v>
                </c:pt>
                <c:pt idx="355">
                  <c:v>38.2315015</c:v>
                </c:pt>
                <c:pt idx="356">
                  <c:v>37.930594110000001</c:v>
                </c:pt>
                <c:pt idx="357">
                  <c:v>37.203320869999999</c:v>
                </c:pt>
                <c:pt idx="358">
                  <c:v>36.865305650000003</c:v>
                </c:pt>
                <c:pt idx="359">
                  <c:v>36.632093419999997</c:v>
                </c:pt>
                <c:pt idx="360">
                  <c:v>36.316992310000003</c:v>
                </c:pt>
              </c:numCache>
            </c:numRef>
          </c:xVal>
          <c:yVal>
            <c:numRef>
              <c:f>selhausen_SM_Kdose_daily!$C$8:$C$400</c:f>
              <c:numCache>
                <c:formatCode>General</c:formatCode>
                <c:ptCount val="393"/>
                <c:pt idx="0">
                  <c:v>9.7323454138164092</c:v>
                </c:pt>
                <c:pt idx="1">
                  <c:v>9.738344183538743</c:v>
                </c:pt>
                <c:pt idx="2">
                  <c:v>9.7890892837057457</c:v>
                </c:pt>
                <c:pt idx="3">
                  <c:v>9.8403660047973567</c:v>
                </c:pt>
                <c:pt idx="4">
                  <c:v>9.8921827458393974</c:v>
                </c:pt>
                <c:pt idx="5">
                  <c:v>9.9445480809799438</c:v>
                </c:pt>
                <c:pt idx="6">
                  <c:v>9.9595271614664558</c:v>
                </c:pt>
                <c:pt idx="7">
                  <c:v>9.97190579119742</c:v>
                </c:pt>
                <c:pt idx="8">
                  <c:v>9.9850626707330772</c:v>
                </c:pt>
                <c:pt idx="9">
                  <c:v>10.010653851787497</c:v>
                </c:pt>
                <c:pt idx="10">
                  <c:v>10.03295905443651</c:v>
                </c:pt>
                <c:pt idx="11">
                  <c:v>10.043370637398354</c:v>
                </c:pt>
                <c:pt idx="12">
                  <c:v>10.058754349730968</c:v>
                </c:pt>
                <c:pt idx="13">
                  <c:v>10.076196496471569</c:v>
                </c:pt>
                <c:pt idx="14">
                  <c:v>10.040884326849747</c:v>
                </c:pt>
                <c:pt idx="15">
                  <c:v>10.043839206708782</c:v>
                </c:pt>
                <c:pt idx="16">
                  <c:v>10.064383037076713</c:v>
                </c:pt>
                <c:pt idx="17">
                  <c:v>10.077145345269191</c:v>
                </c:pt>
                <c:pt idx="18">
                  <c:v>9.9211679332277107</c:v>
                </c:pt>
                <c:pt idx="19">
                  <c:v>9.9351034575820378</c:v>
                </c:pt>
                <c:pt idx="20">
                  <c:v>9.9537633022641039</c:v>
                </c:pt>
                <c:pt idx="21">
                  <c:v>10.011564789827672</c:v>
                </c:pt>
                <c:pt idx="22">
                  <c:v>10.071437804517064</c:v>
                </c:pt>
                <c:pt idx="23">
                  <c:v>10.107689427956942</c:v>
                </c:pt>
                <c:pt idx="24">
                  <c:v>10.148812832537146</c:v>
                </c:pt>
                <c:pt idx="25">
                  <c:v>10.169465389023509</c:v>
                </c:pt>
                <c:pt idx="26">
                  <c:v>10.177402296996457</c:v>
                </c:pt>
                <c:pt idx="27">
                  <c:v>10.176418281140958</c:v>
                </c:pt>
                <c:pt idx="28">
                  <c:v>10.181557098309851</c:v>
                </c:pt>
                <c:pt idx="29">
                  <c:v>10.184079834816112</c:v>
                </c:pt>
                <c:pt idx="30">
                  <c:v>9.9978486145416188</c:v>
                </c:pt>
                <c:pt idx="31">
                  <c:v>9.6396192868946802</c:v>
                </c:pt>
                <c:pt idx="32">
                  <c:v>9.5788776939850013</c:v>
                </c:pt>
                <c:pt idx="33">
                  <c:v>9.5695416748844231</c:v>
                </c:pt>
                <c:pt idx="34">
                  <c:v>9.6636170481863264</c:v>
                </c:pt>
                <c:pt idx="35">
                  <c:v>9.7271479516215287</c:v>
                </c:pt>
                <c:pt idx="36">
                  <c:v>9.7672144896746644</c:v>
                </c:pt>
                <c:pt idx="37">
                  <c:v>9.6594110894844238</c:v>
                </c:pt>
                <c:pt idx="38">
                  <c:v>9.5920440359702752</c:v>
                </c:pt>
                <c:pt idx="39">
                  <c:v>9.7044996023355914</c:v>
                </c:pt>
                <c:pt idx="40">
                  <c:v>9.7787653592621311</c:v>
                </c:pt>
                <c:pt idx="41">
                  <c:v>9.8320177640638224</c:v>
                </c:pt>
                <c:pt idx="42">
                  <c:v>9.8665733961374578</c:v>
                </c:pt>
                <c:pt idx="43">
                  <c:v>9.8949559354549166</c:v>
                </c:pt>
                <c:pt idx="44">
                  <c:v>9.9016348321843175</c:v>
                </c:pt>
                <c:pt idx="45">
                  <c:v>9.9096717566197885</c:v>
                </c:pt>
                <c:pt idx="46">
                  <c:v>9.9359171036439449</c:v>
                </c:pt>
                <c:pt idx="47">
                  <c:v>9.9697411216690579</c:v>
                </c:pt>
                <c:pt idx="48">
                  <c:v>9.9686440489014814</c:v>
                </c:pt>
                <c:pt idx="49">
                  <c:v>9.7387367695701794</c:v>
                </c:pt>
                <c:pt idx="50">
                  <c:v>9.7073481200059586</c:v>
                </c:pt>
                <c:pt idx="51">
                  <c:v>9.8043176600584871</c:v>
                </c:pt>
                <c:pt idx="52">
                  <c:v>9.8518882479594652</c:v>
                </c:pt>
                <c:pt idx="53">
                  <c:v>9.7623223161904473</c:v>
                </c:pt>
                <c:pt idx="54">
                  <c:v>9.6710975189286614</c:v>
                </c:pt>
                <c:pt idx="55">
                  <c:v>9.5448094508165404</c:v>
                </c:pt>
                <c:pt idx="56">
                  <c:v>9.5955185913780792</c:v>
                </c:pt>
                <c:pt idx="57">
                  <c:v>9.7191252178380942</c:v>
                </c:pt>
                <c:pt idx="58">
                  <c:v>9.8240198124192375</c:v>
                </c:pt>
                <c:pt idx="59">
                  <c:v>9.9028235934963877</c:v>
                </c:pt>
                <c:pt idx="60">
                  <c:v>9.9434708268704313</c:v>
                </c:pt>
                <c:pt idx="61">
                  <c:v>9.8444555910135705</c:v>
                </c:pt>
                <c:pt idx="62">
                  <c:v>9.8810836541044083</c:v>
                </c:pt>
                <c:pt idx="63">
                  <c:v>9.9474271060082096</c:v>
                </c:pt>
                <c:pt idx="64">
                  <c:v>10.033586716726415</c:v>
                </c:pt>
                <c:pt idx="65">
                  <c:v>10.043902626710858</c:v>
                </c:pt>
                <c:pt idx="66">
                  <c:v>10.029029030564422</c:v>
                </c:pt>
                <c:pt idx="67">
                  <c:v>10.01595779954534</c:v>
                </c:pt>
                <c:pt idx="68">
                  <c:v>10.084193908253576</c:v>
                </c:pt>
                <c:pt idx="69">
                  <c:v>10.137293116824008</c:v>
                </c:pt>
                <c:pt idx="70">
                  <c:v>10.140248495050859</c:v>
                </c:pt>
                <c:pt idx="71">
                  <c:v>10.11123651567285</c:v>
                </c:pt>
                <c:pt idx="72">
                  <c:v>10.159836942037259</c:v>
                </c:pt>
                <c:pt idx="73">
                  <c:v>10.235663409244673</c:v>
                </c:pt>
                <c:pt idx="74">
                  <c:v>10.262600571467587</c:v>
                </c:pt>
                <c:pt idx="75">
                  <c:v>10.051236009267571</c:v>
                </c:pt>
                <c:pt idx="76">
                  <c:v>9.9828783312173659</c:v>
                </c:pt>
                <c:pt idx="77">
                  <c:v>10.048354356075025</c:v>
                </c:pt>
                <c:pt idx="78">
                  <c:v>9.8451272935136434</c:v>
                </c:pt>
                <c:pt idx="79">
                  <c:v>9.8782935507155827</c:v>
                </c:pt>
                <c:pt idx="80">
                  <c:v>10.002789041288606</c:v>
                </c:pt>
                <c:pt idx="81">
                  <c:v>10.095267746460731</c:v>
                </c:pt>
                <c:pt idx="82">
                  <c:v>10.088568114254338</c:v>
                </c:pt>
                <c:pt idx="83">
                  <c:v>10.073770658827527</c:v>
                </c:pt>
                <c:pt idx="84">
                  <c:v>10.135529379183465</c:v>
                </c:pt>
                <c:pt idx="85">
                  <c:v>10.112021794853057</c:v>
                </c:pt>
                <c:pt idx="86">
                  <c:v>9.9788843284920912</c:v>
                </c:pt>
                <c:pt idx="87">
                  <c:v>10.10897992356851</c:v>
                </c:pt>
                <c:pt idx="88">
                  <c:v>10.241197390659858</c:v>
                </c:pt>
                <c:pt idx="89">
                  <c:v>10.329955318247119</c:v>
                </c:pt>
                <c:pt idx="90">
                  <c:v>10.333433683778519</c:v>
                </c:pt>
                <c:pt idx="91">
                  <c:v>10.324813253280992</c:v>
                </c:pt>
                <c:pt idx="92">
                  <c:v>10.294778492060544</c:v>
                </c:pt>
                <c:pt idx="93">
                  <c:v>10.162785324204661</c:v>
                </c:pt>
                <c:pt idx="94">
                  <c:v>9.6907781535394015</c:v>
                </c:pt>
                <c:pt idx="95">
                  <c:v>9.6823053208696024</c:v>
                </c:pt>
                <c:pt idx="96">
                  <c:v>9.6226709024429766</c:v>
                </c:pt>
                <c:pt idx="97">
                  <c:v>9.7725590974315821</c:v>
                </c:pt>
                <c:pt idx="98">
                  <c:v>9.911151174289019</c:v>
                </c:pt>
                <c:pt idx="99">
                  <c:v>10.039433221685604</c:v>
                </c:pt>
                <c:pt idx="100">
                  <c:v>10.004266131909302</c:v>
                </c:pt>
                <c:pt idx="101">
                  <c:v>10.085178551993568</c:v>
                </c:pt>
                <c:pt idx="102">
                  <c:v>10.20158761758201</c:v>
                </c:pt>
                <c:pt idx="103">
                  <c:v>10.310884772168109</c:v>
                </c:pt>
                <c:pt idx="104">
                  <c:v>10.409243598627409</c:v>
                </c:pt>
                <c:pt idx="105">
                  <c:v>10.489120952973099</c:v>
                </c:pt>
                <c:pt idx="106">
                  <c:v>10.564035984260354</c:v>
                </c:pt>
                <c:pt idx="107">
                  <c:v>10.621055432310063</c:v>
                </c:pt>
                <c:pt idx="108">
                  <c:v>10.679020187752808</c:v>
                </c:pt>
                <c:pt idx="109">
                  <c:v>10.743630786844017</c:v>
                </c:pt>
                <c:pt idx="110">
                  <c:v>10.825591605146553</c:v>
                </c:pt>
                <c:pt idx="111">
                  <c:v>10.91942277542929</c:v>
                </c:pt>
                <c:pt idx="112">
                  <c:v>11.01705439793972</c:v>
                </c:pt>
                <c:pt idx="113">
                  <c:v>11.111772908385012</c:v>
                </c:pt>
                <c:pt idx="114">
                  <c:v>11.197438997369453</c:v>
                </c:pt>
                <c:pt idx="115">
                  <c:v>11.295088798368928</c:v>
                </c:pt>
                <c:pt idx="116">
                  <c:v>11.391562422604959</c:v>
                </c:pt>
                <c:pt idx="117">
                  <c:v>11.469711418730112</c:v>
                </c:pt>
                <c:pt idx="118">
                  <c:v>11.544163256904806</c:v>
                </c:pt>
                <c:pt idx="119">
                  <c:v>11.627988082563119</c:v>
                </c:pt>
                <c:pt idx="120">
                  <c:v>11.708355015387577</c:v>
                </c:pt>
                <c:pt idx="121">
                  <c:v>11.777895109536209</c:v>
                </c:pt>
                <c:pt idx="122">
                  <c:v>11.829582080077669</c:v>
                </c:pt>
                <c:pt idx="123">
                  <c:v>11.856389204064202</c:v>
                </c:pt>
                <c:pt idx="124">
                  <c:v>11.888478430248501</c:v>
                </c:pt>
                <c:pt idx="125">
                  <c:v>11.943250183220027</c:v>
                </c:pt>
                <c:pt idx="126">
                  <c:v>11.997855640918878</c:v>
                </c:pt>
                <c:pt idx="127">
                  <c:v>12.051525083122502</c:v>
                </c:pt>
                <c:pt idx="128">
                  <c:v>12.08254169868189</c:v>
                </c:pt>
                <c:pt idx="129">
                  <c:v>12.114735947851631</c:v>
                </c:pt>
                <c:pt idx="130">
                  <c:v>12.141999122906689</c:v>
                </c:pt>
                <c:pt idx="131">
                  <c:v>12.164446829051339</c:v>
                </c:pt>
                <c:pt idx="132">
                  <c:v>12.18801558653742</c:v>
                </c:pt>
                <c:pt idx="133">
                  <c:v>12.206489522268347</c:v>
                </c:pt>
                <c:pt idx="134">
                  <c:v>12.212216086405816</c:v>
                </c:pt>
                <c:pt idx="135">
                  <c:v>12.223353726883433</c:v>
                </c:pt>
                <c:pt idx="136">
                  <c:v>12.233470711260487</c:v>
                </c:pt>
                <c:pt idx="137">
                  <c:v>12.025383627117657</c:v>
                </c:pt>
                <c:pt idx="138">
                  <c:v>11.352650979975877</c:v>
                </c:pt>
                <c:pt idx="139">
                  <c:v>11.467908292053284</c:v>
                </c:pt>
                <c:pt idx="140">
                  <c:v>11.597670689939232</c:v>
                </c:pt>
                <c:pt idx="141">
                  <c:v>11.721518298865853</c:v>
                </c:pt>
                <c:pt idx="142">
                  <c:v>11.816619520786075</c:v>
                </c:pt>
                <c:pt idx="143">
                  <c:v>11.852223112602553</c:v>
                </c:pt>
                <c:pt idx="144">
                  <c:v>11.866333965731865</c:v>
                </c:pt>
                <c:pt idx="145">
                  <c:v>11.686056742052813</c:v>
                </c:pt>
                <c:pt idx="146">
                  <c:v>11.703472403357916</c:v>
                </c:pt>
                <c:pt idx="147">
                  <c:v>11.740552972167096</c:v>
                </c:pt>
                <c:pt idx="148">
                  <c:v>11.825062883171459</c:v>
                </c:pt>
                <c:pt idx="149">
                  <c:v>11.903123664139079</c:v>
                </c:pt>
                <c:pt idx="150">
                  <c:v>11.928874612220822</c:v>
                </c:pt>
                <c:pt idx="151">
                  <c:v>11.935546930439031</c:v>
                </c:pt>
                <c:pt idx="152">
                  <c:v>11.967645349261188</c:v>
                </c:pt>
                <c:pt idx="153">
                  <c:v>12.011728100521493</c:v>
                </c:pt>
                <c:pt idx="154">
                  <c:v>12.040643587434126</c:v>
                </c:pt>
                <c:pt idx="155">
                  <c:v>12.032934036478011</c:v>
                </c:pt>
                <c:pt idx="156">
                  <c:v>12.050325686676288</c:v>
                </c:pt>
                <c:pt idx="157">
                  <c:v>12.081503466197958</c:v>
                </c:pt>
                <c:pt idx="158">
                  <c:v>12.112977657074966</c:v>
                </c:pt>
                <c:pt idx="159">
                  <c:v>12.132715249539187</c:v>
                </c:pt>
                <c:pt idx="160">
                  <c:v>12.141454509408868</c:v>
                </c:pt>
                <c:pt idx="161">
                  <c:v>12.120989840005937</c:v>
                </c:pt>
                <c:pt idx="162">
                  <c:v>12.123307916065064</c:v>
                </c:pt>
                <c:pt idx="163">
                  <c:v>12.144108247328736</c:v>
                </c:pt>
                <c:pt idx="164">
                  <c:v>12.158760699118959</c:v>
                </c:pt>
                <c:pt idx="165">
                  <c:v>12.172482237734782</c:v>
                </c:pt>
                <c:pt idx="166">
                  <c:v>12.182772750593317</c:v>
                </c:pt>
                <c:pt idx="167">
                  <c:v>12.196926158676359</c:v>
                </c:pt>
                <c:pt idx="168">
                  <c:v>12.220316744881067</c:v>
                </c:pt>
                <c:pt idx="169">
                  <c:v>12.148201544571215</c:v>
                </c:pt>
                <c:pt idx="170">
                  <c:v>12.039944967538377</c:v>
                </c:pt>
                <c:pt idx="171">
                  <c:v>12.01223579546013</c:v>
                </c:pt>
                <c:pt idx="172">
                  <c:v>11.936627500756828</c:v>
                </c:pt>
                <c:pt idx="173">
                  <c:v>11.614875192611905</c:v>
                </c:pt>
                <c:pt idx="174">
                  <c:v>11.431483608060084</c:v>
                </c:pt>
                <c:pt idx="175">
                  <c:v>11.25474448602184</c:v>
                </c:pt>
                <c:pt idx="176">
                  <c:v>11.14235709249602</c:v>
                </c:pt>
                <c:pt idx="177">
                  <c:v>10.676737697289763</c:v>
                </c:pt>
                <c:pt idx="178">
                  <c:v>10.594314241972361</c:v>
                </c:pt>
                <c:pt idx="179">
                  <c:v>10.521754802773639</c:v>
                </c:pt>
                <c:pt idx="180">
                  <c:v>10.498871473431096</c:v>
                </c:pt>
                <c:pt idx="181">
                  <c:v>10.5826777773916</c:v>
                </c:pt>
                <c:pt idx="182">
                  <c:v>10.200868239290408</c:v>
                </c:pt>
                <c:pt idx="183">
                  <c:v>10.15830959488879</c:v>
                </c:pt>
                <c:pt idx="184">
                  <c:v>10.310767125276952</c:v>
                </c:pt>
                <c:pt idx="185">
                  <c:v>10.228087746524118</c:v>
                </c:pt>
                <c:pt idx="186">
                  <c:v>10.344412204529162</c:v>
                </c:pt>
                <c:pt idx="187">
                  <c:v>10.469031843770596</c:v>
                </c:pt>
                <c:pt idx="188">
                  <c:v>10.138472529252235</c:v>
                </c:pt>
                <c:pt idx="189">
                  <c:v>10.241463158269056</c:v>
                </c:pt>
                <c:pt idx="190">
                  <c:v>10.362501088486139</c:v>
                </c:pt>
                <c:pt idx="191">
                  <c:v>10.342319750633768</c:v>
                </c:pt>
                <c:pt idx="192">
                  <c:v>10.321642145557115</c:v>
                </c:pt>
                <c:pt idx="193">
                  <c:v>10.078058062379331</c:v>
                </c:pt>
                <c:pt idx="194">
                  <c:v>10.214731868230324</c:v>
                </c:pt>
                <c:pt idx="195">
                  <c:v>10.321657744718957</c:v>
                </c:pt>
                <c:pt idx="196">
                  <c:v>10.414745623874285</c:v>
                </c:pt>
                <c:pt idx="197">
                  <c:v>10.542472872353281</c:v>
                </c:pt>
                <c:pt idx="198">
                  <c:v>10.653420909992054</c:v>
                </c:pt>
                <c:pt idx="199">
                  <c:v>10.772756581360463</c:v>
                </c:pt>
                <c:pt idx="200">
                  <c:v>10.852607716099843</c:v>
                </c:pt>
                <c:pt idx="201">
                  <c:v>10.527372918256171</c:v>
                </c:pt>
                <c:pt idx="202">
                  <c:v>10.340634143349947</c:v>
                </c:pt>
                <c:pt idx="203">
                  <c:v>10.473152444710681</c:v>
                </c:pt>
                <c:pt idx="204">
                  <c:v>10.553234207686906</c:v>
                </c:pt>
                <c:pt idx="205">
                  <c:v>10.61747036173012</c:v>
                </c:pt>
                <c:pt idx="206">
                  <c:v>10.612359374696092</c:v>
                </c:pt>
                <c:pt idx="207">
                  <c:v>10.50441686014449</c:v>
                </c:pt>
                <c:pt idx="208">
                  <c:v>10.154365066391138</c:v>
                </c:pt>
                <c:pt idx="209">
                  <c:v>10.064720311325594</c:v>
                </c:pt>
                <c:pt idx="210">
                  <c:v>10.177637735148181</c:v>
                </c:pt>
                <c:pt idx="211">
                  <c:v>10.290251048062997</c:v>
                </c:pt>
                <c:pt idx="212">
                  <c:v>10.422218627314905</c:v>
                </c:pt>
                <c:pt idx="213">
                  <c:v>10.54324388094266</c:v>
                </c:pt>
                <c:pt idx="214">
                  <c:v>10.830278340923721</c:v>
                </c:pt>
                <c:pt idx="215">
                  <c:v>10.855871750128486</c:v>
                </c:pt>
                <c:pt idx="216">
                  <c:v>10.884313538555302</c:v>
                </c:pt>
                <c:pt idx="217">
                  <c:v>10.912266848733351</c:v>
                </c:pt>
                <c:pt idx="218">
                  <c:v>10.945282168672763</c:v>
                </c:pt>
                <c:pt idx="219">
                  <c:v>10.826142715711203</c:v>
                </c:pt>
                <c:pt idx="220">
                  <c:v>10.264432451965689</c:v>
                </c:pt>
                <c:pt idx="221">
                  <c:v>10.339220199723128</c:v>
                </c:pt>
                <c:pt idx="222">
                  <c:v>10.421045023425627</c:v>
                </c:pt>
                <c:pt idx="223">
                  <c:v>10.459421544542128</c:v>
                </c:pt>
                <c:pt idx="224">
                  <c:v>10.46425690300897</c:v>
                </c:pt>
                <c:pt idx="225">
                  <c:v>10.498902977248989</c:v>
                </c:pt>
                <c:pt idx="226">
                  <c:v>10.548426994349629</c:v>
                </c:pt>
                <c:pt idx="227">
                  <c:v>10.612915286648677</c:v>
                </c:pt>
                <c:pt idx="228">
                  <c:v>10.601754466047501</c:v>
                </c:pt>
                <c:pt idx="229">
                  <c:v>10.404150106033613</c:v>
                </c:pt>
                <c:pt idx="230">
                  <c:v>10.358559971534293</c:v>
                </c:pt>
                <c:pt idx="231">
                  <c:v>10.44716206355581</c:v>
                </c:pt>
                <c:pt idx="232">
                  <c:v>10.524798374095145</c:v>
                </c:pt>
                <c:pt idx="233">
                  <c:v>10.582266700834124</c:v>
                </c:pt>
                <c:pt idx="234">
                  <c:v>10.629070318840029</c:v>
                </c:pt>
                <c:pt idx="235">
                  <c:v>10.668941324301993</c:v>
                </c:pt>
                <c:pt idx="236">
                  <c:v>10.702239687568783</c:v>
                </c:pt>
                <c:pt idx="237">
                  <c:v>10.731904448323853</c:v>
                </c:pt>
                <c:pt idx="238">
                  <c:v>10.764311791553103</c:v>
                </c:pt>
                <c:pt idx="239">
                  <c:v>10.798413570219132</c:v>
                </c:pt>
                <c:pt idx="240">
                  <c:v>10.823466901271724</c:v>
                </c:pt>
                <c:pt idx="241">
                  <c:v>10.825745186791602</c:v>
                </c:pt>
                <c:pt idx="242">
                  <c:v>10.846719123064325</c:v>
                </c:pt>
                <c:pt idx="243">
                  <c:v>10.884348387675281</c:v>
                </c:pt>
                <c:pt idx="244">
                  <c:v>10.938455419482752</c:v>
                </c:pt>
                <c:pt idx="245">
                  <c:v>10.994662561632994</c:v>
                </c:pt>
                <c:pt idx="246">
                  <c:v>11.041587828735734</c:v>
                </c:pt>
                <c:pt idx="247">
                  <c:v>11.095216211674153</c:v>
                </c:pt>
                <c:pt idx="248">
                  <c:v>11.159744984709752</c:v>
                </c:pt>
                <c:pt idx="249">
                  <c:v>11.230779512013751</c:v>
                </c:pt>
                <c:pt idx="250">
                  <c:v>11.248415848369822</c:v>
                </c:pt>
                <c:pt idx="251">
                  <c:v>11.226889328173501</c:v>
                </c:pt>
                <c:pt idx="252">
                  <c:v>11.188201342661561</c:v>
                </c:pt>
                <c:pt idx="253">
                  <c:v>11.172438040019724</c:v>
                </c:pt>
                <c:pt idx="254">
                  <c:v>11.179695273708376</c:v>
                </c:pt>
                <c:pt idx="255">
                  <c:v>11.154323809164675</c:v>
                </c:pt>
                <c:pt idx="256">
                  <c:v>10.807051768326444</c:v>
                </c:pt>
                <c:pt idx="257">
                  <c:v>10.273322237745607</c:v>
                </c:pt>
                <c:pt idx="258">
                  <c:v>9.9419983172939137</c:v>
                </c:pt>
                <c:pt idx="259">
                  <c:v>10.013839863177573</c:v>
                </c:pt>
                <c:pt idx="260">
                  <c:v>9.9687150704615686</c:v>
                </c:pt>
                <c:pt idx="261">
                  <c:v>9.8827617461406838</c:v>
                </c:pt>
                <c:pt idx="262">
                  <c:v>9.8035201268064629</c:v>
                </c:pt>
                <c:pt idx="263">
                  <c:v>9.8428691938671697</c:v>
                </c:pt>
                <c:pt idx="264">
                  <c:v>9.7251284813829315</c:v>
                </c:pt>
                <c:pt idx="265">
                  <c:v>9.7940114313848596</c:v>
                </c:pt>
                <c:pt idx="266">
                  <c:v>9.8740379528379698</c:v>
                </c:pt>
                <c:pt idx="267">
                  <c:v>9.839383574506698</c:v>
                </c:pt>
                <c:pt idx="268">
                  <c:v>9.7621941484282964</c:v>
                </c:pt>
                <c:pt idx="269">
                  <c:v>9.7454936775020098</c:v>
                </c:pt>
                <c:pt idx="270">
                  <c:v>9.7893118343294994</c:v>
                </c:pt>
                <c:pt idx="271">
                  <c:v>10.050930090369613</c:v>
                </c:pt>
                <c:pt idx="272">
                  <c:v>10.098568644262805</c:v>
                </c:pt>
                <c:pt idx="273">
                  <c:v>10.06507371926825</c:v>
                </c:pt>
                <c:pt idx="274">
                  <c:v>10.035814291598278</c:v>
                </c:pt>
                <c:pt idx="275">
                  <c:v>10.059232252208787</c:v>
                </c:pt>
                <c:pt idx="276">
                  <c:v>10.075723290631228</c:v>
                </c:pt>
                <c:pt idx="277">
                  <c:v>9.9598785922356097</c:v>
                </c:pt>
                <c:pt idx="278">
                  <c:v>9.7571226714317589</c:v>
                </c:pt>
                <c:pt idx="279">
                  <c:v>9.6585363224285725</c:v>
                </c:pt>
                <c:pt idx="280">
                  <c:v>9.7685628730127192</c:v>
                </c:pt>
                <c:pt idx="281">
                  <c:v>9.7213724219299369</c:v>
                </c:pt>
                <c:pt idx="282">
                  <c:v>9.5902447777570092</c:v>
                </c:pt>
                <c:pt idx="283">
                  <c:v>9.6206349947585963</c:v>
                </c:pt>
                <c:pt idx="284">
                  <c:v>9.7104776549853806</c:v>
                </c:pt>
                <c:pt idx="285">
                  <c:v>9.6003289360073936</c:v>
                </c:pt>
                <c:pt idx="286">
                  <c:v>9.5628653922759881</c:v>
                </c:pt>
                <c:pt idx="287">
                  <c:v>9.5724305514618706</c:v>
                </c:pt>
                <c:pt idx="288">
                  <c:v>9.5889120559862171</c:v>
                </c:pt>
                <c:pt idx="289">
                  <c:v>9.553288612585682</c:v>
                </c:pt>
                <c:pt idx="290">
                  <c:v>9.6323982663978089</c:v>
                </c:pt>
                <c:pt idx="291">
                  <c:v>9.6811558062207901</c:v>
                </c:pt>
                <c:pt idx="292">
                  <c:v>9.5514068969966068</c:v>
                </c:pt>
                <c:pt idx="293">
                  <c:v>9.5253685275819961</c:v>
                </c:pt>
                <c:pt idx="294">
                  <c:v>9.5285601405398328</c:v>
                </c:pt>
                <c:pt idx="295">
                  <c:v>9.3993349137895024</c:v>
                </c:pt>
                <c:pt idx="296">
                  <c:v>9.4405743987246069</c:v>
                </c:pt>
                <c:pt idx="297">
                  <c:v>9.5379075812960306</c:v>
                </c:pt>
                <c:pt idx="298">
                  <c:v>9.5652602999671412</c:v>
                </c:pt>
                <c:pt idx="299">
                  <c:v>9.5872996430488744</c:v>
                </c:pt>
                <c:pt idx="300">
                  <c:v>9.6283986909515757</c:v>
                </c:pt>
                <c:pt idx="301">
                  <c:v>9.6848743817425742</c:v>
                </c:pt>
                <c:pt idx="302">
                  <c:v>9.6439962836042472</c:v>
                </c:pt>
                <c:pt idx="303">
                  <c:v>9.4431278239349812</c:v>
                </c:pt>
                <c:pt idx="304">
                  <c:v>9.4844902911767868</c:v>
                </c:pt>
                <c:pt idx="305">
                  <c:v>9.5483264985414813</c:v>
                </c:pt>
                <c:pt idx="306">
                  <c:v>9.5359240114575314</c:v>
                </c:pt>
                <c:pt idx="307">
                  <c:v>9.5304637818609717</c:v>
                </c:pt>
                <c:pt idx="308">
                  <c:v>9.5216250323132101</c:v>
                </c:pt>
                <c:pt idx="309">
                  <c:v>9.5229292569739616</c:v>
                </c:pt>
                <c:pt idx="310">
                  <c:v>9.4685621406523239</c:v>
                </c:pt>
                <c:pt idx="311">
                  <c:v>9.4342592233296134</c:v>
                </c:pt>
                <c:pt idx="312">
                  <c:v>9.4865013097064885</c:v>
                </c:pt>
                <c:pt idx="313">
                  <c:v>9.5022122284711212</c:v>
                </c:pt>
                <c:pt idx="314">
                  <c:v>9.5324016435396395</c:v>
                </c:pt>
                <c:pt idx="315">
                  <c:v>9.562988323693606</c:v>
                </c:pt>
                <c:pt idx="316">
                  <c:v>9.5939148320696095</c:v>
                </c:pt>
                <c:pt idx="317">
                  <c:v>9.5699015304014647</c:v>
                </c:pt>
                <c:pt idx="318">
                  <c:v>9.4356461951119019</c:v>
                </c:pt>
                <c:pt idx="319">
                  <c:v>9.4222480506488893</c:v>
                </c:pt>
                <c:pt idx="320">
                  <c:v>9.3275388301603339</c:v>
                </c:pt>
                <c:pt idx="321">
                  <c:v>9.3670398242891419</c:v>
                </c:pt>
                <c:pt idx="322">
                  <c:v>9.3907424883147232</c:v>
                </c:pt>
                <c:pt idx="323">
                  <c:v>9.3717496064419379</c:v>
                </c:pt>
                <c:pt idx="324">
                  <c:v>9.3922151532873936</c:v>
                </c:pt>
                <c:pt idx="325">
                  <c:v>9.4430182944444141</c:v>
                </c:pt>
                <c:pt idx="326">
                  <c:v>9.4896987269554263</c:v>
                </c:pt>
                <c:pt idx="327">
                  <c:v>9.4879271127926348</c:v>
                </c:pt>
                <c:pt idx="328">
                  <c:v>9.4391193642526297</c:v>
                </c:pt>
                <c:pt idx="329">
                  <c:v>9.482580309117969</c:v>
                </c:pt>
                <c:pt idx="330">
                  <c:v>9.5190760692220771</c:v>
                </c:pt>
                <c:pt idx="331">
                  <c:v>9.3872872577182473</c:v>
                </c:pt>
                <c:pt idx="332">
                  <c:v>9.3699812555206528</c:v>
                </c:pt>
                <c:pt idx="333">
                  <c:v>9.3264240498553317</c:v>
                </c:pt>
                <c:pt idx="334">
                  <c:v>9.3977338586697776</c:v>
                </c:pt>
                <c:pt idx="335">
                  <c:v>9.3569768332659233</c:v>
                </c:pt>
                <c:pt idx="336">
                  <c:v>9.3669062901343469</c:v>
                </c:pt>
                <c:pt idx="337">
                  <c:v>9.4282229720913833</c:v>
                </c:pt>
                <c:pt idx="338">
                  <c:v>9.437605601913889</c:v>
                </c:pt>
                <c:pt idx="339">
                  <c:v>9.4364646376943142</c:v>
                </c:pt>
                <c:pt idx="340">
                  <c:v>9.4353991935641517</c:v>
                </c:pt>
                <c:pt idx="341">
                  <c:v>9.4373824239180042</c:v>
                </c:pt>
                <c:pt idx="342">
                  <c:v>9.4393664881591022</c:v>
                </c:pt>
                <c:pt idx="343">
                  <c:v>9.4413513868134977</c:v>
                </c:pt>
                <c:pt idx="344">
                  <c:v>9.443337120407671</c:v>
                </c:pt>
                <c:pt idx="345">
                  <c:v>9.4453236894685659</c:v>
                </c:pt>
                <c:pt idx="346">
                  <c:v>9.4473110945235472</c:v>
                </c:pt>
                <c:pt idx="347">
                  <c:v>9.449299336100438</c:v>
                </c:pt>
                <c:pt idx="348">
                  <c:v>9.4512884147275056</c:v>
                </c:pt>
                <c:pt idx="349">
                  <c:v>9.453278330933454</c:v>
                </c:pt>
                <c:pt idx="350">
                  <c:v>9.4552690852474388</c:v>
                </c:pt>
                <c:pt idx="351">
                  <c:v>9.4572606781990611</c:v>
                </c:pt>
                <c:pt idx="352">
                  <c:v>9.4824817935575911</c:v>
                </c:pt>
                <c:pt idx="353">
                  <c:v>9.4990358698871393</c:v>
                </c:pt>
                <c:pt idx="354">
                  <c:v>9.5358738800361955</c:v>
                </c:pt>
                <c:pt idx="355">
                  <c:v>9.4796793258489416</c:v>
                </c:pt>
                <c:pt idx="356">
                  <c:v>9.5047333334729913</c:v>
                </c:pt>
                <c:pt idx="357">
                  <c:v>9.5658375690228503</c:v>
                </c:pt>
                <c:pt idx="358">
                  <c:v>9.5945052532016799</c:v>
                </c:pt>
                <c:pt idx="359">
                  <c:v>9.614384786041823</c:v>
                </c:pt>
                <c:pt idx="360">
                  <c:v>9.641375925399247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3-4658-BD55-03C7F1D33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ax val="13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K-dose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35.267864369999998</c:v>
                </c:pt>
                <c:pt idx="1">
                  <c:v>35.199370960000003</c:v>
                </c:pt>
                <c:pt idx="2">
                  <c:v>34.623326589999998</c:v>
                </c:pt>
                <c:pt idx="3">
                  <c:v>34.04728222</c:v>
                </c:pt>
                <c:pt idx="4">
                  <c:v>33.471237840000001</c:v>
                </c:pt>
                <c:pt idx="5">
                  <c:v>32.895193470000002</c:v>
                </c:pt>
                <c:pt idx="6">
                  <c:v>32.731530429999999</c:v>
                </c:pt>
                <c:pt idx="7">
                  <c:v>32.596651250000001</c:v>
                </c:pt>
                <c:pt idx="8">
                  <c:v>32.453658779999998</c:v>
                </c:pt>
                <c:pt idx="9">
                  <c:v>32.176603569999997</c:v>
                </c:pt>
                <c:pt idx="10">
                  <c:v>31.936275819999999</c:v>
                </c:pt>
                <c:pt idx="11">
                  <c:v>31.824461490000001</c:v>
                </c:pt>
                <c:pt idx="12">
                  <c:v>31.65967307</c:v>
                </c:pt>
                <c:pt idx="13">
                  <c:v>31.473443629999998</c:v>
                </c:pt>
                <c:pt idx="14">
                  <c:v>31.851141940000002</c:v>
                </c:pt>
                <c:pt idx="15">
                  <c:v>31.819434780000002</c:v>
                </c:pt>
                <c:pt idx="16">
                  <c:v>31.599505149999999</c:v>
                </c:pt>
                <c:pt idx="17">
                  <c:v>31.463331279999998</c:v>
                </c:pt>
                <c:pt idx="18">
                  <c:v>33.151635159999998</c:v>
                </c:pt>
                <c:pt idx="19">
                  <c:v>32.998640119999997</c:v>
                </c:pt>
                <c:pt idx="20">
                  <c:v>32.794448670000001</c:v>
                </c:pt>
                <c:pt idx="21">
                  <c:v>32.16676768</c:v>
                </c:pt>
                <c:pt idx="22">
                  <c:v>31.5241881</c:v>
                </c:pt>
                <c:pt idx="23">
                  <c:v>31.13882216</c:v>
                </c:pt>
                <c:pt idx="24">
                  <c:v>30.705000569999999</c:v>
                </c:pt>
                <c:pt idx="25">
                  <c:v>30.48845481</c:v>
                </c:pt>
                <c:pt idx="26">
                  <c:v>30.405468679999998</c:v>
                </c:pt>
                <c:pt idx="27">
                  <c:v>30.415750249999999</c:v>
                </c:pt>
                <c:pt idx="28">
                  <c:v>30.36207881</c:v>
                </c:pt>
                <c:pt idx="29">
                  <c:v>30.33575037</c:v>
                </c:pt>
                <c:pt idx="30">
                  <c:v>32.315058319999999</c:v>
                </c:pt>
                <c:pt idx="31">
                  <c:v>36.337446049999997</c:v>
                </c:pt>
                <c:pt idx="32">
                  <c:v>37.049316390000001</c:v>
                </c:pt>
                <c:pt idx="33">
                  <c:v>37.15953253</c:v>
                </c:pt>
                <c:pt idx="34">
                  <c:v>36.058666850000002</c:v>
                </c:pt>
                <c:pt idx="35">
                  <c:v>35.327276830000002</c:v>
                </c:pt>
                <c:pt idx="36">
                  <c:v>34.870909230000002</c:v>
                </c:pt>
                <c:pt idx="37">
                  <c:v>36.107426869999998</c:v>
                </c:pt>
                <c:pt idx="38">
                  <c:v>36.894246109999997</c:v>
                </c:pt>
                <c:pt idx="39">
                  <c:v>35.586914149999998</c:v>
                </c:pt>
                <c:pt idx="40">
                  <c:v>34.740036500000002</c:v>
                </c:pt>
                <c:pt idx="41">
                  <c:v>34.140657150000003</c:v>
                </c:pt>
                <c:pt idx="42">
                  <c:v>33.75517962</c:v>
                </c:pt>
                <c:pt idx="43">
                  <c:v>33.440578500000001</c:v>
                </c:pt>
                <c:pt idx="44">
                  <c:v>33.366809619999998</c:v>
                </c:pt>
                <c:pt idx="45">
                  <c:v>33.278173049999999</c:v>
                </c:pt>
                <c:pt idx="46">
                  <c:v>32.98972054</c:v>
                </c:pt>
                <c:pt idx="47">
                  <c:v>32.62021361</c:v>
                </c:pt>
                <c:pt idx="48">
                  <c:v>32.632159119999997</c:v>
                </c:pt>
                <c:pt idx="49">
                  <c:v>35.194891390000002</c:v>
                </c:pt>
                <c:pt idx="50">
                  <c:v>35.554192559999997</c:v>
                </c:pt>
                <c:pt idx="51">
                  <c:v>34.451621500000002</c:v>
                </c:pt>
                <c:pt idx="52">
                  <c:v>33.91866606</c:v>
                </c:pt>
                <c:pt idx="53">
                  <c:v>34.9264315</c:v>
                </c:pt>
                <c:pt idx="54">
                  <c:v>35.972049939999998</c:v>
                </c:pt>
                <c:pt idx="55">
                  <c:v>37.452550330000001</c:v>
                </c:pt>
                <c:pt idx="56">
                  <c:v>36.853394530000003</c:v>
                </c:pt>
                <c:pt idx="57">
                  <c:v>35.419109859999999</c:v>
                </c:pt>
                <c:pt idx="58">
                  <c:v>34.230262949999997</c:v>
                </c:pt>
                <c:pt idx="59">
                  <c:v>33.353690100000001</c:v>
                </c:pt>
                <c:pt idx="60">
                  <c:v>32.906982669999998</c:v>
                </c:pt>
                <c:pt idx="61">
                  <c:v>34.001598059999999</c:v>
                </c:pt>
                <c:pt idx="62">
                  <c:v>33.594117490000002</c:v>
                </c:pt>
                <c:pt idx="63">
                  <c:v>32.863698669999998</c:v>
                </c:pt>
                <c:pt idx="64">
                  <c:v>31.929528520000002</c:v>
                </c:pt>
                <c:pt idx="65">
                  <c:v>31.818754460000001</c:v>
                </c:pt>
                <c:pt idx="66">
                  <c:v>31.978542340000001</c:v>
                </c:pt>
                <c:pt idx="67">
                  <c:v>32.119359099999997</c:v>
                </c:pt>
                <c:pt idx="68">
                  <c:v>31.388270840000001</c:v>
                </c:pt>
                <c:pt idx="69">
                  <c:v>30.826170189999999</c:v>
                </c:pt>
                <c:pt idx="70">
                  <c:v>30.795057920000001</c:v>
                </c:pt>
                <c:pt idx="71">
                  <c:v>31.101263939999999</c:v>
                </c:pt>
                <c:pt idx="72">
                  <c:v>30.589301259999999</c:v>
                </c:pt>
                <c:pt idx="73">
                  <c:v>29.800246179999998</c:v>
                </c:pt>
                <c:pt idx="74">
                  <c:v>29.522743200000001</c:v>
                </c:pt>
                <c:pt idx="75">
                  <c:v>31.74014558</c:v>
                </c:pt>
                <c:pt idx="76">
                  <c:v>32.477372670000001</c:v>
                </c:pt>
                <c:pt idx="77">
                  <c:v>31.771021260000001</c:v>
                </c:pt>
                <c:pt idx="78">
                  <c:v>33.994098200000003</c:v>
                </c:pt>
                <c:pt idx="79">
                  <c:v>33.625050559999998</c:v>
                </c:pt>
                <c:pt idx="80">
                  <c:v>32.261598679999999</c:v>
                </c:pt>
                <c:pt idx="81">
                  <c:v>31.270556769999999</c:v>
                </c:pt>
                <c:pt idx="82">
                  <c:v>31.341742480000001</c:v>
                </c:pt>
                <c:pt idx="83">
                  <c:v>31.499305639999999</c:v>
                </c:pt>
                <c:pt idx="84">
                  <c:v>30.844746300000001</c:v>
                </c:pt>
                <c:pt idx="85">
                  <c:v>31.0929526</c:v>
                </c:pt>
                <c:pt idx="86">
                  <c:v>32.520759689999998</c:v>
                </c:pt>
                <c:pt idx="87">
                  <c:v>31.125154739999999</c:v>
                </c:pt>
                <c:pt idx="88">
                  <c:v>29.743116709999999</c:v>
                </c:pt>
                <c:pt idx="89">
                  <c:v>28.8351975</c:v>
                </c:pt>
                <c:pt idx="90">
                  <c:v>28.799934329999999</c:v>
                </c:pt>
                <c:pt idx="91">
                  <c:v>28.887370539999999</c:v>
                </c:pt>
                <c:pt idx="92">
                  <c:v>29.193154150000002</c:v>
                </c:pt>
                <c:pt idx="93">
                  <c:v>30.55840019</c:v>
                </c:pt>
                <c:pt idx="94">
                  <c:v>35.744805159999999</c:v>
                </c:pt>
                <c:pt idx="95">
                  <c:v>35.842524480000002</c:v>
                </c:pt>
                <c:pt idx="96">
                  <c:v>36.535171249999998</c:v>
                </c:pt>
                <c:pt idx="97">
                  <c:v>34.810315729999999</c:v>
                </c:pt>
                <c:pt idx="98">
                  <c:v>33.261872709999999</c:v>
                </c:pt>
                <c:pt idx="99">
                  <c:v>31.86671977</c:v>
                </c:pt>
                <c:pt idx="100">
                  <c:v>32.24562555</c:v>
                </c:pt>
                <c:pt idx="101">
                  <c:v>31.37779368</c:v>
                </c:pt>
                <c:pt idx="102">
                  <c:v>30.15338985</c:v>
                </c:pt>
                <c:pt idx="103">
                  <c:v>29.028954760000001</c:v>
                </c:pt>
                <c:pt idx="104">
                  <c:v>28.037238429999999</c:v>
                </c:pt>
                <c:pt idx="105">
                  <c:v>27.24554938</c:v>
                </c:pt>
                <c:pt idx="106">
                  <c:v>26.513923210000002</c:v>
                </c:pt>
                <c:pt idx="107">
                  <c:v>25.963983989999999</c:v>
                </c:pt>
                <c:pt idx="108">
                  <c:v>25.410947029999999</c:v>
                </c:pt>
                <c:pt idx="109">
                  <c:v>24.80153571</c:v>
                </c:pt>
                <c:pt idx="110">
                  <c:v>24.038942729999999</c:v>
                </c:pt>
                <c:pt idx="111">
                  <c:v>23.179958790000001</c:v>
                </c:pt>
                <c:pt idx="112">
                  <c:v>22.30171606</c:v>
                </c:pt>
                <c:pt idx="113">
                  <c:v>21.46442734</c:v>
                </c:pt>
                <c:pt idx="114">
                  <c:v>20.719359000000001</c:v>
                </c:pt>
                <c:pt idx="115">
                  <c:v>19.88384787</c:v>
                </c:pt>
                <c:pt idx="116">
                  <c:v>19.072466779999999</c:v>
                </c:pt>
                <c:pt idx="117">
                  <c:v>18.425209639999999</c:v>
                </c:pt>
                <c:pt idx="118">
                  <c:v>17.816724879999999</c:v>
                </c:pt>
                <c:pt idx="119">
                  <c:v>17.140961189999999</c:v>
                </c:pt>
                <c:pt idx="120">
                  <c:v>16.502159339999999</c:v>
                </c:pt>
                <c:pt idx="121">
                  <c:v>15.95645056</c:v>
                </c:pt>
                <c:pt idx="122">
                  <c:v>15.55499893</c:v>
                </c:pt>
                <c:pt idx="123">
                  <c:v>15.348166989999999</c:v>
                </c:pt>
                <c:pt idx="124">
                  <c:v>15.101807239999999</c:v>
                </c:pt>
                <c:pt idx="125">
                  <c:v>14.684364349999999</c:v>
                </c:pt>
                <c:pt idx="126">
                  <c:v>14.271982899999999</c:v>
                </c:pt>
                <c:pt idx="127">
                  <c:v>13.87031172</c:v>
                </c:pt>
                <c:pt idx="128">
                  <c:v>13.63980514</c:v>
                </c:pt>
                <c:pt idx="129">
                  <c:v>13.401795099999999</c:v>
                </c:pt>
                <c:pt idx="130">
                  <c:v>13.20122716</c:v>
                </c:pt>
                <c:pt idx="131">
                  <c:v>13.036760210000001</c:v>
                </c:pt>
                <c:pt idx="132">
                  <c:v>12.86473165</c:v>
                </c:pt>
                <c:pt idx="133">
                  <c:v>12.730354670000001</c:v>
                </c:pt>
                <c:pt idx="134">
                  <c:v>12.688782939999999</c:v>
                </c:pt>
                <c:pt idx="135">
                  <c:v>12.6080413</c:v>
                </c:pt>
                <c:pt idx="136">
                  <c:v>12.53482627</c:v>
                </c:pt>
                <c:pt idx="137">
                  <c:v>14.06551093</c:v>
                </c:pt>
                <c:pt idx="138">
                  <c:v>19.39806797</c:v>
                </c:pt>
                <c:pt idx="139">
                  <c:v>18.44004434</c:v>
                </c:pt>
                <c:pt idx="140">
                  <c:v>17.384240810000001</c:v>
                </c:pt>
                <c:pt idx="141">
                  <c:v>16.398364990000001</c:v>
                </c:pt>
                <c:pt idx="142">
                  <c:v>15.65534892</c:v>
                </c:pt>
                <c:pt idx="143">
                  <c:v>15.38024931</c:v>
                </c:pt>
                <c:pt idx="144">
                  <c:v>15.27167524</c:v>
                </c:pt>
                <c:pt idx="145">
                  <c:v>16.678517920000001</c:v>
                </c:pt>
                <c:pt idx="146">
                  <c:v>16.54071879</c:v>
                </c:pt>
                <c:pt idx="147">
                  <c:v>16.248685519999999</c:v>
                </c:pt>
                <c:pt idx="148">
                  <c:v>15.58995943</c:v>
                </c:pt>
                <c:pt idx="149">
                  <c:v>14.98981232</c:v>
                </c:pt>
                <c:pt idx="150">
                  <c:v>14.793556730000001</c:v>
                </c:pt>
                <c:pt idx="151">
                  <c:v>14.74284316</c:v>
                </c:pt>
                <c:pt idx="152">
                  <c:v>14.499666530000001</c:v>
                </c:pt>
                <c:pt idx="153">
                  <c:v>14.16781508</c:v>
                </c:pt>
                <c:pt idx="154">
                  <c:v>13.951461269999999</c:v>
                </c:pt>
                <c:pt idx="155">
                  <c:v>14.009044640000001</c:v>
                </c:pt>
                <c:pt idx="156">
                  <c:v>13.879249120000001</c:v>
                </c:pt>
                <c:pt idx="157">
                  <c:v>13.64750184</c:v>
                </c:pt>
                <c:pt idx="158">
                  <c:v>13.414761370000001</c:v>
                </c:pt>
                <c:pt idx="159">
                  <c:v>13.26942494</c:v>
                </c:pt>
                <c:pt idx="160">
                  <c:v>13.205224919999999</c:v>
                </c:pt>
                <c:pt idx="161">
                  <c:v>13.355707130000001</c:v>
                </c:pt>
                <c:pt idx="162">
                  <c:v>13.33863618</c:v>
                </c:pt>
                <c:pt idx="163">
                  <c:v>13.185748419999999</c:v>
                </c:pt>
                <c:pt idx="164">
                  <c:v>13.07836318</c:v>
                </c:pt>
                <c:pt idx="165">
                  <c:v>12.97803485</c:v>
                </c:pt>
                <c:pt idx="166">
                  <c:v>12.902941589999999</c:v>
                </c:pt>
                <c:pt idx="167">
                  <c:v>12.7998665</c:v>
                </c:pt>
                <c:pt idx="168">
                  <c:v>12.63004312</c:v>
                </c:pt>
                <c:pt idx="169">
                  <c:v>13.155723289999999</c:v>
                </c:pt>
                <c:pt idx="170">
                  <c:v>13.956676290000001</c:v>
                </c:pt>
                <c:pt idx="171">
                  <c:v>14.164007379999999</c:v>
                </c:pt>
                <c:pt idx="172">
                  <c:v>14.734635519999999</c:v>
                </c:pt>
                <c:pt idx="173">
                  <c:v>17.246028720000002</c:v>
                </c:pt>
                <c:pt idx="174">
                  <c:v>18.74071996</c:v>
                </c:pt>
                <c:pt idx="175">
                  <c:v>20.227284220000001</c:v>
                </c:pt>
                <c:pt idx="176">
                  <c:v>21.19711088</c:v>
                </c:pt>
                <c:pt idx="177">
                  <c:v>25.43261051</c:v>
                </c:pt>
                <c:pt idx="178">
                  <c:v>26.221159400000001</c:v>
                </c:pt>
                <c:pt idx="179">
                  <c:v>26.9255639</c:v>
                </c:pt>
                <c:pt idx="180">
                  <c:v>27.149733980000001</c:v>
                </c:pt>
                <c:pt idx="181">
                  <c:v>26.333475459999999</c:v>
                </c:pt>
                <c:pt idx="182">
                  <c:v>30.160870540000001</c:v>
                </c:pt>
                <c:pt idx="183">
                  <c:v>30.605315959999999</c:v>
                </c:pt>
                <c:pt idx="184">
                  <c:v>29.030152279999999</c:v>
                </c:pt>
                <c:pt idx="185">
                  <c:v>29.878552970000001</c:v>
                </c:pt>
                <c:pt idx="186">
                  <c:v>28.688791210000002</c:v>
                </c:pt>
                <c:pt idx="187">
                  <c:v>27.443521619999999</c:v>
                </c:pt>
                <c:pt idx="188">
                  <c:v>30.81375194</c:v>
                </c:pt>
                <c:pt idx="189">
                  <c:v>29.740374639999999</c:v>
                </c:pt>
                <c:pt idx="190">
                  <c:v>28.506178670000001</c:v>
                </c:pt>
                <c:pt idx="191">
                  <c:v>28.70995636</c:v>
                </c:pt>
                <c:pt idx="192">
                  <c:v>28.919571529999999</c:v>
                </c:pt>
                <c:pt idx="193">
                  <c:v>31.453605799999998</c:v>
                </c:pt>
                <c:pt idx="194">
                  <c:v>30.016890579999998</c:v>
                </c:pt>
                <c:pt idx="195">
                  <c:v>28.919413080000002</c:v>
                </c:pt>
                <c:pt idx="196">
                  <c:v>27.982316730000001</c:v>
                </c:pt>
                <c:pt idx="197">
                  <c:v>26.723444570000002</c:v>
                </c:pt>
                <c:pt idx="198">
                  <c:v>25.654445620000001</c:v>
                </c:pt>
                <c:pt idx="199">
                  <c:v>24.529209720000001</c:v>
                </c:pt>
                <c:pt idx="200">
                  <c:v>23.790099219999998</c:v>
                </c:pt>
                <c:pt idx="201">
                  <c:v>26.870676620000001</c:v>
                </c:pt>
                <c:pt idx="202">
                  <c:v>28.72701249</c:v>
                </c:pt>
                <c:pt idx="203">
                  <c:v>27.4028524</c:v>
                </c:pt>
                <c:pt idx="204">
                  <c:v>26.618773340000001</c:v>
                </c:pt>
                <c:pt idx="205">
                  <c:v>25.998387139999998</c:v>
                </c:pt>
                <c:pt idx="206">
                  <c:v>26.04747352</c:v>
                </c:pt>
                <c:pt idx="207">
                  <c:v>27.0953205</c:v>
                </c:pt>
                <c:pt idx="208">
                  <c:v>30.646697830000001</c:v>
                </c:pt>
                <c:pt idx="209">
                  <c:v>31.595901990000002</c:v>
                </c:pt>
                <c:pt idx="210">
                  <c:v>30.403008979999999</c:v>
                </c:pt>
                <c:pt idx="211">
                  <c:v>29.23940283</c:v>
                </c:pt>
                <c:pt idx="212">
                  <c:v>27.90781342</c:v>
                </c:pt>
                <c:pt idx="213">
                  <c:v>26.715938170000001</c:v>
                </c:pt>
                <c:pt idx="214">
                  <c:v>23.995684529999998</c:v>
                </c:pt>
                <c:pt idx="215">
                  <c:v>23.760118290000001</c:v>
                </c:pt>
                <c:pt idx="216">
                  <c:v>23.499634690000001</c:v>
                </c:pt>
                <c:pt idx="217">
                  <c:v>23.244947880000002</c:v>
                </c:pt>
                <c:pt idx="218">
                  <c:v>22.945815929999998</c:v>
                </c:pt>
                <c:pt idx="219">
                  <c:v>24.033854080000001</c:v>
                </c:pt>
                <c:pt idx="220">
                  <c:v>29.503924309999999</c:v>
                </c:pt>
                <c:pt idx="221">
                  <c:v>28.741324030000001</c:v>
                </c:pt>
                <c:pt idx="222">
                  <c:v>27.919506779999999</c:v>
                </c:pt>
                <c:pt idx="223">
                  <c:v>27.538497199999998</c:v>
                </c:pt>
                <c:pt idx="224">
                  <c:v>27.490689060000001</c:v>
                </c:pt>
                <c:pt idx="225">
                  <c:v>27.14942469</c:v>
                </c:pt>
                <c:pt idx="226">
                  <c:v>26.665504800000001</c:v>
                </c:pt>
                <c:pt idx="227">
                  <c:v>26.042132200000001</c:v>
                </c:pt>
                <c:pt idx="228">
                  <c:v>26.149474999999999</c:v>
                </c:pt>
                <c:pt idx="229">
                  <c:v>28.088133899999999</c:v>
                </c:pt>
                <c:pt idx="230">
                  <c:v>28.545911050000001</c:v>
                </c:pt>
                <c:pt idx="231">
                  <c:v>27.659907440000001</c:v>
                </c:pt>
                <c:pt idx="232">
                  <c:v>26.895821860000002</c:v>
                </c:pt>
                <c:pt idx="233">
                  <c:v>26.33744772</c:v>
                </c:pt>
                <c:pt idx="234">
                  <c:v>25.88715526</c:v>
                </c:pt>
                <c:pt idx="235">
                  <c:v>25.506677029999999</c:v>
                </c:pt>
                <c:pt idx="236">
                  <c:v>25.1910922</c:v>
                </c:pt>
                <c:pt idx="237">
                  <c:v>24.911594260000001</c:v>
                </c:pt>
                <c:pt idx="238">
                  <c:v>24.608016750000001</c:v>
                </c:pt>
                <c:pt idx="239">
                  <c:v>24.29053407</c:v>
                </c:pt>
                <c:pt idx="240">
                  <c:v>24.058565919999999</c:v>
                </c:pt>
                <c:pt idx="241">
                  <c:v>24.03752459</c:v>
                </c:pt>
                <c:pt idx="242">
                  <c:v>23.844232989999998</c:v>
                </c:pt>
                <c:pt idx="243">
                  <c:v>23.499316360000002</c:v>
                </c:pt>
                <c:pt idx="244">
                  <c:v>23.00752091</c:v>
                </c:pt>
                <c:pt idx="245">
                  <c:v>22.501762830000001</c:v>
                </c:pt>
                <c:pt idx="246">
                  <c:v>22.083467949999999</c:v>
                </c:pt>
                <c:pt idx="247">
                  <c:v>21.6097535</c:v>
                </c:pt>
                <c:pt idx="248">
                  <c:v>21.045787919999999</c:v>
                </c:pt>
                <c:pt idx="249">
                  <c:v>20.432457429999999</c:v>
                </c:pt>
                <c:pt idx="250">
                  <c:v>20.28138113</c:v>
                </c:pt>
                <c:pt idx="251">
                  <c:v>20.465845399999999</c:v>
                </c:pt>
                <c:pt idx="252">
                  <c:v>20.799153319999999</c:v>
                </c:pt>
                <c:pt idx="253">
                  <c:v>20.935620499999999</c:v>
                </c:pt>
                <c:pt idx="254">
                  <c:v>20.872744860000001</c:v>
                </c:pt>
                <c:pt idx="255">
                  <c:v>21.092916590000002</c:v>
                </c:pt>
                <c:pt idx="256">
                  <c:v>24.21043173</c:v>
                </c:pt>
                <c:pt idx="257">
                  <c:v>29.412694940000002</c:v>
                </c:pt>
                <c:pt idx="258">
                  <c:v>32.923101580000001</c:v>
                </c:pt>
                <c:pt idx="259">
                  <c:v>32.142210300000002</c:v>
                </c:pt>
                <c:pt idx="260">
                  <c:v>32.631385719999997</c:v>
                </c:pt>
                <c:pt idx="261">
                  <c:v>33.575521379999998</c:v>
                </c:pt>
                <c:pt idx="262">
                  <c:v>34.460600720000002</c:v>
                </c:pt>
                <c:pt idx="263">
                  <c:v>34.019314960000003</c:v>
                </c:pt>
                <c:pt idx="264">
                  <c:v>35.350378630000002</c:v>
                </c:pt>
                <c:pt idx="265">
                  <c:v>34.567769310000003</c:v>
                </c:pt>
                <c:pt idx="266">
                  <c:v>33.672264810000001</c:v>
                </c:pt>
                <c:pt idx="267">
                  <c:v>34.058262460000002</c:v>
                </c:pt>
                <c:pt idx="268">
                  <c:v>34.92788685</c:v>
                </c:pt>
                <c:pt idx="269">
                  <c:v>35.117848819999999</c:v>
                </c:pt>
                <c:pt idx="270">
                  <c:v>34.620813409999997</c:v>
                </c:pt>
                <c:pt idx="271">
                  <c:v>31.74342253</c:v>
                </c:pt>
                <c:pt idx="272">
                  <c:v>31.235518419999998</c:v>
                </c:pt>
                <c:pt idx="273">
                  <c:v>31.59212673</c:v>
                </c:pt>
                <c:pt idx="274">
                  <c:v>31.905589150000001</c:v>
                </c:pt>
                <c:pt idx="275">
                  <c:v>31.654561910000002</c:v>
                </c:pt>
                <c:pt idx="276">
                  <c:v>31.478487529999999</c:v>
                </c:pt>
                <c:pt idx="277">
                  <c:v>32.727696569999999</c:v>
                </c:pt>
                <c:pt idx="278">
                  <c:v>34.98550436</c:v>
                </c:pt>
                <c:pt idx="279">
                  <c:v>36.117573450000002</c:v>
                </c:pt>
                <c:pt idx="280">
                  <c:v>34.855615929999999</c:v>
                </c:pt>
                <c:pt idx="281">
                  <c:v>35.393371729999998</c:v>
                </c:pt>
                <c:pt idx="282">
                  <c:v>36.915412259999997</c:v>
                </c:pt>
                <c:pt idx="283">
                  <c:v>36.558969660000002</c:v>
                </c:pt>
                <c:pt idx="284">
                  <c:v>35.518264989999999</c:v>
                </c:pt>
                <c:pt idx="285">
                  <c:v>36.796886409999999</c:v>
                </c:pt>
                <c:pt idx="286">
                  <c:v>37.238481190000002</c:v>
                </c:pt>
                <c:pt idx="287">
                  <c:v>37.125405000000001</c:v>
                </c:pt>
                <c:pt idx="288">
                  <c:v>36.931095280000001</c:v>
                </c:pt>
                <c:pt idx="289">
                  <c:v>37.351921599999997</c:v>
                </c:pt>
                <c:pt idx="290">
                  <c:v>36.421603679999997</c:v>
                </c:pt>
                <c:pt idx="291">
                  <c:v>35.855795299999997</c:v>
                </c:pt>
                <c:pt idx="292">
                  <c:v>37.37423794</c:v>
                </c:pt>
                <c:pt idx="293">
                  <c:v>37.683946980000002</c:v>
                </c:pt>
                <c:pt idx="294">
                  <c:v>37.64589385</c:v>
                </c:pt>
                <c:pt idx="295">
                  <c:v>39.207286500000002</c:v>
                </c:pt>
                <c:pt idx="296">
                  <c:v>38.704357219999999</c:v>
                </c:pt>
                <c:pt idx="297">
                  <c:v>37.53459221</c:v>
                </c:pt>
                <c:pt idx="298">
                  <c:v>37.210148150000002</c:v>
                </c:pt>
                <c:pt idx="299">
                  <c:v>36.950075439999999</c:v>
                </c:pt>
                <c:pt idx="300">
                  <c:v>36.468271190000003</c:v>
                </c:pt>
                <c:pt idx="301">
                  <c:v>35.812876789999997</c:v>
                </c:pt>
                <c:pt idx="302">
                  <c:v>36.286495539999997</c:v>
                </c:pt>
                <c:pt idx="303">
                  <c:v>38.673361759999999</c:v>
                </c:pt>
                <c:pt idx="304">
                  <c:v>38.173596799999999</c:v>
                </c:pt>
                <c:pt idx="305">
                  <c:v>37.410789129999998</c:v>
                </c:pt>
                <c:pt idx="306">
                  <c:v>37.558192689999998</c:v>
                </c:pt>
                <c:pt idx="307">
                  <c:v>37.623209150000001</c:v>
                </c:pt>
                <c:pt idx="308">
                  <c:v>37.728612630000001</c:v>
                </c:pt>
                <c:pt idx="309">
                  <c:v>37.713047240000002</c:v>
                </c:pt>
                <c:pt idx="310">
                  <c:v>38.365532850000001</c:v>
                </c:pt>
                <c:pt idx="311">
                  <c:v>38.781087790000001</c:v>
                </c:pt>
                <c:pt idx="312">
                  <c:v>38.14940962</c:v>
                </c:pt>
                <c:pt idx="313">
                  <c:v>37.960801660000001</c:v>
                </c:pt>
                <c:pt idx="314">
                  <c:v>37.600125970000001</c:v>
                </c:pt>
                <c:pt idx="315">
                  <c:v>37.237026499999999</c:v>
                </c:pt>
                <c:pt idx="316">
                  <c:v>36.872246820000001</c:v>
                </c:pt>
                <c:pt idx="317">
                  <c:v>37.155280279999999</c:v>
                </c:pt>
                <c:pt idx="318">
                  <c:v>38.76422702</c:v>
                </c:pt>
                <c:pt idx="319">
                  <c:v>38.927309649999998</c:v>
                </c:pt>
                <c:pt idx="320">
                  <c:v>40.093474360000002</c:v>
                </c:pt>
                <c:pt idx="321">
                  <c:v>39.60422775</c:v>
                </c:pt>
                <c:pt idx="322">
                  <c:v>39.312630050000003</c:v>
                </c:pt>
                <c:pt idx="323">
                  <c:v>39.546169089999999</c:v>
                </c:pt>
                <c:pt idx="324">
                  <c:v>39.294561420000001</c:v>
                </c:pt>
                <c:pt idx="325">
                  <c:v>38.67469097</c:v>
                </c:pt>
                <c:pt idx="326">
                  <c:v>38.110974339999999</c:v>
                </c:pt>
                <c:pt idx="327">
                  <c:v>38.132267229999997</c:v>
                </c:pt>
                <c:pt idx="328">
                  <c:v>38.722027060000002</c:v>
                </c:pt>
                <c:pt idx="329">
                  <c:v>38.196578279999997</c:v>
                </c:pt>
                <c:pt idx="330">
                  <c:v>37.759045780000001</c:v>
                </c:pt>
                <c:pt idx="331">
                  <c:v>39.355045709999999</c:v>
                </c:pt>
                <c:pt idx="332">
                  <c:v>39.567961150000002</c:v>
                </c:pt>
                <c:pt idx="333">
                  <c:v>40.1073418</c:v>
                </c:pt>
                <c:pt idx="334">
                  <c:v>39.226900909999998</c:v>
                </c:pt>
                <c:pt idx="335">
                  <c:v>39.728472600000003</c:v>
                </c:pt>
                <c:pt idx="336">
                  <c:v>39.605874710000002</c:v>
                </c:pt>
                <c:pt idx="337">
                  <c:v>38.854525459999998</c:v>
                </c:pt>
                <c:pt idx="338">
                  <c:v>38.74041587</c:v>
                </c:pt>
                <c:pt idx="339">
                  <c:v>38.754279920000002</c:v>
                </c:pt>
                <c:pt idx="340">
                  <c:v>38.76722934</c:v>
                </c:pt>
                <c:pt idx="341">
                  <c:v>38.743127479999998</c:v>
                </c:pt>
                <c:pt idx="342">
                  <c:v>38.719025619999996</c:v>
                </c:pt>
                <c:pt idx="343">
                  <c:v>38.694923760000002</c:v>
                </c:pt>
                <c:pt idx="344">
                  <c:v>38.6708219</c:v>
                </c:pt>
                <c:pt idx="345">
                  <c:v>38.646720039999998</c:v>
                </c:pt>
                <c:pt idx="346">
                  <c:v>38.622618180000003</c:v>
                </c:pt>
                <c:pt idx="347">
                  <c:v>38.598516320000002</c:v>
                </c:pt>
                <c:pt idx="348">
                  <c:v>38.57441446</c:v>
                </c:pt>
                <c:pt idx="349">
                  <c:v>38.550312599999998</c:v>
                </c:pt>
                <c:pt idx="350">
                  <c:v>38.526210740000003</c:v>
                </c:pt>
                <c:pt idx="351">
                  <c:v>38.502108880000002</c:v>
                </c:pt>
                <c:pt idx="352">
                  <c:v>38.197763899999998</c:v>
                </c:pt>
                <c:pt idx="353">
                  <c:v>37.998883200000002</c:v>
                </c:pt>
                <c:pt idx="354">
                  <c:v>37.558789279999999</c:v>
                </c:pt>
                <c:pt idx="355">
                  <c:v>38.2315015</c:v>
                </c:pt>
                <c:pt idx="356">
                  <c:v>37.930594110000001</c:v>
                </c:pt>
                <c:pt idx="357">
                  <c:v>37.203320869999999</c:v>
                </c:pt>
                <c:pt idx="358">
                  <c:v>36.865305650000003</c:v>
                </c:pt>
                <c:pt idx="359">
                  <c:v>36.632093419999997</c:v>
                </c:pt>
                <c:pt idx="360">
                  <c:v>36.316992310000003</c:v>
                </c:pt>
              </c:numCache>
            </c:numRef>
          </c:xVal>
          <c:yVal>
            <c:numRef>
              <c:f>selhausen_SM_Kdose_daily!$F$8:$F$400</c:f>
              <c:numCache>
                <c:formatCode>General</c:formatCode>
                <c:ptCount val="393"/>
                <c:pt idx="0">
                  <c:v>36.071726561193366</c:v>
                </c:pt>
                <c:pt idx="1">
                  <c:v>35.84094794527082</c:v>
                </c:pt>
                <c:pt idx="2">
                  <c:v>35.566198417800578</c:v>
                </c:pt>
                <c:pt idx="3">
                  <c:v>35.543115659995934</c:v>
                </c:pt>
                <c:pt idx="4">
                  <c:v>35.376499437293063</c:v>
                </c:pt>
                <c:pt idx="5">
                  <c:v>34.738179627513738</c:v>
                </c:pt>
                <c:pt idx="6">
                  <c:v>34.101813425022989</c:v>
                </c:pt>
                <c:pt idx="7">
                  <c:v>33.428725547880184</c:v>
                </c:pt>
                <c:pt idx="8">
                  <c:v>33.000155056254066</c:v>
                </c:pt>
                <c:pt idx="9">
                  <c:v>32.172860842963857</c:v>
                </c:pt>
                <c:pt idx="10">
                  <c:v>32.083922405740637</c:v>
                </c:pt>
                <c:pt idx="11">
                  <c:v>31.447563218616065</c:v>
                </c:pt>
                <c:pt idx="12">
                  <c:v>31.685739271867746</c:v>
                </c:pt>
                <c:pt idx="13">
                  <c:v>32.14309763123601</c:v>
                </c:pt>
                <c:pt idx="14">
                  <c:v>33.128500006303987</c:v>
                </c:pt>
                <c:pt idx="15">
                  <c:v>33.056733699505521</c:v>
                </c:pt>
                <c:pt idx="16">
                  <c:v>32.222753599985303</c:v>
                </c:pt>
                <c:pt idx="17">
                  <c:v>32.265335798120859</c:v>
                </c:pt>
                <c:pt idx="18">
                  <c:v>33.517267279012522</c:v>
                </c:pt>
                <c:pt idx="19">
                  <c:v>35.088310211162529</c:v>
                </c:pt>
                <c:pt idx="20">
                  <c:v>35.371582096516512</c:v>
                </c:pt>
                <c:pt idx="21">
                  <c:v>34.559270643574905</c:v>
                </c:pt>
                <c:pt idx="22">
                  <c:v>33.715034641949131</c:v>
                </c:pt>
                <c:pt idx="23">
                  <c:v>33.219786962531437</c:v>
                </c:pt>
                <c:pt idx="24">
                  <c:v>32.88376756802684</c:v>
                </c:pt>
                <c:pt idx="25">
                  <c:v>32.673036927461574</c:v>
                </c:pt>
                <c:pt idx="26">
                  <c:v>32.576041237269813</c:v>
                </c:pt>
                <c:pt idx="27">
                  <c:v>32.707298013299216</c:v>
                </c:pt>
                <c:pt idx="28">
                  <c:v>32.856821166652814</c:v>
                </c:pt>
                <c:pt idx="29">
                  <c:v>34.425503517289677</c:v>
                </c:pt>
                <c:pt idx="30">
                  <c:v>37.886503548422482</c:v>
                </c:pt>
                <c:pt idx="31">
                  <c:v>39.330382229481941</c:v>
                </c:pt>
                <c:pt idx="32">
                  <c:v>38.976159944847844</c:v>
                </c:pt>
                <c:pt idx="33">
                  <c:v>36.43829844045451</c:v>
                </c:pt>
                <c:pt idx="34">
                  <c:v>35.959906604089426</c:v>
                </c:pt>
                <c:pt idx="35">
                  <c:v>34.652227455431053</c:v>
                </c:pt>
                <c:pt idx="36">
                  <c:v>35.040345020383583</c:v>
                </c:pt>
                <c:pt idx="37">
                  <c:v>35.527949079257397</c:v>
                </c:pt>
                <c:pt idx="38">
                  <c:v>36.074543676061289</c:v>
                </c:pt>
                <c:pt idx="39">
                  <c:v>34.110864188789705</c:v>
                </c:pt>
                <c:pt idx="40">
                  <c:v>31.965640440399056</c:v>
                </c:pt>
                <c:pt idx="41">
                  <c:v>31.481814496109617</c:v>
                </c:pt>
                <c:pt idx="42">
                  <c:v>32.005270225038259</c:v>
                </c:pt>
                <c:pt idx="43">
                  <c:v>32.727980995352993</c:v>
                </c:pt>
                <c:pt idx="44">
                  <c:v>32.501883915636206</c:v>
                </c:pt>
                <c:pt idx="45">
                  <c:v>31.943885723746469</c:v>
                </c:pt>
                <c:pt idx="46">
                  <c:v>31.489443705189927</c:v>
                </c:pt>
                <c:pt idx="47">
                  <c:v>31.909371035459529</c:v>
                </c:pt>
                <c:pt idx="48">
                  <c:v>33.552225329562859</c:v>
                </c:pt>
                <c:pt idx="49">
                  <c:v>35.16180409959744</c:v>
                </c:pt>
                <c:pt idx="50">
                  <c:v>35.427564617273759</c:v>
                </c:pt>
                <c:pt idx="51">
                  <c:v>34.194884321039545</c:v>
                </c:pt>
                <c:pt idx="52">
                  <c:v>33.266010611494352</c:v>
                </c:pt>
                <c:pt idx="53">
                  <c:v>33.339032111105176</c:v>
                </c:pt>
                <c:pt idx="54">
                  <c:v>34.957056934582589</c:v>
                </c:pt>
                <c:pt idx="55">
                  <c:v>36.096802289544378</c:v>
                </c:pt>
                <c:pt idx="56">
                  <c:v>36.30238212216419</c:v>
                </c:pt>
                <c:pt idx="57">
                  <c:v>35.061617570599992</c:v>
                </c:pt>
                <c:pt idx="58">
                  <c:v>33.397478476123169</c:v>
                </c:pt>
                <c:pt idx="59">
                  <c:v>32.945446447594016</c:v>
                </c:pt>
                <c:pt idx="60">
                  <c:v>33.954707412088325</c:v>
                </c:pt>
                <c:pt idx="61">
                  <c:v>34.695363533912989</c:v>
                </c:pt>
                <c:pt idx="62">
                  <c:v>34.273746480391836</c:v>
                </c:pt>
                <c:pt idx="63">
                  <c:v>32.563882204906356</c:v>
                </c:pt>
                <c:pt idx="64">
                  <c:v>31.398533250023135</c:v>
                </c:pt>
                <c:pt idx="65">
                  <c:v>32.0399256064212</c:v>
                </c:pt>
                <c:pt idx="66">
                  <c:v>32.909481722224385</c:v>
                </c:pt>
                <c:pt idx="67">
                  <c:v>32.46677010973314</c:v>
                </c:pt>
                <c:pt idx="68">
                  <c:v>31.447574996614996</c:v>
                </c:pt>
                <c:pt idx="69">
                  <c:v>31.858019917041574</c:v>
                </c:pt>
                <c:pt idx="70">
                  <c:v>32.208291944928781</c:v>
                </c:pt>
                <c:pt idx="71">
                  <c:v>32.160431314756771</c:v>
                </c:pt>
                <c:pt idx="72">
                  <c:v>31.098558012399902</c:v>
                </c:pt>
                <c:pt idx="73">
                  <c:v>30.779390909775127</c:v>
                </c:pt>
                <c:pt idx="74">
                  <c:v>31.270576899562521</c:v>
                </c:pt>
                <c:pt idx="75">
                  <c:v>31.675466465078863</c:v>
                </c:pt>
                <c:pt idx="76">
                  <c:v>31.374052319087493</c:v>
                </c:pt>
                <c:pt idx="77">
                  <c:v>32.605973665944155</c:v>
                </c:pt>
                <c:pt idx="78">
                  <c:v>33.524755818083428</c:v>
                </c:pt>
                <c:pt idx="79">
                  <c:v>34.034301502047896</c:v>
                </c:pt>
                <c:pt idx="80">
                  <c:v>32.564633419051162</c:v>
                </c:pt>
                <c:pt idx="81">
                  <c:v>30.879110347856635</c:v>
                </c:pt>
                <c:pt idx="82">
                  <c:v>31.079138582218434</c:v>
                </c:pt>
                <c:pt idx="83">
                  <c:v>30.578256039321992</c:v>
                </c:pt>
                <c:pt idx="84">
                  <c:v>30.627045649606742</c:v>
                </c:pt>
                <c:pt idx="85">
                  <c:v>30.956083270408246</c:v>
                </c:pt>
                <c:pt idx="86">
                  <c:v>31.37691370649469</c:v>
                </c:pt>
                <c:pt idx="87">
                  <c:v>30.167577548936141</c:v>
                </c:pt>
                <c:pt idx="88">
                  <c:v>28.173236315915794</c:v>
                </c:pt>
                <c:pt idx="89">
                  <c:v>26.952062010162219</c:v>
                </c:pt>
                <c:pt idx="90">
                  <c:v>27.065162764445898</c:v>
                </c:pt>
                <c:pt idx="91">
                  <c:v>27.121474928608752</c:v>
                </c:pt>
                <c:pt idx="92">
                  <c:v>27.230110257846775</c:v>
                </c:pt>
                <c:pt idx="93">
                  <c:v>29.471501589583092</c:v>
                </c:pt>
                <c:pt idx="94">
                  <c:v>31.537594783393551</c:v>
                </c:pt>
                <c:pt idx="95">
                  <c:v>33.176017614532199</c:v>
                </c:pt>
                <c:pt idx="96">
                  <c:v>32.545453430849072</c:v>
                </c:pt>
                <c:pt idx="97">
                  <c:v>31.04334019761686</c:v>
                </c:pt>
                <c:pt idx="98">
                  <c:v>30.435023493584122</c:v>
                </c:pt>
                <c:pt idx="99">
                  <c:v>31.36327615430098</c:v>
                </c:pt>
                <c:pt idx="100">
                  <c:v>31.912183562659514</c:v>
                </c:pt>
                <c:pt idx="101">
                  <c:v>31.394876192781641</c:v>
                </c:pt>
                <c:pt idx="102">
                  <c:v>28.801887567221797</c:v>
                </c:pt>
                <c:pt idx="103">
                  <c:v>27.263219384631853</c:v>
                </c:pt>
                <c:pt idx="104">
                  <c:v>25.563233878409914</c:v>
                </c:pt>
                <c:pt idx="105">
                  <c:v>24.912557439527536</c:v>
                </c:pt>
                <c:pt idx="106">
                  <c:v>25.022200184512787</c:v>
                </c:pt>
                <c:pt idx="107">
                  <c:v>26.112079067783906</c:v>
                </c:pt>
                <c:pt idx="108">
                  <c:v>25.845060193985141</c:v>
                </c:pt>
                <c:pt idx="109">
                  <c:v>25.099732107434363</c:v>
                </c:pt>
                <c:pt idx="110">
                  <c:v>23.607363431121627</c:v>
                </c:pt>
                <c:pt idx="111">
                  <c:v>22.290143223777097</c:v>
                </c:pt>
                <c:pt idx="112">
                  <c:v>21.16121962062072</c:v>
                </c:pt>
                <c:pt idx="113">
                  <c:v>20.622610847567699</c:v>
                </c:pt>
                <c:pt idx="114">
                  <c:v>20.244639826263636</c:v>
                </c:pt>
                <c:pt idx="115">
                  <c:v>19.566873975214367</c:v>
                </c:pt>
                <c:pt idx="116">
                  <c:v>19.415782465078632</c:v>
                </c:pt>
                <c:pt idx="117">
                  <c:v>19.335656240773748</c:v>
                </c:pt>
                <c:pt idx="118">
                  <c:v>18.219688987154445</c:v>
                </c:pt>
                <c:pt idx="119">
                  <c:v>16.389639958202213</c:v>
                </c:pt>
                <c:pt idx="120">
                  <c:v>15.46129584059816</c:v>
                </c:pt>
                <c:pt idx="121">
                  <c:v>15.592394870835481</c:v>
                </c:pt>
                <c:pt idx="122">
                  <c:v>15.639498838726084</c:v>
                </c:pt>
                <c:pt idx="123">
                  <c:v>15.707757247022228</c:v>
                </c:pt>
                <c:pt idx="124">
                  <c:v>14.833729207849961</c:v>
                </c:pt>
                <c:pt idx="125">
                  <c:v>13.996666373064492</c:v>
                </c:pt>
                <c:pt idx="126">
                  <c:v>13.163543840107941</c:v>
                </c:pt>
                <c:pt idx="127">
                  <c:v>12.868220511980555</c:v>
                </c:pt>
                <c:pt idx="128">
                  <c:v>12.798593410522402</c:v>
                </c:pt>
                <c:pt idx="129">
                  <c:v>12.968214884452085</c:v>
                </c:pt>
                <c:pt idx="130">
                  <c:v>12.740499923160426</c:v>
                </c:pt>
                <c:pt idx="131">
                  <c:v>12.317889536314294</c:v>
                </c:pt>
                <c:pt idx="132">
                  <c:v>11.425856527363985</c:v>
                </c:pt>
                <c:pt idx="133">
                  <c:v>10.758222182850426</c:v>
                </c:pt>
                <c:pt idx="134">
                  <c:v>10.245040185940544</c:v>
                </c:pt>
                <c:pt idx="135">
                  <c:v>10.223173220099726</c:v>
                </c:pt>
                <c:pt idx="136">
                  <c:v>12.147733764812431</c:v>
                </c:pt>
                <c:pt idx="137">
                  <c:v>16.075561324519551</c:v>
                </c:pt>
                <c:pt idx="138">
                  <c:v>19.673955659105182</c:v>
                </c:pt>
                <c:pt idx="139">
                  <c:v>20.396792448605694</c:v>
                </c:pt>
                <c:pt idx="140">
                  <c:v>18.84579690648572</c:v>
                </c:pt>
                <c:pt idx="141">
                  <c:v>18.007276375557669</c:v>
                </c:pt>
                <c:pt idx="142">
                  <c:v>18.204694739525827</c:v>
                </c:pt>
                <c:pt idx="143">
                  <c:v>18.14210448544344</c:v>
                </c:pt>
                <c:pt idx="144">
                  <c:v>19.28085120545359</c:v>
                </c:pt>
                <c:pt idx="145">
                  <c:v>20.084401513942112</c:v>
                </c:pt>
                <c:pt idx="146">
                  <c:v>20.768211552967134</c:v>
                </c:pt>
                <c:pt idx="147">
                  <c:v>19.740929790547295</c:v>
                </c:pt>
                <c:pt idx="148">
                  <c:v>18.369481851315488</c:v>
                </c:pt>
                <c:pt idx="149">
                  <c:v>18.624920704598352</c:v>
                </c:pt>
                <c:pt idx="150">
                  <c:v>18.73199916022029</c:v>
                </c:pt>
                <c:pt idx="151">
                  <c:v>17.973874691150595</c:v>
                </c:pt>
                <c:pt idx="152">
                  <c:v>15.549757930797314</c:v>
                </c:pt>
                <c:pt idx="153">
                  <c:v>13.755416160588327</c:v>
                </c:pt>
                <c:pt idx="154">
                  <c:v>13.277759212925497</c:v>
                </c:pt>
                <c:pt idx="155">
                  <c:v>12.957778229907813</c:v>
                </c:pt>
                <c:pt idx="156">
                  <c:v>13.129284282302539</c:v>
                </c:pt>
                <c:pt idx="157">
                  <c:v>12.677800579310375</c:v>
                </c:pt>
                <c:pt idx="158">
                  <c:v>12.232073861997726</c:v>
                </c:pt>
                <c:pt idx="159">
                  <c:v>11.971828001717677</c:v>
                </c:pt>
                <c:pt idx="160">
                  <c:v>12.311756065492</c:v>
                </c:pt>
                <c:pt idx="161">
                  <c:v>13.001249721149616</c:v>
                </c:pt>
                <c:pt idx="162">
                  <c:v>13.295423753653226</c:v>
                </c:pt>
                <c:pt idx="163">
                  <c:v>12.857402198875187</c:v>
                </c:pt>
                <c:pt idx="164">
                  <c:v>12.634154147560931</c:v>
                </c:pt>
                <c:pt idx="165">
                  <c:v>13.405981974675582</c:v>
                </c:pt>
                <c:pt idx="166">
                  <c:v>13.378400194724613</c:v>
                </c:pt>
                <c:pt idx="167">
                  <c:v>13.316740359060292</c:v>
                </c:pt>
                <c:pt idx="168">
                  <c:v>13.753145843333087</c:v>
                </c:pt>
                <c:pt idx="169">
                  <c:v>15.995355865070964</c:v>
                </c:pt>
                <c:pt idx="170">
                  <c:v>17.892855570463855</c:v>
                </c:pt>
                <c:pt idx="171">
                  <c:v>19.653963994805885</c:v>
                </c:pt>
                <c:pt idx="172">
                  <c:v>20.258084917331786</c:v>
                </c:pt>
                <c:pt idx="173">
                  <c:v>21.805749343346388</c:v>
                </c:pt>
                <c:pt idx="174">
                  <c:v>22.440322657875399</c:v>
                </c:pt>
                <c:pt idx="175">
                  <c:v>23.734968383507073</c:v>
                </c:pt>
                <c:pt idx="176">
                  <c:v>25.12101197771565</c:v>
                </c:pt>
                <c:pt idx="177">
                  <c:v>25.822324533888018</c:v>
                </c:pt>
                <c:pt idx="178">
                  <c:v>26.750863761968031</c:v>
                </c:pt>
                <c:pt idx="179">
                  <c:v>26.783749906119247</c:v>
                </c:pt>
                <c:pt idx="180">
                  <c:v>26.58341230352374</c:v>
                </c:pt>
                <c:pt idx="181">
                  <c:v>27.741338975976284</c:v>
                </c:pt>
                <c:pt idx="182">
                  <c:v>28.979707794540506</c:v>
                </c:pt>
                <c:pt idx="183">
                  <c:v>30.14810788850285</c:v>
                </c:pt>
                <c:pt idx="184">
                  <c:v>28.907990315569325</c:v>
                </c:pt>
                <c:pt idx="185">
                  <c:v>27.010009310807128</c:v>
                </c:pt>
                <c:pt idx="186">
                  <c:v>25.282574657556744</c:v>
                </c:pt>
                <c:pt idx="187">
                  <c:v>25.077569128489536</c:v>
                </c:pt>
                <c:pt idx="188">
                  <c:v>25.690648299153157</c:v>
                </c:pt>
                <c:pt idx="189">
                  <c:v>25.888768881697345</c:v>
                </c:pt>
                <c:pt idx="190">
                  <c:v>24.801387130170617</c:v>
                </c:pt>
                <c:pt idx="191">
                  <c:v>24.324318377955223</c:v>
                </c:pt>
                <c:pt idx="192">
                  <c:v>26.07695897480971</c:v>
                </c:pt>
                <c:pt idx="193">
                  <c:v>26.371126511563087</c:v>
                </c:pt>
                <c:pt idx="194">
                  <c:v>25.719955540396931</c:v>
                </c:pt>
                <c:pt idx="195">
                  <c:v>23.929993006252616</c:v>
                </c:pt>
                <c:pt idx="196">
                  <c:v>23.49304445008412</c:v>
                </c:pt>
                <c:pt idx="197">
                  <c:v>24.686244781622769</c:v>
                </c:pt>
                <c:pt idx="198">
                  <c:v>23.758122336236951</c:v>
                </c:pt>
                <c:pt idx="199">
                  <c:v>23.297568935928588</c:v>
                </c:pt>
                <c:pt idx="200">
                  <c:v>24.638586374760688</c:v>
                </c:pt>
                <c:pt idx="201">
                  <c:v>27.073317633485388</c:v>
                </c:pt>
                <c:pt idx="202">
                  <c:v>28.857278158926764</c:v>
                </c:pt>
                <c:pt idx="203">
                  <c:v>28.935645323118003</c:v>
                </c:pt>
                <c:pt idx="204">
                  <c:v>28.557106687876395</c:v>
                </c:pt>
                <c:pt idx="205">
                  <c:v>28.988086257022243</c:v>
                </c:pt>
                <c:pt idx="206">
                  <c:v>29.633326364943823</c:v>
                </c:pt>
                <c:pt idx="207">
                  <c:v>31.024918922067041</c:v>
                </c:pt>
                <c:pt idx="208">
                  <c:v>30.787319932318972</c:v>
                </c:pt>
                <c:pt idx="209">
                  <c:v>30.317819910225889</c:v>
                </c:pt>
                <c:pt idx="210">
                  <c:v>28.300363143635977</c:v>
                </c:pt>
                <c:pt idx="211">
                  <c:v>26.25817092915328</c:v>
                </c:pt>
                <c:pt idx="212">
                  <c:v>23.611511685123229</c:v>
                </c:pt>
                <c:pt idx="213">
                  <c:v>21.011202962576508</c:v>
                </c:pt>
                <c:pt idx="214">
                  <c:v>18.80460201676749</c:v>
                </c:pt>
                <c:pt idx="215">
                  <c:v>17.525999714394462</c:v>
                </c:pt>
                <c:pt idx="216">
                  <c:v>16.232183430524451</c:v>
                </c:pt>
                <c:pt idx="217">
                  <c:v>15.471757624876153</c:v>
                </c:pt>
                <c:pt idx="218">
                  <c:v>15.647799248208891</c:v>
                </c:pt>
                <c:pt idx="219">
                  <c:v>19.71114315847214</c:v>
                </c:pt>
                <c:pt idx="220">
                  <c:v>24.009868092411285</c:v>
                </c:pt>
                <c:pt idx="221">
                  <c:v>26.718041978907948</c:v>
                </c:pt>
                <c:pt idx="222">
                  <c:v>24.048829032379381</c:v>
                </c:pt>
                <c:pt idx="223">
                  <c:v>22.316590312030264</c:v>
                </c:pt>
                <c:pt idx="224">
                  <c:v>21.747720488305518</c:v>
                </c:pt>
                <c:pt idx="225">
                  <c:v>22.872100829341203</c:v>
                </c:pt>
                <c:pt idx="226">
                  <c:v>22.38053515452313</c:v>
                </c:pt>
                <c:pt idx="227">
                  <c:v>22.21466446528699</c:v>
                </c:pt>
                <c:pt idx="228">
                  <c:v>23.950106288567731</c:v>
                </c:pt>
                <c:pt idx="229">
                  <c:v>26.646756451042325</c:v>
                </c:pt>
                <c:pt idx="230">
                  <c:v>27.930410299234943</c:v>
                </c:pt>
                <c:pt idx="231">
                  <c:v>25.783971048074498</c:v>
                </c:pt>
                <c:pt idx="232">
                  <c:v>23.718729217580186</c:v>
                </c:pt>
                <c:pt idx="233">
                  <c:v>21.976994377955357</c:v>
                </c:pt>
                <c:pt idx="234">
                  <c:v>20.743366373749815</c:v>
                </c:pt>
                <c:pt idx="235">
                  <c:v>20.367543155676209</c:v>
                </c:pt>
                <c:pt idx="236">
                  <c:v>20.885673015017296</c:v>
                </c:pt>
                <c:pt idx="237">
                  <c:v>21.150431447807136</c:v>
                </c:pt>
                <c:pt idx="238">
                  <c:v>20.33301936249207</c:v>
                </c:pt>
                <c:pt idx="239">
                  <c:v>20.453030084346757</c:v>
                </c:pt>
                <c:pt idx="240">
                  <c:v>21.508862009796548</c:v>
                </c:pt>
                <c:pt idx="241">
                  <c:v>23.006110730796397</c:v>
                </c:pt>
                <c:pt idx="242">
                  <c:v>22.867685118861807</c:v>
                </c:pt>
                <c:pt idx="243">
                  <c:v>21.67094955742105</c:v>
                </c:pt>
                <c:pt idx="244">
                  <c:v>20.377014569584663</c:v>
                </c:pt>
                <c:pt idx="245">
                  <c:v>19.390797887866995</c:v>
                </c:pt>
                <c:pt idx="246">
                  <c:v>19.032887018978194</c:v>
                </c:pt>
                <c:pt idx="247">
                  <c:v>18.094511092403945</c:v>
                </c:pt>
                <c:pt idx="248">
                  <c:v>18.128310319852378</c:v>
                </c:pt>
                <c:pt idx="249">
                  <c:v>17.842978494937604</c:v>
                </c:pt>
                <c:pt idx="250">
                  <c:v>21.103574133987866</c:v>
                </c:pt>
                <c:pt idx="251">
                  <c:v>24.251903201413953</c:v>
                </c:pt>
                <c:pt idx="252">
                  <c:v>27.977776818043061</c:v>
                </c:pt>
                <c:pt idx="253">
                  <c:v>28.091590088359698</c:v>
                </c:pt>
                <c:pt idx="254">
                  <c:v>27.0463596275155</c:v>
                </c:pt>
                <c:pt idx="255">
                  <c:v>27.178175897818157</c:v>
                </c:pt>
                <c:pt idx="256">
                  <c:v>28.424007071613822</c:v>
                </c:pt>
                <c:pt idx="257">
                  <c:v>30.567761995703556</c:v>
                </c:pt>
                <c:pt idx="258">
                  <c:v>32.077532068119091</c:v>
                </c:pt>
                <c:pt idx="259">
                  <c:v>33.249781654357783</c:v>
                </c:pt>
                <c:pt idx="260">
                  <c:v>33.844990910712561</c:v>
                </c:pt>
                <c:pt idx="261">
                  <c:v>34.337187440929299</c:v>
                </c:pt>
                <c:pt idx="262">
                  <c:v>34.9877918608627</c:v>
                </c:pt>
                <c:pt idx="263">
                  <c:v>35.642492222405885</c:v>
                </c:pt>
                <c:pt idx="264">
                  <c:v>35.887945111066429</c:v>
                </c:pt>
                <c:pt idx="265">
                  <c:v>35.026348331286798</c:v>
                </c:pt>
                <c:pt idx="266">
                  <c:v>34.576315689504732</c:v>
                </c:pt>
                <c:pt idx="267">
                  <c:v>34.196766300533845</c:v>
                </c:pt>
                <c:pt idx="268">
                  <c:v>35.022772576371672</c:v>
                </c:pt>
                <c:pt idx="269">
                  <c:v>35.055123885855529</c:v>
                </c:pt>
                <c:pt idx="270">
                  <c:v>34.968993465479599</c:v>
                </c:pt>
                <c:pt idx="271">
                  <c:v>34.636628442379049</c:v>
                </c:pt>
                <c:pt idx="272">
                  <c:v>35.036339546834618</c:v>
                </c:pt>
                <c:pt idx="273">
                  <c:v>35.642445892115077</c:v>
                </c:pt>
                <c:pt idx="274">
                  <c:v>35.740245749671352</c:v>
                </c:pt>
                <c:pt idx="275">
                  <c:v>35.26476805350066</c:v>
                </c:pt>
                <c:pt idx="276">
                  <c:v>35.274151586230261</c:v>
                </c:pt>
                <c:pt idx="277">
                  <c:v>36.095845798613546</c:v>
                </c:pt>
                <c:pt idx="278">
                  <c:v>37.758837384304101</c:v>
                </c:pt>
                <c:pt idx="279">
                  <c:v>38.732044437249343</c:v>
                </c:pt>
                <c:pt idx="280">
                  <c:v>38.662536913057558</c:v>
                </c:pt>
                <c:pt idx="281">
                  <c:v>38.343076973998578</c:v>
                </c:pt>
                <c:pt idx="282">
                  <c:v>37.890321692505267</c:v>
                </c:pt>
                <c:pt idx="283">
                  <c:v>38.006270961812511</c:v>
                </c:pt>
                <c:pt idx="284">
                  <c:v>38.192416247627378</c:v>
                </c:pt>
                <c:pt idx="285">
                  <c:v>38.751084979277472</c:v>
                </c:pt>
                <c:pt idx="286">
                  <c:v>38.281633900603339</c:v>
                </c:pt>
                <c:pt idx="287">
                  <c:v>37.935893267977384</c:v>
                </c:pt>
                <c:pt idx="288">
                  <c:v>38.025262822450863</c:v>
                </c:pt>
                <c:pt idx="289">
                  <c:v>38.874109160330775</c:v>
                </c:pt>
                <c:pt idx="290">
                  <c:v>38.76544971689497</c:v>
                </c:pt>
                <c:pt idx="291">
                  <c:v>39.432244247270276</c:v>
                </c:pt>
                <c:pt idx="292">
                  <c:v>39.936683209869514</c:v>
                </c:pt>
                <c:pt idx="293">
                  <c:v>40.829122556340636</c:v>
                </c:pt>
                <c:pt idx="294">
                  <c:v>40.316457537378739</c:v>
                </c:pt>
                <c:pt idx="295">
                  <c:v>40.392015044306476</c:v>
                </c:pt>
                <c:pt idx="296">
                  <c:v>40.549629035019763</c:v>
                </c:pt>
                <c:pt idx="297">
                  <c:v>40.865663454008427</c:v>
                </c:pt>
                <c:pt idx="298">
                  <c:v>40.615925427571504</c:v>
                </c:pt>
                <c:pt idx="299">
                  <c:v>40.02746243658919</c:v>
                </c:pt>
                <c:pt idx="300">
                  <c:v>39.729745572679583</c:v>
                </c:pt>
                <c:pt idx="301">
                  <c:v>40.539896934302448</c:v>
                </c:pt>
                <c:pt idx="302">
                  <c:v>40.381354411238505</c:v>
                </c:pt>
                <c:pt idx="303">
                  <c:v>40.684027909801699</c:v>
                </c:pt>
                <c:pt idx="304">
                  <c:v>40.113326203149043</c:v>
                </c:pt>
                <c:pt idx="305">
                  <c:v>40.445005777548552</c:v>
                </c:pt>
                <c:pt idx="306">
                  <c:v>40.121981798188436</c:v>
                </c:pt>
                <c:pt idx="307">
                  <c:v>39.334672972326935</c:v>
                </c:pt>
                <c:pt idx="308">
                  <c:v>39.140857384515698</c:v>
                </c:pt>
                <c:pt idx="309">
                  <c:v>39.015890519397203</c:v>
                </c:pt>
                <c:pt idx="310">
                  <c:v>39.607770990437444</c:v>
                </c:pt>
                <c:pt idx="311">
                  <c:v>39.463262047937256</c:v>
                </c:pt>
                <c:pt idx="312">
                  <c:v>39.51814634895873</c:v>
                </c:pt>
                <c:pt idx="313">
                  <c:v>38.997951296096346</c:v>
                </c:pt>
                <c:pt idx="314">
                  <c:v>38.328873688817168</c:v>
                </c:pt>
                <c:pt idx="315">
                  <c:v>37.631553871449711</c:v>
                </c:pt>
                <c:pt idx="316">
                  <c:v>37.442278241574314</c:v>
                </c:pt>
                <c:pt idx="317">
                  <c:v>38.585506375175541</c:v>
                </c:pt>
                <c:pt idx="318">
                  <c:v>39.400739580897273</c:v>
                </c:pt>
                <c:pt idx="319">
                  <c:v>40.4283725747595</c:v>
                </c:pt>
                <c:pt idx="320">
                  <c:v>40.917720041488998</c:v>
                </c:pt>
                <c:pt idx="321">
                  <c:v>40.647481385280862</c:v>
                </c:pt>
                <c:pt idx="322">
                  <c:v>40.17321305254211</c:v>
                </c:pt>
                <c:pt idx="323">
                  <c:v>39.597687511496545</c:v>
                </c:pt>
                <c:pt idx="324">
                  <c:v>39.311759561373556</c:v>
                </c:pt>
                <c:pt idx="325">
                  <c:v>38.398659021485109</c:v>
                </c:pt>
                <c:pt idx="326">
                  <c:v>37.952320730442743</c:v>
                </c:pt>
                <c:pt idx="327">
                  <c:v>38.132175758537372</c:v>
                </c:pt>
                <c:pt idx="328">
                  <c:v>38.559351647340442</c:v>
                </c:pt>
                <c:pt idx="329">
                  <c:v>38.528820657565198</c:v>
                </c:pt>
                <c:pt idx="330">
                  <c:v>38.866568849158966</c:v>
                </c:pt>
                <c:pt idx="331">
                  <c:v>39.365294283262578</c:v>
                </c:pt>
                <c:pt idx="332">
                  <c:v>40.370964769518523</c:v>
                </c:pt>
                <c:pt idx="333">
                  <c:v>40.32160823564611</c:v>
                </c:pt>
                <c:pt idx="334">
                  <c:v>40.557995760700024</c:v>
                </c:pt>
                <c:pt idx="335">
                  <c:v>40.620823780735989</c:v>
                </c:pt>
                <c:pt idx="336">
                  <c:v>40.404933140463314</c:v>
                </c:pt>
                <c:pt idx="337">
                  <c:v>39.865671171007023</c:v>
                </c:pt>
                <c:pt idx="338">
                  <c:v>39.316542069907626</c:v>
                </c:pt>
                <c:pt idx="339">
                  <c:v>39.283189802965438</c:v>
                </c:pt>
                <c:pt idx="340">
                  <c:v>40.083770397227056</c:v>
                </c:pt>
                <c:pt idx="341">
                  <c:v>40.875225961987212</c:v>
                </c:pt>
                <c:pt idx="342">
                  <c:v>41.649966554312286</c:v>
                </c:pt>
                <c:pt idx="343">
                  <c:v>41.739099489295398</c:v>
                </c:pt>
                <c:pt idx="344">
                  <c:v>41.264186906036592</c:v>
                </c:pt>
                <c:pt idx="345">
                  <c:v>40.584469563409016</c:v>
                </c:pt>
                <c:pt idx="346">
                  <c:v>39.912591792853938</c:v>
                </c:pt>
                <c:pt idx="347">
                  <c:v>39.248418744563587</c:v>
                </c:pt>
                <c:pt idx="348">
                  <c:v>38.591818643863988</c:v>
                </c:pt>
                <c:pt idx="349">
                  <c:v>37.942662704054797</c:v>
                </c:pt>
                <c:pt idx="350">
                  <c:v>37.300825042196742</c:v>
                </c:pt>
                <c:pt idx="351">
                  <c:v>36.666182586017115</c:v>
                </c:pt>
                <c:pt idx="352">
                  <c:v>36.965070698940842</c:v>
                </c:pt>
                <c:pt idx="353">
                  <c:v>37.192768698862729</c:v>
                </c:pt>
                <c:pt idx="354">
                  <c:v>37.347935854576093</c:v>
                </c:pt>
                <c:pt idx="355">
                  <c:v>37.519941563171791</c:v>
                </c:pt>
                <c:pt idx="356">
                  <c:v>37.076729381200224</c:v>
                </c:pt>
                <c:pt idx="357">
                  <c:v>36.492390616055381</c:v>
                </c:pt>
                <c:pt idx="358">
                  <c:v>35.650031908674407</c:v>
                </c:pt>
                <c:pt idx="359">
                  <c:v>35.530862542946423</c:v>
                </c:pt>
                <c:pt idx="360">
                  <c:v>35.952714272031535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B8-487A-9BEF-77A22A9B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0-15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</c:numCache>
            </c:numRef>
          </c:xVal>
          <c:yVal>
            <c:numRef>
              <c:f>Sheet1!$H$3:$H$10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01-4B44-A6B1-5424842E6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439737</xdr:colOff>
      <xdr:row>6</xdr:row>
      <xdr:rowOff>152401</xdr:rowOff>
    </xdr:from>
    <xdr:to>
      <xdr:col>15</xdr:col>
      <xdr:colOff>744537</xdr:colOff>
      <xdr:row>24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2DA1F-CA1B-F82B-6B76-DAFA14E71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409575</xdr:colOff>
      <xdr:row>6</xdr:row>
      <xdr:rowOff>152400</xdr:rowOff>
    </xdr:from>
    <xdr:to>
      <xdr:col>24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D4A216-ED2B-40DC-84D2-73A264473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409575</xdr:colOff>
      <xdr:row>25</xdr:row>
      <xdr:rowOff>114300</xdr:rowOff>
    </xdr:from>
    <xdr:to>
      <xdr:col>15</xdr:col>
      <xdr:colOff>714375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D03849-BB7A-4D6F-93C9-F0A3F6019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406400</xdr:colOff>
      <xdr:row>25</xdr:row>
      <xdr:rowOff>123825</xdr:rowOff>
    </xdr:from>
    <xdr:to>
      <xdr:col>24</xdr:col>
      <xdr:colOff>330200</xdr:colOff>
      <xdr:row>40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5D1608-C554-41CD-B883-44A4AD31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48</xdr:row>
      <xdr:rowOff>85725</xdr:rowOff>
    </xdr:from>
    <xdr:to>
      <xdr:col>7</xdr:col>
      <xdr:colOff>419100</xdr:colOff>
      <xdr:row>63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A8959C-58EB-4134-9E1A-CECB8D6EC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8"/>
  <sheetViews>
    <sheetView tabSelected="1" workbookViewId="0">
      <selection activeCell="A5" sqref="A5"/>
    </sheetView>
  </sheetViews>
  <sheetFormatPr defaultRowHeight="14.5" x14ac:dyDescent="0.35"/>
  <cols>
    <col min="1" max="1" width="13.1796875" customWidth="1"/>
    <col min="11" max="11" width="12" bestFit="1" customWidth="1"/>
    <col min="15" max="16" width="12" bestFit="1" customWidth="1"/>
  </cols>
  <sheetData>
    <row r="1" spans="1:16" x14ac:dyDescent="0.35">
      <c r="A1" t="s">
        <v>1</v>
      </c>
      <c r="B1" t="s">
        <v>2</v>
      </c>
    </row>
    <row r="2" spans="1:16" x14ac:dyDescent="0.35">
      <c r="A2" t="s">
        <v>379</v>
      </c>
      <c r="B2">
        <v>14.253189107812069</v>
      </c>
    </row>
    <row r="3" spans="1:16" x14ac:dyDescent="0.35">
      <c r="A3" t="s">
        <v>3</v>
      </c>
      <c r="B3">
        <v>1.39</v>
      </c>
    </row>
    <row r="4" spans="1:16" x14ac:dyDescent="0.35">
      <c r="A4" t="s">
        <v>4</v>
      </c>
      <c r="B4">
        <v>1.8307861396640286</v>
      </c>
      <c r="J4" t="s">
        <v>8</v>
      </c>
      <c r="O4" t="s">
        <v>10</v>
      </c>
    </row>
    <row r="5" spans="1:16" x14ac:dyDescent="0.35">
      <c r="A5" t="s">
        <v>376</v>
      </c>
      <c r="B5">
        <v>0.01</v>
      </c>
      <c r="J5" t="s">
        <v>5</v>
      </c>
      <c r="K5">
        <f>RSQ(B8:B400,C8:C400)</f>
        <v>0.91437587055081304</v>
      </c>
      <c r="O5" t="s">
        <v>9</v>
      </c>
    </row>
    <row r="6" spans="1:16" x14ac:dyDescent="0.35">
      <c r="J6" t="s">
        <v>6</v>
      </c>
      <c r="K6" cm="1">
        <f t="array" ref="K6">SQRT(SUMSQ(B8:B400-C8:C400) / COUNTA(B8:B400))</f>
        <v>0.25768065812729896</v>
      </c>
      <c r="N6" t="s">
        <v>6</v>
      </c>
      <c r="O6" cm="1">
        <f t="array" ref="O6">SQRT(SUMSQ(D8:D400-E8:E400) / COUNTA(D8:D400))</f>
        <v>4.0918227235818962</v>
      </c>
      <c r="P6" cm="1">
        <f t="array" ref="P6">SQRT(SUMSQ(D8:D400-F8:F400) / COUNTA(D8:D400))</f>
        <v>2.4432400461943282</v>
      </c>
    </row>
    <row r="7" spans="1:16" x14ac:dyDescent="0.35">
      <c r="A7" t="s">
        <v>0</v>
      </c>
      <c r="B7" t="s">
        <v>14</v>
      </c>
      <c r="C7" t="s">
        <v>378</v>
      </c>
      <c r="D7" t="s">
        <v>11</v>
      </c>
      <c r="E7" t="s">
        <v>7</v>
      </c>
      <c r="F7" t="s">
        <v>12</v>
      </c>
      <c r="G7" t="s">
        <v>377</v>
      </c>
      <c r="H7" t="s">
        <v>13</v>
      </c>
    </row>
    <row r="8" spans="1:16" x14ac:dyDescent="0.35">
      <c r="A8" t="s">
        <v>15</v>
      </c>
      <c r="B8">
        <f xml:space="preserve"> H8/(1-$B$5*G8)</f>
        <v>9.6624901800000007</v>
      </c>
      <c r="C8">
        <f>$B$2/(1+$B$4*((D8/100)/$B$3))</f>
        <v>9.7323454138164092</v>
      </c>
      <c r="D8">
        <v>35.267864369999998</v>
      </c>
      <c r="E8">
        <f xml:space="preserve"> (12.822 - B8)/0.0811</f>
        <v>38.958197533908731</v>
      </c>
      <c r="F8">
        <f xml:space="preserve"> ((($B$3 *($B$2-B8))/($B$4*B8)))*100</f>
        <v>36.071726561193366</v>
      </c>
      <c r="G8">
        <v>0</v>
      </c>
      <c r="H8">
        <v>9.6624901800000007</v>
      </c>
    </row>
    <row r="9" spans="1:16" x14ac:dyDescent="0.35">
      <c r="A9" t="s">
        <v>16</v>
      </c>
      <c r="B9">
        <f t="shared" ref="B9:B72" si="0" xml:space="preserve"> H9/(1-$B$5*G9)</f>
        <v>9.6824418980000004</v>
      </c>
      <c r="C9">
        <f t="shared" ref="C9:C72" si="1">$B$2/(1+$B$4*((D9/100)/$B$3))</f>
        <v>9.738344183538743</v>
      </c>
      <c r="D9">
        <v>35.199370960000003</v>
      </c>
      <c r="E9">
        <f t="shared" ref="E9:E72" si="2" xml:space="preserve"> (12.822 - B9)/0.0811</f>
        <v>38.712183748458678</v>
      </c>
      <c r="F9">
        <f t="shared" ref="F9:F72" si="3" xml:space="preserve"> ((($B$3 *($B$2-B9))/($B$4*B9)))*100</f>
        <v>35.84094794527082</v>
      </c>
      <c r="G9">
        <v>0</v>
      </c>
      <c r="H9">
        <v>9.6824418980000004</v>
      </c>
    </row>
    <row r="10" spans="1:16" x14ac:dyDescent="0.35">
      <c r="A10" t="s">
        <v>17</v>
      </c>
      <c r="B10">
        <f t="shared" si="0"/>
        <v>9.7063027779999995</v>
      </c>
      <c r="C10">
        <f t="shared" si="1"/>
        <v>9.7890892837057457</v>
      </c>
      <c r="D10">
        <v>34.623326589999998</v>
      </c>
      <c r="E10">
        <f t="shared" si="2"/>
        <v>38.417968212083842</v>
      </c>
      <c r="F10">
        <f t="shared" si="3"/>
        <v>35.566198417800578</v>
      </c>
      <c r="G10">
        <v>0</v>
      </c>
      <c r="H10">
        <v>9.7063027779999995</v>
      </c>
    </row>
    <row r="11" spans="1:16" x14ac:dyDescent="0.35">
      <c r="A11" t="s">
        <v>18</v>
      </c>
      <c r="B11">
        <f t="shared" si="0"/>
        <v>9.7083127779999998</v>
      </c>
      <c r="C11">
        <f t="shared" si="1"/>
        <v>9.8403660047973567</v>
      </c>
      <c r="D11">
        <v>34.04728222</v>
      </c>
      <c r="E11">
        <f t="shared" si="2"/>
        <v>38.393183995067808</v>
      </c>
      <c r="F11">
        <f t="shared" si="3"/>
        <v>35.543115659995934</v>
      </c>
      <c r="G11">
        <v>0</v>
      </c>
      <c r="H11">
        <v>9.7083127779999998</v>
      </c>
    </row>
    <row r="12" spans="1:16" x14ac:dyDescent="0.35">
      <c r="A12" t="s">
        <v>19</v>
      </c>
      <c r="B12">
        <f t="shared" si="0"/>
        <v>9.7228461110000008</v>
      </c>
      <c r="C12">
        <f t="shared" si="1"/>
        <v>9.8921827458393974</v>
      </c>
      <c r="D12">
        <v>33.471237840000001</v>
      </c>
      <c r="E12">
        <f t="shared" si="2"/>
        <v>38.213981368680621</v>
      </c>
      <c r="F12">
        <f t="shared" si="3"/>
        <v>35.376499437293063</v>
      </c>
      <c r="G12">
        <v>0</v>
      </c>
      <c r="H12">
        <v>9.7228461110000008</v>
      </c>
    </row>
    <row r="13" spans="1:16" x14ac:dyDescent="0.35">
      <c r="A13" t="s">
        <v>20</v>
      </c>
      <c r="B13">
        <f t="shared" si="0"/>
        <v>9.7789294439999992</v>
      </c>
      <c r="C13">
        <f t="shared" si="1"/>
        <v>9.9445480809799438</v>
      </c>
      <c r="D13">
        <v>32.895193470000002</v>
      </c>
      <c r="E13">
        <f t="shared" si="2"/>
        <v>37.522448286066584</v>
      </c>
      <c r="F13">
        <f t="shared" si="3"/>
        <v>34.738179627513738</v>
      </c>
      <c r="G13">
        <v>0</v>
      </c>
      <c r="H13">
        <v>9.7789294439999992</v>
      </c>
    </row>
    <row r="14" spans="1:16" x14ac:dyDescent="0.35">
      <c r="A14" t="s">
        <v>21</v>
      </c>
      <c r="B14">
        <f t="shared" si="0"/>
        <v>9.8354888890000005</v>
      </c>
      <c r="C14">
        <f t="shared" si="1"/>
        <v>9.9595271614664558</v>
      </c>
      <c r="D14">
        <v>32.731530429999999</v>
      </c>
      <c r="E14">
        <f t="shared" si="2"/>
        <v>36.825044525277413</v>
      </c>
      <c r="F14">
        <f t="shared" si="3"/>
        <v>34.101813425022989</v>
      </c>
      <c r="G14">
        <v>0</v>
      </c>
      <c r="H14">
        <v>9.8354888890000005</v>
      </c>
    </row>
    <row r="15" spans="1:16" x14ac:dyDescent="0.35">
      <c r="A15" t="s">
        <v>22</v>
      </c>
      <c r="B15">
        <f t="shared" si="0"/>
        <v>9.8960284719999994</v>
      </c>
      <c r="C15">
        <f t="shared" si="1"/>
        <v>9.97190579119742</v>
      </c>
      <c r="D15">
        <v>32.596651250000001</v>
      </c>
      <c r="E15">
        <f t="shared" si="2"/>
        <v>36.078563847102338</v>
      </c>
      <c r="F15">
        <f t="shared" si="3"/>
        <v>33.428725547880184</v>
      </c>
      <c r="G15">
        <v>0</v>
      </c>
      <c r="H15">
        <v>9.8960284719999994</v>
      </c>
    </row>
    <row r="16" spans="1:16" x14ac:dyDescent="0.35">
      <c r="A16" t="s">
        <v>23</v>
      </c>
      <c r="B16">
        <f t="shared" si="0"/>
        <v>9.934965278</v>
      </c>
      <c r="C16">
        <f t="shared" si="1"/>
        <v>9.9850626707330772</v>
      </c>
      <c r="D16">
        <v>32.453658779999998</v>
      </c>
      <c r="E16">
        <f t="shared" si="2"/>
        <v>35.598455265104796</v>
      </c>
      <c r="F16">
        <f t="shared" si="3"/>
        <v>33.000155056254066</v>
      </c>
      <c r="G16">
        <v>0</v>
      </c>
      <c r="H16">
        <v>9.934965278</v>
      </c>
    </row>
    <row r="17" spans="1:8" x14ac:dyDescent="0.35">
      <c r="A17" t="s">
        <v>24</v>
      </c>
      <c r="B17">
        <f t="shared" si="0"/>
        <v>10.01100046</v>
      </c>
      <c r="C17">
        <f t="shared" si="1"/>
        <v>10.010653851787497</v>
      </c>
      <c r="D17">
        <v>32.176603569999997</v>
      </c>
      <c r="E17">
        <f t="shared" si="2"/>
        <v>34.66090678175091</v>
      </c>
      <c r="F17">
        <f t="shared" si="3"/>
        <v>32.172860842963857</v>
      </c>
      <c r="G17">
        <v>0</v>
      </c>
      <c r="H17">
        <v>10.01100046</v>
      </c>
    </row>
    <row r="18" spans="1:8" x14ac:dyDescent="0.35">
      <c r="A18" t="s">
        <v>25</v>
      </c>
      <c r="B18">
        <f t="shared" si="0"/>
        <v>10.019243980000001</v>
      </c>
      <c r="C18">
        <f t="shared" si="1"/>
        <v>10.03295905443651</v>
      </c>
      <c r="D18">
        <v>31.936275819999999</v>
      </c>
      <c r="E18">
        <f t="shared" si="2"/>
        <v>34.559260419235493</v>
      </c>
      <c r="F18">
        <f t="shared" si="3"/>
        <v>32.083922405740637</v>
      </c>
      <c r="G18">
        <v>0</v>
      </c>
      <c r="H18">
        <v>10.019243980000001</v>
      </c>
    </row>
    <row r="19" spans="1:8" x14ac:dyDescent="0.35">
      <c r="A19" t="s">
        <v>26</v>
      </c>
      <c r="B19">
        <f t="shared" si="0"/>
        <v>10.07862523</v>
      </c>
      <c r="C19">
        <f t="shared" si="1"/>
        <v>10.043370637398354</v>
      </c>
      <c r="D19">
        <v>31.824461490000001</v>
      </c>
      <c r="E19">
        <f t="shared" si="2"/>
        <v>33.827062515413054</v>
      </c>
      <c r="F19">
        <f t="shared" si="3"/>
        <v>31.447563218616065</v>
      </c>
      <c r="G19">
        <v>0</v>
      </c>
      <c r="H19">
        <v>10.07862523</v>
      </c>
    </row>
    <row r="20" spans="1:8" x14ac:dyDescent="0.35">
      <c r="A20" t="s">
        <v>27</v>
      </c>
      <c r="B20">
        <f t="shared" si="0"/>
        <v>10.05631782</v>
      </c>
      <c r="C20">
        <f t="shared" si="1"/>
        <v>10.058754349730968</v>
      </c>
      <c r="D20">
        <v>31.65967307</v>
      </c>
      <c r="E20">
        <f t="shared" si="2"/>
        <v>34.102123057953129</v>
      </c>
      <c r="F20">
        <f t="shared" si="3"/>
        <v>31.685739271867746</v>
      </c>
      <c r="G20">
        <v>0</v>
      </c>
      <c r="H20">
        <v>10.05631782</v>
      </c>
    </row>
    <row r="21" spans="1:8" x14ac:dyDescent="0.35">
      <c r="A21" t="s">
        <v>28</v>
      </c>
      <c r="B21">
        <f t="shared" si="0"/>
        <v>10.01375764</v>
      </c>
      <c r="C21">
        <f t="shared" si="1"/>
        <v>10.076196496471569</v>
      </c>
      <c r="D21">
        <v>31.473443629999998</v>
      </c>
      <c r="E21">
        <f t="shared" si="2"/>
        <v>34.626909494451283</v>
      </c>
      <c r="F21">
        <f t="shared" si="3"/>
        <v>32.14309763123601</v>
      </c>
      <c r="G21">
        <v>0</v>
      </c>
      <c r="H21">
        <v>10.01375764</v>
      </c>
    </row>
    <row r="22" spans="1:8" x14ac:dyDescent="0.35">
      <c r="A22" t="s">
        <v>29</v>
      </c>
      <c r="B22">
        <f t="shared" si="0"/>
        <v>9.9232726850000006</v>
      </c>
      <c r="C22">
        <f t="shared" si="1"/>
        <v>10.040884326849747</v>
      </c>
      <c r="D22">
        <v>31.851141940000002</v>
      </c>
      <c r="E22">
        <f t="shared" si="2"/>
        <v>35.742630271270016</v>
      </c>
      <c r="F22">
        <f t="shared" si="3"/>
        <v>33.128500006303987</v>
      </c>
      <c r="G22">
        <v>0</v>
      </c>
      <c r="H22">
        <v>9.9232726850000006</v>
      </c>
    </row>
    <row r="23" spans="1:8" x14ac:dyDescent="0.35">
      <c r="A23" t="s">
        <v>30</v>
      </c>
      <c r="B23">
        <f t="shared" si="0"/>
        <v>9.9298074070000002</v>
      </c>
      <c r="C23">
        <f t="shared" si="1"/>
        <v>10.043839206708782</v>
      </c>
      <c r="D23">
        <v>31.819434780000002</v>
      </c>
      <c r="E23">
        <f t="shared" si="2"/>
        <v>35.662054167694187</v>
      </c>
      <c r="F23">
        <f t="shared" si="3"/>
        <v>33.056733699505521</v>
      </c>
      <c r="G23">
        <v>0</v>
      </c>
      <c r="H23">
        <v>9.9298074070000002</v>
      </c>
    </row>
    <row r="24" spans="1:8" x14ac:dyDescent="0.35">
      <c r="A24" t="s">
        <v>31</v>
      </c>
      <c r="B24">
        <f t="shared" si="0"/>
        <v>10.006381940000001</v>
      </c>
      <c r="C24">
        <f t="shared" si="1"/>
        <v>10.064383037076713</v>
      </c>
      <c r="D24">
        <v>31.599505149999999</v>
      </c>
      <c r="E24">
        <f t="shared" si="2"/>
        <v>34.717855240443875</v>
      </c>
      <c r="F24">
        <f t="shared" si="3"/>
        <v>32.222753599985303</v>
      </c>
      <c r="G24">
        <v>0</v>
      </c>
      <c r="H24">
        <v>10.006381940000001</v>
      </c>
    </row>
    <row r="25" spans="1:8" x14ac:dyDescent="0.35">
      <c r="A25" t="s">
        <v>32</v>
      </c>
      <c r="B25">
        <f t="shared" si="0"/>
        <v>10.00244352</v>
      </c>
      <c r="C25">
        <f t="shared" si="1"/>
        <v>10.077145345269191</v>
      </c>
      <c r="D25">
        <v>31.463331279999998</v>
      </c>
      <c r="E25">
        <f t="shared" si="2"/>
        <v>34.766417755856956</v>
      </c>
      <c r="F25">
        <f t="shared" si="3"/>
        <v>32.265335798120859</v>
      </c>
      <c r="G25">
        <v>0</v>
      </c>
      <c r="H25">
        <v>10.00244352</v>
      </c>
    </row>
    <row r="26" spans="1:8" x14ac:dyDescent="0.35">
      <c r="A26" t="s">
        <v>33</v>
      </c>
      <c r="B26">
        <f t="shared" si="0"/>
        <v>9.888022222</v>
      </c>
      <c r="C26">
        <f t="shared" si="1"/>
        <v>9.9211679332277107</v>
      </c>
      <c r="D26">
        <v>33.151635159999998</v>
      </c>
      <c r="E26">
        <f t="shared" si="2"/>
        <v>36.177284562268788</v>
      </c>
      <c r="F26">
        <f t="shared" si="3"/>
        <v>33.517267279012522</v>
      </c>
      <c r="G26">
        <v>0</v>
      </c>
      <c r="H26">
        <v>9.888022222</v>
      </c>
    </row>
    <row r="27" spans="1:8" x14ac:dyDescent="0.35">
      <c r="A27" t="s">
        <v>34</v>
      </c>
      <c r="B27">
        <f t="shared" si="0"/>
        <v>9.7480868059999999</v>
      </c>
      <c r="C27">
        <f t="shared" si="1"/>
        <v>9.9351034575820378</v>
      </c>
      <c r="D27">
        <v>32.998640119999997</v>
      </c>
      <c r="E27">
        <f t="shared" si="2"/>
        <v>37.902752083847091</v>
      </c>
      <c r="F27">
        <f t="shared" si="3"/>
        <v>35.088310211162529</v>
      </c>
      <c r="G27">
        <v>0</v>
      </c>
      <c r="H27">
        <v>9.7480868059999999</v>
      </c>
    </row>
    <row r="28" spans="1:8" x14ac:dyDescent="0.35">
      <c r="A28" t="s">
        <v>35</v>
      </c>
      <c r="B28">
        <f t="shared" si="0"/>
        <v>9.7232756939999998</v>
      </c>
      <c r="C28">
        <f t="shared" si="1"/>
        <v>9.9537633022641039</v>
      </c>
      <c r="D28">
        <v>32.794448670000001</v>
      </c>
      <c r="E28">
        <f t="shared" si="2"/>
        <v>38.20868441430332</v>
      </c>
      <c r="F28">
        <f t="shared" si="3"/>
        <v>35.371582096516512</v>
      </c>
      <c r="G28">
        <v>0</v>
      </c>
      <c r="H28">
        <v>9.7232756939999998</v>
      </c>
    </row>
    <row r="29" spans="1:8" x14ac:dyDescent="0.35">
      <c r="A29" t="s">
        <v>36</v>
      </c>
      <c r="B29">
        <f t="shared" si="0"/>
        <v>9.7947648150000006</v>
      </c>
      <c r="C29">
        <f t="shared" si="1"/>
        <v>10.011564789827672</v>
      </c>
      <c r="D29">
        <v>32.16676768</v>
      </c>
      <c r="E29">
        <f t="shared" si="2"/>
        <v>37.327190937114651</v>
      </c>
      <c r="F29">
        <f t="shared" si="3"/>
        <v>34.559270643574905</v>
      </c>
      <c r="G29">
        <v>0</v>
      </c>
      <c r="H29">
        <v>9.7947648150000006</v>
      </c>
    </row>
    <row r="30" spans="1:8" x14ac:dyDescent="0.35">
      <c r="A30" t="s">
        <v>37</v>
      </c>
      <c r="B30">
        <f t="shared" si="0"/>
        <v>9.8701861110000007</v>
      </c>
      <c r="C30">
        <f t="shared" si="1"/>
        <v>10.071437804517064</v>
      </c>
      <c r="D30">
        <v>31.5241881</v>
      </c>
      <c r="E30">
        <f t="shared" si="2"/>
        <v>36.39721194821206</v>
      </c>
      <c r="F30">
        <f t="shared" si="3"/>
        <v>33.715034641949131</v>
      </c>
      <c r="G30">
        <v>0</v>
      </c>
      <c r="H30">
        <v>9.8701861110000007</v>
      </c>
    </row>
    <row r="31" spans="1:8" x14ac:dyDescent="0.35">
      <c r="A31" t="s">
        <v>38</v>
      </c>
      <c r="B31">
        <f t="shared" si="0"/>
        <v>9.9149729170000001</v>
      </c>
      <c r="C31">
        <f t="shared" si="1"/>
        <v>10.107689427956942</v>
      </c>
      <c r="D31">
        <v>31.13882216</v>
      </c>
      <c r="E31">
        <f t="shared" si="2"/>
        <v>35.844970197287289</v>
      </c>
      <c r="F31">
        <f t="shared" si="3"/>
        <v>33.219786962531437</v>
      </c>
      <c r="G31">
        <v>0</v>
      </c>
      <c r="H31">
        <v>9.9149729170000001</v>
      </c>
    </row>
    <row r="32" spans="1:8" x14ac:dyDescent="0.35">
      <c r="A32" t="s">
        <v>39</v>
      </c>
      <c r="B32">
        <f t="shared" si="0"/>
        <v>9.9455923609999992</v>
      </c>
      <c r="C32">
        <f t="shared" si="1"/>
        <v>10.148812832537146</v>
      </c>
      <c r="D32">
        <v>30.705000569999999</v>
      </c>
      <c r="E32">
        <f t="shared" si="2"/>
        <v>35.467418483353882</v>
      </c>
      <c r="F32">
        <f t="shared" si="3"/>
        <v>32.88376756802684</v>
      </c>
      <c r="G32">
        <v>0</v>
      </c>
      <c r="H32">
        <v>9.9455923609999992</v>
      </c>
    </row>
    <row r="33" spans="1:8" x14ac:dyDescent="0.35">
      <c r="A33" t="s">
        <v>40</v>
      </c>
      <c r="B33">
        <f t="shared" si="0"/>
        <v>9.9648916669999998</v>
      </c>
      <c r="C33">
        <f t="shared" si="1"/>
        <v>10.169465389023509</v>
      </c>
      <c r="D33">
        <v>30.48845481</v>
      </c>
      <c r="E33">
        <f t="shared" si="2"/>
        <v>35.229449235511701</v>
      </c>
      <c r="F33">
        <f t="shared" si="3"/>
        <v>32.673036927461574</v>
      </c>
      <c r="G33">
        <v>0</v>
      </c>
      <c r="H33">
        <v>9.9648916669999998</v>
      </c>
    </row>
    <row r="34" spans="1:8" x14ac:dyDescent="0.35">
      <c r="A34" t="s">
        <v>41</v>
      </c>
      <c r="B34">
        <f t="shared" si="0"/>
        <v>9.9738000000000007</v>
      </c>
      <c r="C34">
        <f t="shared" si="1"/>
        <v>10.177402296996457</v>
      </c>
      <c r="D34">
        <v>30.405468679999998</v>
      </c>
      <c r="E34">
        <f t="shared" si="2"/>
        <v>35.119605425400721</v>
      </c>
      <c r="F34">
        <f t="shared" si="3"/>
        <v>32.576041237269813</v>
      </c>
      <c r="G34">
        <v>0</v>
      </c>
      <c r="H34">
        <v>9.9738000000000007</v>
      </c>
    </row>
    <row r="35" spans="1:8" x14ac:dyDescent="0.35">
      <c r="A35" t="s">
        <v>42</v>
      </c>
      <c r="B35">
        <f t="shared" si="0"/>
        <v>9.9617488430000005</v>
      </c>
      <c r="C35">
        <f t="shared" si="1"/>
        <v>10.176418281140958</v>
      </c>
      <c r="D35">
        <v>30.415750249999999</v>
      </c>
      <c r="E35">
        <f t="shared" si="2"/>
        <v>35.268201689272487</v>
      </c>
      <c r="F35">
        <f t="shared" si="3"/>
        <v>32.707298013299216</v>
      </c>
      <c r="G35">
        <v>0</v>
      </c>
      <c r="H35">
        <v>9.9617488430000005</v>
      </c>
    </row>
    <row r="36" spans="1:8" x14ac:dyDescent="0.35">
      <c r="A36" t="s">
        <v>43</v>
      </c>
      <c r="B36">
        <f t="shared" si="0"/>
        <v>9.9480560189999991</v>
      </c>
      <c r="C36">
        <f t="shared" si="1"/>
        <v>10.181557098309851</v>
      </c>
      <c r="D36">
        <v>30.36207881</v>
      </c>
      <c r="E36">
        <f t="shared" si="2"/>
        <v>35.437040456226882</v>
      </c>
      <c r="F36">
        <f t="shared" si="3"/>
        <v>32.856821166652814</v>
      </c>
      <c r="G36">
        <v>0</v>
      </c>
      <c r="H36">
        <v>9.9480560189999991</v>
      </c>
    </row>
    <row r="37" spans="1:8" x14ac:dyDescent="0.35">
      <c r="A37" t="s">
        <v>44</v>
      </c>
      <c r="B37">
        <f t="shared" si="0"/>
        <v>9.8066381939999996</v>
      </c>
      <c r="C37">
        <f t="shared" si="1"/>
        <v>10.184079834816112</v>
      </c>
      <c r="D37">
        <v>30.33575037</v>
      </c>
      <c r="E37">
        <f t="shared" si="2"/>
        <v>37.180786757090004</v>
      </c>
      <c r="F37">
        <f t="shared" si="3"/>
        <v>34.425503517289677</v>
      </c>
      <c r="G37">
        <v>0</v>
      </c>
      <c r="H37">
        <v>9.8066381939999996</v>
      </c>
    </row>
    <row r="38" spans="1:8" x14ac:dyDescent="0.35">
      <c r="A38" t="s">
        <v>45</v>
      </c>
      <c r="B38">
        <f t="shared" si="0"/>
        <v>9.5084155090000007</v>
      </c>
      <c r="C38">
        <f t="shared" si="1"/>
        <v>9.9978486145416188</v>
      </c>
      <c r="D38">
        <v>32.315058319999999</v>
      </c>
      <c r="E38">
        <f t="shared" si="2"/>
        <v>40.85800852034523</v>
      </c>
      <c r="F38">
        <f t="shared" si="3"/>
        <v>37.886503548422482</v>
      </c>
      <c r="G38">
        <v>0</v>
      </c>
      <c r="H38">
        <v>9.5084155090000007</v>
      </c>
    </row>
    <row r="39" spans="1:8" x14ac:dyDescent="0.35">
      <c r="A39" t="s">
        <v>46</v>
      </c>
      <c r="B39">
        <f t="shared" si="0"/>
        <v>9.3892960649999999</v>
      </c>
      <c r="C39">
        <f t="shared" si="1"/>
        <v>9.6396192868946802</v>
      </c>
      <c r="D39">
        <v>36.337446049999997</v>
      </c>
      <c r="E39">
        <f t="shared" si="2"/>
        <v>42.326805610357574</v>
      </c>
      <c r="F39">
        <f t="shared" si="3"/>
        <v>39.330382229481941</v>
      </c>
      <c r="G39">
        <v>0</v>
      </c>
      <c r="H39">
        <v>9.3892960649999999</v>
      </c>
    </row>
    <row r="40" spans="1:8" x14ac:dyDescent="0.35">
      <c r="A40" t="s">
        <v>47</v>
      </c>
      <c r="B40">
        <f t="shared" si="0"/>
        <v>9.4182421299999994</v>
      </c>
      <c r="C40">
        <f t="shared" si="1"/>
        <v>9.5788776939850013</v>
      </c>
      <c r="D40">
        <v>37.049316390000001</v>
      </c>
      <c r="E40">
        <f t="shared" si="2"/>
        <v>41.96988742293464</v>
      </c>
      <c r="F40">
        <f t="shared" si="3"/>
        <v>38.976159944847844</v>
      </c>
      <c r="G40">
        <v>0</v>
      </c>
      <c r="H40">
        <v>9.4182421299999994</v>
      </c>
    </row>
    <row r="41" spans="1:8" x14ac:dyDescent="0.35">
      <c r="A41" t="s">
        <v>48</v>
      </c>
      <c r="B41">
        <f t="shared" si="0"/>
        <v>9.6309670829999998</v>
      </c>
      <c r="C41">
        <f t="shared" si="1"/>
        <v>9.5695416748844231</v>
      </c>
      <c r="D41">
        <v>37.15953253</v>
      </c>
      <c r="E41">
        <f t="shared" si="2"/>
        <v>39.346891701602949</v>
      </c>
      <c r="F41">
        <f t="shared" si="3"/>
        <v>36.43829844045451</v>
      </c>
      <c r="G41">
        <v>0</v>
      </c>
      <c r="H41">
        <v>9.6309670829999998</v>
      </c>
    </row>
    <row r="42" spans="1:8" x14ac:dyDescent="0.35">
      <c r="A42" t="s">
        <v>49</v>
      </c>
      <c r="B42">
        <f t="shared" si="0"/>
        <v>9.6721471759999993</v>
      </c>
      <c r="C42">
        <f t="shared" si="1"/>
        <v>9.6636170481863264</v>
      </c>
      <c r="D42">
        <v>36.058666850000002</v>
      </c>
      <c r="E42">
        <f t="shared" si="2"/>
        <v>38.839122367447594</v>
      </c>
      <c r="F42">
        <f t="shared" si="3"/>
        <v>35.959906604089426</v>
      </c>
      <c r="G42">
        <v>0</v>
      </c>
      <c r="H42">
        <v>9.6721471759999993</v>
      </c>
    </row>
    <row r="43" spans="1:8" x14ac:dyDescent="0.35">
      <c r="A43" t="s">
        <v>50</v>
      </c>
      <c r="B43">
        <f t="shared" si="0"/>
        <v>9.786530741</v>
      </c>
      <c r="C43">
        <f t="shared" si="1"/>
        <v>9.7271479516215287</v>
      </c>
      <c r="D43">
        <v>35.327276830000002</v>
      </c>
      <c r="E43">
        <f t="shared" si="2"/>
        <v>37.428720826140555</v>
      </c>
      <c r="F43">
        <f t="shared" si="3"/>
        <v>34.652227455431053</v>
      </c>
      <c r="G43">
        <v>0</v>
      </c>
      <c r="H43">
        <v>9.786530741</v>
      </c>
    </row>
    <row r="44" spans="1:8" x14ac:dyDescent="0.35">
      <c r="A44" t="s">
        <v>51</v>
      </c>
      <c r="B44">
        <f t="shared" si="0"/>
        <v>9.7523005040130659</v>
      </c>
      <c r="C44">
        <f t="shared" si="1"/>
        <v>9.7672144896746644</v>
      </c>
      <c r="D44">
        <v>34.870909230000002</v>
      </c>
      <c r="E44">
        <f t="shared" si="2"/>
        <v>37.850795264943685</v>
      </c>
      <c r="F44">
        <f t="shared" si="3"/>
        <v>35.040345020383583</v>
      </c>
      <c r="G44">
        <v>0.20100000000000001</v>
      </c>
      <c r="H44">
        <v>9.7326983800000004</v>
      </c>
    </row>
    <row r="45" spans="1:8" x14ac:dyDescent="0.35">
      <c r="A45" t="s">
        <v>52</v>
      </c>
      <c r="B45">
        <f t="shared" si="0"/>
        <v>9.7096339065107689</v>
      </c>
      <c r="C45">
        <f t="shared" si="1"/>
        <v>9.6594110894844238</v>
      </c>
      <c r="D45">
        <v>36.107426869999998</v>
      </c>
      <c r="E45">
        <f t="shared" si="2"/>
        <v>38.376893877795688</v>
      </c>
      <c r="F45">
        <f t="shared" si="3"/>
        <v>35.527949079257397</v>
      </c>
      <c r="G45">
        <v>0.23449999999999999</v>
      </c>
      <c r="H45">
        <v>9.6868648149999999</v>
      </c>
    </row>
    <row r="46" spans="1:8" x14ac:dyDescent="0.35">
      <c r="A46" t="s">
        <v>53</v>
      </c>
      <c r="B46">
        <f t="shared" si="0"/>
        <v>9.6622471373280394</v>
      </c>
      <c r="C46">
        <f t="shared" si="1"/>
        <v>9.5920440359702752</v>
      </c>
      <c r="D46">
        <v>36.894246109999997</v>
      </c>
      <c r="E46">
        <f t="shared" si="2"/>
        <v>38.961194360936616</v>
      </c>
      <c r="F46">
        <f t="shared" si="3"/>
        <v>36.074543676061289</v>
      </c>
      <c r="G46">
        <v>0.26800000000000002</v>
      </c>
      <c r="H46">
        <v>9.6363523149999999</v>
      </c>
    </row>
    <row r="47" spans="1:8" x14ac:dyDescent="0.35">
      <c r="A47" t="s">
        <v>54</v>
      </c>
      <c r="B47">
        <f t="shared" si="0"/>
        <v>9.8346798821884782</v>
      </c>
      <c r="C47">
        <f t="shared" si="1"/>
        <v>9.7044996023355914</v>
      </c>
      <c r="D47">
        <v>35.586914149999998</v>
      </c>
      <c r="E47">
        <f t="shared" si="2"/>
        <v>36.835019948354137</v>
      </c>
      <c r="F47">
        <f t="shared" si="3"/>
        <v>34.110864188789705</v>
      </c>
      <c r="G47">
        <v>0.28139999999999998</v>
      </c>
      <c r="H47">
        <v>9.8070050930000008</v>
      </c>
    </row>
    <row r="48" spans="1:8" x14ac:dyDescent="0.35">
      <c r="A48" t="s">
        <v>55</v>
      </c>
      <c r="B48">
        <f t="shared" si="0"/>
        <v>10.030228347965684</v>
      </c>
      <c r="C48">
        <f t="shared" si="1"/>
        <v>9.7787653592621311</v>
      </c>
      <c r="D48">
        <v>34.740036500000002</v>
      </c>
      <c r="E48">
        <f t="shared" si="2"/>
        <v>34.423818150854686</v>
      </c>
      <c r="F48">
        <f t="shared" si="3"/>
        <v>31.965640440399056</v>
      </c>
      <c r="G48">
        <v>0.33500000000000002</v>
      </c>
      <c r="H48">
        <v>9.9966270829999999</v>
      </c>
    </row>
    <row r="49" spans="1:8" x14ac:dyDescent="0.35">
      <c r="A49" t="s">
        <v>56</v>
      </c>
      <c r="B49">
        <f t="shared" si="0"/>
        <v>10.075411187478052</v>
      </c>
      <c r="C49">
        <f t="shared" si="1"/>
        <v>9.8320177640638224</v>
      </c>
      <c r="D49">
        <v>34.140657150000003</v>
      </c>
      <c r="E49">
        <f t="shared" si="2"/>
        <v>33.866693126041277</v>
      </c>
      <c r="F49">
        <f t="shared" si="3"/>
        <v>31.481814496109617</v>
      </c>
      <c r="G49">
        <v>0.33500000000000002</v>
      </c>
      <c r="H49">
        <v>10.04165856</v>
      </c>
    </row>
    <row r="50" spans="1:8" x14ac:dyDescent="0.35">
      <c r="A50" t="s">
        <v>57</v>
      </c>
      <c r="B50">
        <f t="shared" si="0"/>
        <v>10.026545408117192</v>
      </c>
      <c r="C50">
        <f t="shared" si="1"/>
        <v>9.8665733961374578</v>
      </c>
      <c r="D50">
        <v>33.75517962</v>
      </c>
      <c r="E50">
        <f t="shared" si="2"/>
        <v>34.46923047944275</v>
      </c>
      <c r="F50">
        <f t="shared" si="3"/>
        <v>32.005270225038259</v>
      </c>
      <c r="G50">
        <v>0.33500000000000002</v>
      </c>
      <c r="H50">
        <v>9.9929564810000002</v>
      </c>
    </row>
    <row r="51" spans="1:8" x14ac:dyDescent="0.35">
      <c r="A51" t="s">
        <v>58</v>
      </c>
      <c r="B51">
        <f t="shared" si="0"/>
        <v>9.9598525195344862</v>
      </c>
      <c r="C51">
        <f t="shared" si="1"/>
        <v>9.8949559354549166</v>
      </c>
      <c r="D51">
        <v>33.440578500000001</v>
      </c>
      <c r="E51">
        <f t="shared" si="2"/>
        <v>35.291584222756015</v>
      </c>
      <c r="F51">
        <f t="shared" si="3"/>
        <v>32.727980995352993</v>
      </c>
      <c r="G51">
        <v>0.36849999999999999</v>
      </c>
      <c r="H51">
        <v>9.9231504630000007</v>
      </c>
    </row>
    <row r="52" spans="1:8" x14ac:dyDescent="0.35">
      <c r="A52" t="s">
        <v>59</v>
      </c>
      <c r="B52">
        <f t="shared" si="0"/>
        <v>9.9806215496982986</v>
      </c>
      <c r="C52">
        <f t="shared" si="1"/>
        <v>9.9016348321843175</v>
      </c>
      <c r="D52">
        <v>33.366809619999998</v>
      </c>
      <c r="E52">
        <f t="shared" si="2"/>
        <v>35.035492605446365</v>
      </c>
      <c r="F52">
        <f t="shared" si="3"/>
        <v>32.501883915636206</v>
      </c>
      <c r="G52">
        <v>0.38190000000000002</v>
      </c>
      <c r="H52">
        <v>9.9425055560000004</v>
      </c>
    </row>
    <row r="53" spans="1:8" x14ac:dyDescent="0.35">
      <c r="A53" t="s">
        <v>60</v>
      </c>
      <c r="B53">
        <f t="shared" si="0"/>
        <v>10.03225124333213</v>
      </c>
      <c r="C53">
        <f t="shared" si="1"/>
        <v>9.9096717566197885</v>
      </c>
      <c r="D53">
        <v>33.278173049999999</v>
      </c>
      <c r="E53">
        <f t="shared" si="2"/>
        <v>34.39887492808716</v>
      </c>
      <c r="F53">
        <f t="shared" si="3"/>
        <v>31.943885723746469</v>
      </c>
      <c r="G53">
        <v>0.26800000000000002</v>
      </c>
      <c r="H53">
        <v>10.00536481</v>
      </c>
    </row>
    <row r="54" spans="1:8" x14ac:dyDescent="0.35">
      <c r="A54" t="s">
        <v>61</v>
      </c>
      <c r="B54">
        <f t="shared" si="0"/>
        <v>10.074695563315167</v>
      </c>
      <c r="C54">
        <f t="shared" si="1"/>
        <v>9.9359171036439449</v>
      </c>
      <c r="D54">
        <v>32.98972054</v>
      </c>
      <c r="E54">
        <f t="shared" si="2"/>
        <v>33.875517098456619</v>
      </c>
      <c r="F54">
        <f t="shared" si="3"/>
        <v>31.489443705189927</v>
      </c>
      <c r="G54">
        <v>0.28139999999999998</v>
      </c>
      <c r="H54">
        <v>10.046345369999999</v>
      </c>
    </row>
    <row r="55" spans="1:8" x14ac:dyDescent="0.35">
      <c r="A55" t="s">
        <v>62</v>
      </c>
      <c r="B55">
        <f t="shared" si="0"/>
        <v>10.035462318767872</v>
      </c>
      <c r="C55">
        <f t="shared" si="1"/>
        <v>9.9697411216690579</v>
      </c>
      <c r="D55">
        <v>32.62021361</v>
      </c>
      <c r="E55">
        <f t="shared" si="2"/>
        <v>34.359280902985539</v>
      </c>
      <c r="F55">
        <f t="shared" si="3"/>
        <v>31.909371035459529</v>
      </c>
      <c r="G55">
        <v>0.33500000000000002</v>
      </c>
      <c r="H55">
        <v>10.00184352</v>
      </c>
    </row>
    <row r="56" spans="1:8" x14ac:dyDescent="0.35">
      <c r="A56" t="s">
        <v>63</v>
      </c>
      <c r="B56">
        <f t="shared" si="0"/>
        <v>9.8848647599458186</v>
      </c>
      <c r="C56">
        <f t="shared" si="1"/>
        <v>9.9686440489014814</v>
      </c>
      <c r="D56">
        <v>32.632159119999997</v>
      </c>
      <c r="E56">
        <f t="shared" si="2"/>
        <v>36.216217509915914</v>
      </c>
      <c r="F56">
        <f t="shared" si="3"/>
        <v>33.552225329562859</v>
      </c>
      <c r="G56">
        <v>0.33500000000000002</v>
      </c>
      <c r="H56">
        <v>9.8517504630000001</v>
      </c>
    </row>
    <row r="57" spans="1:8" x14ac:dyDescent="0.35">
      <c r="A57" t="s">
        <v>64</v>
      </c>
      <c r="B57">
        <f t="shared" si="0"/>
        <v>9.7416374946069322</v>
      </c>
      <c r="C57">
        <f t="shared" si="1"/>
        <v>9.7387367695701794</v>
      </c>
      <c r="D57">
        <v>35.194891390000002</v>
      </c>
      <c r="E57">
        <f t="shared" si="2"/>
        <v>37.982275035672835</v>
      </c>
      <c r="F57">
        <f t="shared" si="3"/>
        <v>35.16180409959744</v>
      </c>
      <c r="G57">
        <v>0.33500000000000002</v>
      </c>
      <c r="H57">
        <v>9.7090030089999999</v>
      </c>
    </row>
    <row r="58" spans="1:8" x14ac:dyDescent="0.35">
      <c r="A58" t="s">
        <v>65</v>
      </c>
      <c r="B58">
        <f t="shared" si="0"/>
        <v>9.7183872570422007</v>
      </c>
      <c r="C58">
        <f t="shared" si="1"/>
        <v>9.7073481200059586</v>
      </c>
      <c r="D58">
        <v>35.554192559999997</v>
      </c>
      <c r="E58">
        <f t="shared" si="2"/>
        <v>38.268961072229324</v>
      </c>
      <c r="F58">
        <f t="shared" si="3"/>
        <v>35.427564617273759</v>
      </c>
      <c r="G58">
        <v>0.36849999999999999</v>
      </c>
      <c r="H58">
        <v>9.6825749999999999</v>
      </c>
    </row>
    <row r="59" spans="1:8" x14ac:dyDescent="0.35">
      <c r="A59" t="s">
        <v>66</v>
      </c>
      <c r="B59">
        <f t="shared" si="0"/>
        <v>9.8271760503362344</v>
      </c>
      <c r="C59">
        <f t="shared" si="1"/>
        <v>9.8043176600584871</v>
      </c>
      <c r="D59">
        <v>34.451621500000002</v>
      </c>
      <c r="E59">
        <f t="shared" si="2"/>
        <v>36.927545618542105</v>
      </c>
      <c r="F59">
        <f t="shared" si="3"/>
        <v>34.194884321039545</v>
      </c>
      <c r="G59">
        <v>0.38190000000000002</v>
      </c>
      <c r="H59">
        <v>9.7896460649999995</v>
      </c>
    </row>
    <row r="60" spans="1:8" x14ac:dyDescent="0.35">
      <c r="A60" t="s">
        <v>67</v>
      </c>
      <c r="B60">
        <f t="shared" si="0"/>
        <v>9.9107755768188124</v>
      </c>
      <c r="C60">
        <f t="shared" si="1"/>
        <v>9.8518882479594652</v>
      </c>
      <c r="D60">
        <v>33.91866606</v>
      </c>
      <c r="E60">
        <f t="shared" si="2"/>
        <v>35.896725316660749</v>
      </c>
      <c r="F60">
        <f t="shared" si="3"/>
        <v>33.266010611494352</v>
      </c>
      <c r="G60">
        <v>0.40200000000000002</v>
      </c>
      <c r="H60">
        <v>9.8709342590000002</v>
      </c>
    </row>
    <row r="61" spans="1:8" x14ac:dyDescent="0.35">
      <c r="A61" t="s">
        <v>68</v>
      </c>
      <c r="B61">
        <f t="shared" si="0"/>
        <v>9.9041520933176592</v>
      </c>
      <c r="C61">
        <f t="shared" si="1"/>
        <v>9.7623223161904473</v>
      </c>
      <c r="D61">
        <v>34.9264315</v>
      </c>
      <c r="E61">
        <f t="shared" si="2"/>
        <v>35.978395890041178</v>
      </c>
      <c r="F61">
        <f t="shared" si="3"/>
        <v>33.339032111105176</v>
      </c>
      <c r="G61">
        <v>0.46899999999999997</v>
      </c>
      <c r="H61">
        <v>9.8577016200000003</v>
      </c>
    </row>
    <row r="62" spans="1:8" x14ac:dyDescent="0.35">
      <c r="A62" t="s">
        <v>69</v>
      </c>
      <c r="B62">
        <f t="shared" si="0"/>
        <v>9.7596259470763282</v>
      </c>
      <c r="C62">
        <f t="shared" si="1"/>
        <v>9.6710975189286614</v>
      </c>
      <c r="D62">
        <v>35.972049939999998</v>
      </c>
      <c r="E62">
        <f t="shared" si="2"/>
        <v>37.76046920990963</v>
      </c>
      <c r="F62">
        <f t="shared" si="3"/>
        <v>34.957056934582589</v>
      </c>
      <c r="G62">
        <v>0.53600000000000003</v>
      </c>
      <c r="H62">
        <v>9.7073143519999991</v>
      </c>
    </row>
    <row r="63" spans="1:8" x14ac:dyDescent="0.35">
      <c r="A63" t="s">
        <v>70</v>
      </c>
      <c r="B63">
        <f t="shared" si="0"/>
        <v>9.6603272362344939</v>
      </c>
      <c r="C63">
        <f t="shared" si="1"/>
        <v>9.5448094508165404</v>
      </c>
      <c r="D63">
        <v>37.452550330000001</v>
      </c>
      <c r="E63">
        <f t="shared" si="2"/>
        <v>38.984867617330522</v>
      </c>
      <c r="F63">
        <f t="shared" si="3"/>
        <v>36.096802289544378</v>
      </c>
      <c r="G63">
        <v>0.60299999999999998</v>
      </c>
      <c r="H63">
        <v>9.6020754630000003</v>
      </c>
    </row>
    <row r="64" spans="1:8" x14ac:dyDescent="0.35">
      <c r="A64" t="s">
        <v>71</v>
      </c>
      <c r="B64">
        <f t="shared" si="0"/>
        <v>9.6426310913117881</v>
      </c>
      <c r="C64">
        <f t="shared" si="1"/>
        <v>9.5955185913780792</v>
      </c>
      <c r="D64">
        <v>36.853394530000003</v>
      </c>
      <c r="E64">
        <f t="shared" si="2"/>
        <v>39.203069157684475</v>
      </c>
      <c r="F64">
        <f t="shared" si="3"/>
        <v>36.30238212216419</v>
      </c>
      <c r="G64">
        <v>0.67</v>
      </c>
      <c r="H64">
        <v>9.5780254629999995</v>
      </c>
    </row>
    <row r="65" spans="1:8" x14ac:dyDescent="0.35">
      <c r="A65" t="s">
        <v>72</v>
      </c>
      <c r="B65">
        <f t="shared" si="0"/>
        <v>9.7504312805375619</v>
      </c>
      <c r="C65">
        <f t="shared" si="1"/>
        <v>9.7191252178380942</v>
      </c>
      <c r="D65">
        <v>35.419109859999999</v>
      </c>
      <c r="E65">
        <f t="shared" si="2"/>
        <v>37.873843643186646</v>
      </c>
      <c r="F65">
        <f t="shared" si="3"/>
        <v>35.061617570599992</v>
      </c>
      <c r="G65">
        <v>0.73699999999999999</v>
      </c>
      <c r="H65">
        <v>9.6785706020000006</v>
      </c>
    </row>
    <row r="66" spans="1:8" x14ac:dyDescent="0.35">
      <c r="A66" t="s">
        <v>73</v>
      </c>
      <c r="B66">
        <f t="shared" si="0"/>
        <v>9.8988570364659694</v>
      </c>
      <c r="C66">
        <f t="shared" si="1"/>
        <v>9.8240198124192375</v>
      </c>
      <c r="D66">
        <v>34.230262949999997</v>
      </c>
      <c r="E66">
        <f t="shared" si="2"/>
        <v>36.043686356769783</v>
      </c>
      <c r="F66">
        <f t="shared" si="3"/>
        <v>33.397478476123169</v>
      </c>
      <c r="G66">
        <v>0.77049999999999996</v>
      </c>
      <c r="H66">
        <v>9.8225863429999993</v>
      </c>
    </row>
    <row r="67" spans="1:8" x14ac:dyDescent="0.35">
      <c r="A67" t="s">
        <v>74</v>
      </c>
      <c r="B67">
        <f t="shared" si="0"/>
        <v>9.9399577694665098</v>
      </c>
      <c r="C67">
        <f t="shared" si="1"/>
        <v>9.9028235934963877</v>
      </c>
      <c r="D67">
        <v>33.353690100000001</v>
      </c>
      <c r="E67">
        <f t="shared" si="2"/>
        <v>35.536895567613925</v>
      </c>
      <c r="F67">
        <f t="shared" si="3"/>
        <v>32.945446447594016</v>
      </c>
      <c r="G67">
        <v>0.80400000000000005</v>
      </c>
      <c r="H67">
        <v>9.8600405089999992</v>
      </c>
    </row>
    <row r="68" spans="1:8" x14ac:dyDescent="0.35">
      <c r="A68" t="s">
        <v>75</v>
      </c>
      <c r="B68">
        <f t="shared" si="0"/>
        <v>9.8486567170047579</v>
      </c>
      <c r="C68">
        <f t="shared" si="1"/>
        <v>9.9434708268704313</v>
      </c>
      <c r="D68">
        <v>32.906982669999998</v>
      </c>
      <c r="E68">
        <f t="shared" si="2"/>
        <v>36.662679198461667</v>
      </c>
      <c r="F68">
        <f t="shared" si="3"/>
        <v>33.954707412088325</v>
      </c>
      <c r="G68">
        <v>0.81069999999999998</v>
      </c>
      <c r="H68">
        <v>9.7688136570000008</v>
      </c>
    </row>
    <row r="69" spans="1:8" x14ac:dyDescent="0.35">
      <c r="A69" t="s">
        <v>76</v>
      </c>
      <c r="B69">
        <f t="shared" si="0"/>
        <v>9.7827144667995398</v>
      </c>
      <c r="C69">
        <f t="shared" si="1"/>
        <v>9.8444555910135705</v>
      </c>
      <c r="D69">
        <v>34.001598059999999</v>
      </c>
      <c r="E69">
        <f t="shared" si="2"/>
        <v>37.4757772281191</v>
      </c>
      <c r="F69">
        <f t="shared" si="3"/>
        <v>34.695363533912989</v>
      </c>
      <c r="G69">
        <v>0.83043890399999998</v>
      </c>
      <c r="H69">
        <v>9.7014750000000003</v>
      </c>
    </row>
    <row r="70" spans="1:8" x14ac:dyDescent="0.35">
      <c r="A70" t="s">
        <v>77</v>
      </c>
      <c r="B70">
        <f t="shared" si="0"/>
        <v>9.8201432871479373</v>
      </c>
      <c r="C70">
        <f t="shared" si="1"/>
        <v>9.8810836541044083</v>
      </c>
      <c r="D70">
        <v>33.594117490000002</v>
      </c>
      <c r="E70">
        <f t="shared" si="2"/>
        <v>37.014262797189417</v>
      </c>
      <c r="F70">
        <f t="shared" si="3"/>
        <v>34.273746480391836</v>
      </c>
      <c r="G70">
        <v>0.84139698100000004</v>
      </c>
      <c r="H70">
        <v>9.7375168980000009</v>
      </c>
    </row>
    <row r="71" spans="1:8" x14ac:dyDescent="0.35">
      <c r="A71" t="s">
        <v>78</v>
      </c>
      <c r="B71">
        <f t="shared" si="0"/>
        <v>9.974917840306798</v>
      </c>
      <c r="C71">
        <f t="shared" si="1"/>
        <v>9.9474271060082096</v>
      </c>
      <c r="D71">
        <v>32.863698669999998</v>
      </c>
      <c r="E71">
        <f t="shared" si="2"/>
        <v>35.10582194442911</v>
      </c>
      <c r="F71">
        <f t="shared" si="3"/>
        <v>32.563882204906356</v>
      </c>
      <c r="G71">
        <v>0.88184628399999998</v>
      </c>
      <c r="H71">
        <v>9.8869543980000003</v>
      </c>
    </row>
    <row r="72" spans="1:8" x14ac:dyDescent="0.35">
      <c r="A72" t="s">
        <v>79</v>
      </c>
      <c r="B72">
        <f t="shared" si="0"/>
        <v>10.083229633099583</v>
      </c>
      <c r="C72">
        <f t="shared" si="1"/>
        <v>10.033586716726415</v>
      </c>
      <c r="D72">
        <v>31.929528520000002</v>
      </c>
      <c r="E72">
        <f t="shared" si="2"/>
        <v>33.770288124542738</v>
      </c>
      <c r="F72">
        <f t="shared" si="3"/>
        <v>31.398533250023135</v>
      </c>
      <c r="G72">
        <v>1.685816274</v>
      </c>
      <c r="H72">
        <v>9.9132449069999993</v>
      </c>
    </row>
    <row r="73" spans="1:8" x14ac:dyDescent="0.35">
      <c r="A73" t="s">
        <v>80</v>
      </c>
      <c r="B73">
        <f t="shared" ref="B73:B136" si="4" xml:space="preserve"> H73/(1-$B$5*G73)</f>
        <v>10.023326973626554</v>
      </c>
      <c r="C73">
        <f t="shared" ref="C73:C136" si="5">$B$2/(1+$B$4*((D73/100)/$B$3))</f>
        <v>10.043902626710858</v>
      </c>
      <c r="D73">
        <v>31.818754460000001</v>
      </c>
      <c r="E73">
        <f t="shared" ref="E73:E136" si="6" xml:space="preserve"> (12.822 - B73)/0.0811</f>
        <v>34.508915245048641</v>
      </c>
      <c r="F73">
        <f t="shared" ref="F73:F136" si="7" xml:space="preserve"> ((($B$3 *($B$2-B73))/($B$4*B73)))*100</f>
        <v>32.0399256064212</v>
      </c>
      <c r="G73">
        <v>1.788482009</v>
      </c>
      <c r="H73">
        <v>9.8440615739999995</v>
      </c>
    </row>
    <row r="74" spans="1:8" x14ac:dyDescent="0.35">
      <c r="A74" t="s">
        <v>81</v>
      </c>
      <c r="B74">
        <f t="shared" si="4"/>
        <v>9.9432425025700439</v>
      </c>
      <c r="C74">
        <f t="shared" si="5"/>
        <v>10.029029030564422</v>
      </c>
      <c r="D74">
        <v>31.978542340000001</v>
      </c>
      <c r="E74">
        <f t="shared" si="6"/>
        <v>35.496393309863812</v>
      </c>
      <c r="F74">
        <f t="shared" si="7"/>
        <v>32.909481722224385</v>
      </c>
      <c r="G74">
        <v>1.8211712579999999</v>
      </c>
      <c r="H74">
        <v>9.7621590279999992</v>
      </c>
    </row>
    <row r="75" spans="1:8" x14ac:dyDescent="0.35">
      <c r="A75" t="s">
        <v>82</v>
      </c>
      <c r="B75">
        <f t="shared" si="4"/>
        <v>9.9838548386517942</v>
      </c>
      <c r="C75">
        <f t="shared" si="5"/>
        <v>10.01595779954534</v>
      </c>
      <c r="D75">
        <v>32.119359099999997</v>
      </c>
      <c r="E75">
        <f t="shared" si="6"/>
        <v>34.995624677536433</v>
      </c>
      <c r="F75">
        <f t="shared" si="7"/>
        <v>32.46677010973314</v>
      </c>
      <c r="G75">
        <v>2.1666320990000001</v>
      </c>
      <c r="H75">
        <v>9.767541435</v>
      </c>
    </row>
    <row r="76" spans="1:8" x14ac:dyDescent="0.35">
      <c r="A76" t="s">
        <v>83</v>
      </c>
      <c r="B76">
        <f t="shared" si="4"/>
        <v>10.078624124433619</v>
      </c>
      <c r="C76">
        <f t="shared" si="5"/>
        <v>10.084193908253576</v>
      </c>
      <c r="D76">
        <v>31.388270840000001</v>
      </c>
      <c r="E76">
        <f t="shared" si="6"/>
        <v>33.827076147550933</v>
      </c>
      <c r="F76">
        <f t="shared" si="7"/>
        <v>31.447574996614996</v>
      </c>
      <c r="G76">
        <v>2.4818230379999999</v>
      </c>
      <c r="H76">
        <v>9.8284905089999999</v>
      </c>
    </row>
    <row r="77" spans="1:8" x14ac:dyDescent="0.35">
      <c r="A77" t="s">
        <v>84</v>
      </c>
      <c r="B77">
        <f t="shared" si="4"/>
        <v>10.040243578194959</v>
      </c>
      <c r="C77">
        <f t="shared" si="5"/>
        <v>10.137293116824008</v>
      </c>
      <c r="D77">
        <v>30.826170189999999</v>
      </c>
      <c r="E77">
        <f t="shared" si="6"/>
        <v>34.300325792910485</v>
      </c>
      <c r="F77">
        <f t="shared" si="7"/>
        <v>31.858019917041574</v>
      </c>
      <c r="G77">
        <v>2.4818230379999999</v>
      </c>
      <c r="H77">
        <v>9.7910625000000007</v>
      </c>
    </row>
    <row r="78" spans="1:8" x14ac:dyDescent="0.35">
      <c r="A78" t="s">
        <v>85</v>
      </c>
      <c r="B78">
        <f t="shared" si="4"/>
        <v>10.00772020154041</v>
      </c>
      <c r="C78">
        <f t="shared" si="5"/>
        <v>10.140248495050859</v>
      </c>
      <c r="D78">
        <v>30.795057920000001</v>
      </c>
      <c r="E78">
        <f t="shared" si="6"/>
        <v>34.70135386509974</v>
      </c>
      <c r="F78">
        <f t="shared" si="7"/>
        <v>32.208291944928781</v>
      </c>
      <c r="G78">
        <v>2.4818230379999999</v>
      </c>
      <c r="H78">
        <v>9.7593462960000004</v>
      </c>
    </row>
    <row r="79" spans="1:8" x14ac:dyDescent="0.35">
      <c r="A79" t="s">
        <v>86</v>
      </c>
      <c r="B79">
        <f t="shared" si="4"/>
        <v>10.012151711782531</v>
      </c>
      <c r="C79">
        <f t="shared" si="5"/>
        <v>10.11123651567285</v>
      </c>
      <c r="D79">
        <v>31.101263939999999</v>
      </c>
      <c r="E79">
        <f t="shared" si="6"/>
        <v>34.646711322040296</v>
      </c>
      <c r="F79">
        <f t="shared" si="7"/>
        <v>32.160431314756771</v>
      </c>
      <c r="G79">
        <v>2.4818230379999999</v>
      </c>
      <c r="H79">
        <v>9.7636678240000006</v>
      </c>
    </row>
    <row r="80" spans="1:8" x14ac:dyDescent="0.35">
      <c r="A80" t="s">
        <v>87</v>
      </c>
      <c r="B80">
        <f t="shared" si="4"/>
        <v>10.111492166062915</v>
      </c>
      <c r="C80">
        <f t="shared" si="5"/>
        <v>10.159836942037259</v>
      </c>
      <c r="D80">
        <v>30.589301259999999</v>
      </c>
      <c r="E80">
        <f t="shared" si="6"/>
        <v>33.421798198977612</v>
      </c>
      <c r="F80">
        <f t="shared" si="7"/>
        <v>31.098558012399902</v>
      </c>
      <c r="G80">
        <v>2.4818230379999999</v>
      </c>
      <c r="H80">
        <v>9.8605428239999995</v>
      </c>
    </row>
    <row r="81" spans="1:8" x14ac:dyDescent="0.35">
      <c r="A81" t="s">
        <v>88</v>
      </c>
      <c r="B81">
        <f t="shared" si="4"/>
        <v>10.141737368731734</v>
      </c>
      <c r="C81">
        <f t="shared" si="5"/>
        <v>10.235663409244673</v>
      </c>
      <c r="D81">
        <v>29.800246179999998</v>
      </c>
      <c r="E81">
        <f t="shared" si="6"/>
        <v>33.048861051396607</v>
      </c>
      <c r="F81">
        <f t="shared" si="7"/>
        <v>30.779390909775127</v>
      </c>
      <c r="G81">
        <v>2.6958052530000001</v>
      </c>
      <c r="H81">
        <v>9.8683358800000001</v>
      </c>
    </row>
    <row r="82" spans="1:8" x14ac:dyDescent="0.35">
      <c r="A82" t="s">
        <v>89</v>
      </c>
      <c r="B82">
        <f t="shared" si="4"/>
        <v>10.095265850712295</v>
      </c>
      <c r="C82">
        <f t="shared" si="5"/>
        <v>10.262600571467587</v>
      </c>
      <c r="D82">
        <v>29.522743200000001</v>
      </c>
      <c r="E82">
        <f t="shared" si="6"/>
        <v>33.621876070131989</v>
      </c>
      <c r="F82">
        <f t="shared" si="7"/>
        <v>31.270576899562521</v>
      </c>
      <c r="G82">
        <v>2.7093476760000001</v>
      </c>
      <c r="H82">
        <v>9.8217499999999998</v>
      </c>
    </row>
    <row r="83" spans="1:8" x14ac:dyDescent="0.35">
      <c r="A83" t="s">
        <v>90</v>
      </c>
      <c r="B83">
        <f t="shared" si="4"/>
        <v>10.057277926324147</v>
      </c>
      <c r="C83">
        <f t="shared" si="5"/>
        <v>10.051236009267571</v>
      </c>
      <c r="D83">
        <v>31.74014558</v>
      </c>
      <c r="E83">
        <f t="shared" si="6"/>
        <v>34.090284508950084</v>
      </c>
      <c r="F83">
        <f t="shared" si="7"/>
        <v>31.675466465078863</v>
      </c>
      <c r="G83">
        <v>2.8464038920000001</v>
      </c>
      <c r="H83">
        <v>9.7710071759999995</v>
      </c>
    </row>
    <row r="84" spans="1:8" x14ac:dyDescent="0.35">
      <c r="A84" t="s">
        <v>91</v>
      </c>
      <c r="B84">
        <f t="shared" si="4"/>
        <v>10.08553021177287</v>
      </c>
      <c r="C84">
        <f t="shared" si="5"/>
        <v>9.9828783312173659</v>
      </c>
      <c r="D84">
        <v>32.477372670000001</v>
      </c>
      <c r="E84">
        <f t="shared" si="6"/>
        <v>33.741920939915282</v>
      </c>
      <c r="F84">
        <f t="shared" si="7"/>
        <v>31.374052319087493</v>
      </c>
      <c r="G84">
        <v>2.9202235339999998</v>
      </c>
      <c r="H84">
        <v>9.7910101849999993</v>
      </c>
    </row>
    <row r="85" spans="1:8" x14ac:dyDescent="0.35">
      <c r="A85" t="s">
        <v>92</v>
      </c>
      <c r="B85">
        <f t="shared" si="4"/>
        <v>9.9710492302462512</v>
      </c>
      <c r="C85">
        <f t="shared" si="5"/>
        <v>10.048354356075025</v>
      </c>
      <c r="D85">
        <v>31.771021260000001</v>
      </c>
      <c r="E85">
        <f t="shared" si="6"/>
        <v>35.153523671439551</v>
      </c>
      <c r="F85">
        <f t="shared" si="7"/>
        <v>32.605973665944155</v>
      </c>
      <c r="G85">
        <v>2.9226689339999998</v>
      </c>
      <c r="H85">
        <v>9.6796284719999992</v>
      </c>
    </row>
    <row r="86" spans="1:8" x14ac:dyDescent="0.35">
      <c r="A86" t="s">
        <v>93</v>
      </c>
      <c r="B86">
        <f t="shared" si="4"/>
        <v>9.8873456764837826</v>
      </c>
      <c r="C86">
        <f t="shared" si="5"/>
        <v>9.8451272935136434</v>
      </c>
      <c r="D86">
        <v>33.994098200000003</v>
      </c>
      <c r="E86">
        <f t="shared" si="6"/>
        <v>36.185626677142004</v>
      </c>
      <c r="F86">
        <f t="shared" si="7"/>
        <v>33.524755818083428</v>
      </c>
      <c r="G86">
        <v>2.9226689339999998</v>
      </c>
      <c r="H86">
        <v>9.5983712959999998</v>
      </c>
    </row>
    <row r="87" spans="1:8" x14ac:dyDescent="0.35">
      <c r="A87" t="s">
        <v>94</v>
      </c>
      <c r="B87">
        <f t="shared" si="4"/>
        <v>9.8415276760761863</v>
      </c>
      <c r="C87">
        <f t="shared" si="5"/>
        <v>9.8782935507155827</v>
      </c>
      <c r="D87">
        <v>33.625050559999998</v>
      </c>
      <c r="E87">
        <f t="shared" si="6"/>
        <v>36.750583525571059</v>
      </c>
      <c r="F87">
        <f t="shared" si="7"/>
        <v>34.034301502047896</v>
      </c>
      <c r="G87">
        <v>3.048207412</v>
      </c>
      <c r="H87">
        <v>9.5415375000000004</v>
      </c>
    </row>
    <row r="88" spans="1:8" x14ac:dyDescent="0.35">
      <c r="A88" t="s">
        <v>95</v>
      </c>
      <c r="B88">
        <f t="shared" si="4"/>
        <v>9.9748487701928692</v>
      </c>
      <c r="C88">
        <f t="shared" si="5"/>
        <v>10.002789041288606</v>
      </c>
      <c r="D88">
        <v>32.261598679999999</v>
      </c>
      <c r="E88">
        <f t="shared" si="6"/>
        <v>35.106673610445498</v>
      </c>
      <c r="F88">
        <f t="shared" si="7"/>
        <v>32.564633419051162</v>
      </c>
      <c r="G88">
        <v>3.0697803370000001</v>
      </c>
      <c r="H88">
        <v>9.6686428240000009</v>
      </c>
    </row>
    <row r="89" spans="1:8" x14ac:dyDescent="0.35">
      <c r="A89" t="s">
        <v>96</v>
      </c>
      <c r="B89">
        <f t="shared" si="4"/>
        <v>10.132268248524426</v>
      </c>
      <c r="C89">
        <f t="shared" si="5"/>
        <v>10.095267746460731</v>
      </c>
      <c r="D89">
        <v>31.270556769999999</v>
      </c>
      <c r="E89">
        <f t="shared" si="6"/>
        <v>33.165619623619889</v>
      </c>
      <c r="F89">
        <f t="shared" si="7"/>
        <v>30.879110347856635</v>
      </c>
      <c r="G89">
        <v>3.4271324939999999</v>
      </c>
      <c r="H89">
        <v>9.7850219910000007</v>
      </c>
    </row>
    <row r="90" spans="1:8" x14ac:dyDescent="0.35">
      <c r="A90" t="s">
        <v>97</v>
      </c>
      <c r="B90">
        <f t="shared" si="4"/>
        <v>10.113327252650508</v>
      </c>
      <c r="C90">
        <f t="shared" si="5"/>
        <v>10.088568114254338</v>
      </c>
      <c r="D90">
        <v>31.341742480000001</v>
      </c>
      <c r="E90">
        <f t="shared" si="6"/>
        <v>33.399170744136754</v>
      </c>
      <c r="F90">
        <f t="shared" si="7"/>
        <v>31.079138582218434</v>
      </c>
      <c r="G90">
        <v>3.3678601229999998</v>
      </c>
      <c r="H90">
        <v>9.7727245370000002</v>
      </c>
    </row>
    <row r="91" spans="1:8" x14ac:dyDescent="0.35">
      <c r="A91" t="s">
        <v>98</v>
      </c>
      <c r="B91">
        <f t="shared" si="4"/>
        <v>10.160890609767124</v>
      </c>
      <c r="C91">
        <f t="shared" si="5"/>
        <v>10.073770658827527</v>
      </c>
      <c r="D91">
        <v>31.499305639999999</v>
      </c>
      <c r="E91">
        <f t="shared" si="6"/>
        <v>32.81269285120684</v>
      </c>
      <c r="F91">
        <f t="shared" si="7"/>
        <v>30.578256039321992</v>
      </c>
      <c r="G91">
        <v>3.4271324939999999</v>
      </c>
      <c r="H91">
        <v>9.8126634260000003</v>
      </c>
    </row>
    <row r="92" spans="1:8" x14ac:dyDescent="0.35">
      <c r="A92" t="s">
        <v>99</v>
      </c>
      <c r="B92">
        <f t="shared" si="4"/>
        <v>10.15623793430777</v>
      </c>
      <c r="C92">
        <f t="shared" si="5"/>
        <v>10.135529379183465</v>
      </c>
      <c r="D92">
        <v>30.844746300000001</v>
      </c>
      <c r="E92">
        <f t="shared" si="6"/>
        <v>32.870062462296289</v>
      </c>
      <c r="F92">
        <f t="shared" si="7"/>
        <v>30.627045649606742</v>
      </c>
      <c r="G92">
        <v>3.8468191059999999</v>
      </c>
      <c r="H92">
        <v>9.7655458329999991</v>
      </c>
    </row>
    <row r="93" spans="1:8" x14ac:dyDescent="0.35">
      <c r="A93" t="s">
        <v>100</v>
      </c>
      <c r="B93">
        <f t="shared" si="4"/>
        <v>10.124971166653477</v>
      </c>
      <c r="C93">
        <f t="shared" si="5"/>
        <v>10.112021794853057</v>
      </c>
      <c r="D93">
        <v>31.0929526</v>
      </c>
      <c r="E93">
        <f t="shared" si="6"/>
        <v>33.255595972213584</v>
      </c>
      <c r="F93">
        <f t="shared" si="7"/>
        <v>30.956083270408246</v>
      </c>
      <c r="G93">
        <v>3.8685945589999999</v>
      </c>
      <c r="H93">
        <v>9.7332770830000008</v>
      </c>
    </row>
    <row r="94" spans="1:8" x14ac:dyDescent="0.35">
      <c r="A94" t="s">
        <v>101</v>
      </c>
      <c r="B94">
        <f t="shared" si="4"/>
        <v>10.085261260677322</v>
      </c>
      <c r="C94">
        <f t="shared" si="5"/>
        <v>9.9788843284920912</v>
      </c>
      <c r="D94">
        <v>32.520759689999998</v>
      </c>
      <c r="E94">
        <f t="shared" si="6"/>
        <v>33.745237229626099</v>
      </c>
      <c r="F94">
        <f t="shared" si="7"/>
        <v>31.37691370649469</v>
      </c>
      <c r="G94">
        <v>4.189978601</v>
      </c>
      <c r="H94">
        <v>9.662690972</v>
      </c>
    </row>
    <row r="95" spans="1:8" x14ac:dyDescent="0.35">
      <c r="A95" t="s">
        <v>102</v>
      </c>
      <c r="B95">
        <f t="shared" si="4"/>
        <v>10.200223348057888</v>
      </c>
      <c r="C95">
        <f t="shared" si="5"/>
        <v>10.10897992356851</v>
      </c>
      <c r="D95">
        <v>31.125154739999999</v>
      </c>
      <c r="E95">
        <f t="shared" si="6"/>
        <v>32.327702243429236</v>
      </c>
      <c r="F95">
        <f t="shared" si="7"/>
        <v>30.167577548936141</v>
      </c>
      <c r="G95">
        <v>4.249078312</v>
      </c>
      <c r="H95">
        <v>9.7668078699999992</v>
      </c>
    </row>
    <row r="96" spans="1:8" x14ac:dyDescent="0.35">
      <c r="A96" t="s">
        <v>103</v>
      </c>
      <c r="B96">
        <f t="shared" si="4"/>
        <v>10.395644393870851</v>
      </c>
      <c r="C96">
        <f t="shared" si="5"/>
        <v>10.241197390659858</v>
      </c>
      <c r="D96">
        <v>29.743116709999999</v>
      </c>
      <c r="E96">
        <f t="shared" si="6"/>
        <v>29.918071592221303</v>
      </c>
      <c r="F96">
        <f t="shared" si="7"/>
        <v>28.173236315915794</v>
      </c>
      <c r="G96">
        <v>4.4632447329999998</v>
      </c>
      <c r="H96">
        <v>9.931661343</v>
      </c>
    </row>
    <row r="97" spans="1:8" x14ac:dyDescent="0.35">
      <c r="A97" t="s">
        <v>104</v>
      </c>
      <c r="B97">
        <f t="shared" si="4"/>
        <v>10.519044672634827</v>
      </c>
      <c r="C97">
        <f t="shared" si="5"/>
        <v>10.329955318247119</v>
      </c>
      <c r="D97">
        <v>28.8351975</v>
      </c>
      <c r="E97">
        <f t="shared" si="6"/>
        <v>28.396489856537261</v>
      </c>
      <c r="F97">
        <f t="shared" si="7"/>
        <v>26.952062010162219</v>
      </c>
      <c r="G97">
        <v>4.7634787019999996</v>
      </c>
      <c r="H97">
        <v>10.017972220000001</v>
      </c>
    </row>
    <row r="98" spans="1:8" x14ac:dyDescent="0.35">
      <c r="A98" t="s">
        <v>105</v>
      </c>
      <c r="B98">
        <f t="shared" si="4"/>
        <v>10.507492819176798</v>
      </c>
      <c r="C98">
        <f t="shared" si="5"/>
        <v>10.333433683778519</v>
      </c>
      <c r="D98">
        <v>28.799934329999999</v>
      </c>
      <c r="E98">
        <f t="shared" si="6"/>
        <v>28.538929479940823</v>
      </c>
      <c r="F98">
        <f t="shared" si="7"/>
        <v>27.065162764445898</v>
      </c>
      <c r="G98">
        <v>4.7923231340000001</v>
      </c>
      <c r="H98">
        <v>10.00393981</v>
      </c>
    </row>
    <row r="99" spans="1:8" x14ac:dyDescent="0.35">
      <c r="A99" t="s">
        <v>106</v>
      </c>
      <c r="B99">
        <f t="shared" si="4"/>
        <v>10.501750678977197</v>
      </c>
      <c r="C99">
        <f t="shared" si="5"/>
        <v>10.324813253280992</v>
      </c>
      <c r="D99">
        <v>28.887370539999999</v>
      </c>
      <c r="E99">
        <f t="shared" si="6"/>
        <v>28.609732688320612</v>
      </c>
      <c r="F99">
        <f t="shared" si="7"/>
        <v>27.121474928608752</v>
      </c>
      <c r="G99">
        <v>5.0190682210000004</v>
      </c>
      <c r="H99">
        <v>9.9746606480000004</v>
      </c>
    </row>
    <row r="100" spans="1:8" x14ac:dyDescent="0.35">
      <c r="A100" t="s">
        <v>107</v>
      </c>
      <c r="B100">
        <f t="shared" si="4"/>
        <v>10.490690869476312</v>
      </c>
      <c r="C100">
        <f t="shared" si="5"/>
        <v>10.294778492060544</v>
      </c>
      <c r="D100">
        <v>29.193154150000002</v>
      </c>
      <c r="E100">
        <f t="shared" si="6"/>
        <v>28.746105185248915</v>
      </c>
      <c r="F100">
        <f t="shared" si="7"/>
        <v>27.230110257846775</v>
      </c>
      <c r="G100">
        <v>5.053328423</v>
      </c>
      <c r="H100">
        <v>9.9605618059999994</v>
      </c>
    </row>
    <row r="101" spans="1:8" x14ac:dyDescent="0.35">
      <c r="A101" t="s">
        <v>108</v>
      </c>
      <c r="B101">
        <f t="shared" si="4"/>
        <v>10.267590099733422</v>
      </c>
      <c r="C101">
        <f t="shared" si="5"/>
        <v>10.162785324204661</v>
      </c>
      <c r="D101">
        <v>30.55840019</v>
      </c>
      <c r="E101">
        <f t="shared" si="6"/>
        <v>31.497039460746944</v>
      </c>
      <c r="F101">
        <f t="shared" si="7"/>
        <v>29.471501589583092</v>
      </c>
      <c r="G101">
        <v>5.087338301</v>
      </c>
      <c r="H101">
        <v>9.7452430559999996</v>
      </c>
    </row>
    <row r="102" spans="1:8" x14ac:dyDescent="0.35">
      <c r="A102" t="s">
        <v>109</v>
      </c>
      <c r="B102">
        <f t="shared" si="4"/>
        <v>10.07018130916412</v>
      </c>
      <c r="C102">
        <f t="shared" si="5"/>
        <v>9.6907781535394015</v>
      </c>
      <c r="D102">
        <v>35.744805159999999</v>
      </c>
      <c r="E102">
        <f t="shared" si="6"/>
        <v>33.931179911663122</v>
      </c>
      <c r="F102">
        <f t="shared" si="7"/>
        <v>31.537594783393551</v>
      </c>
      <c r="G102">
        <v>5.3545122039999997</v>
      </c>
      <c r="H102">
        <v>9.5309722220000008</v>
      </c>
    </row>
    <row r="103" spans="1:8" x14ac:dyDescent="0.35">
      <c r="A103" t="s">
        <v>110</v>
      </c>
      <c r="B103">
        <f t="shared" si="4"/>
        <v>9.9189506727148018</v>
      </c>
      <c r="C103">
        <f t="shared" si="5"/>
        <v>9.6823053208696024</v>
      </c>
      <c r="D103">
        <v>35.842524480000002</v>
      </c>
      <c r="E103">
        <f t="shared" si="6"/>
        <v>35.795922654564698</v>
      </c>
      <c r="F103">
        <f t="shared" si="7"/>
        <v>33.176017614532199</v>
      </c>
      <c r="G103">
        <v>5.3642778179999997</v>
      </c>
      <c r="H103">
        <v>9.3868706020000001</v>
      </c>
    </row>
    <row r="104" spans="1:8" x14ac:dyDescent="0.35">
      <c r="A104" t="s">
        <v>111</v>
      </c>
      <c r="B104">
        <f t="shared" si="4"/>
        <v>9.9766125669148114</v>
      </c>
      <c r="C104">
        <f t="shared" si="5"/>
        <v>9.6226709024429766</v>
      </c>
      <c r="D104">
        <v>36.535171249999998</v>
      </c>
      <c r="E104">
        <f t="shared" si="6"/>
        <v>35.084925192172477</v>
      </c>
      <c r="F104">
        <f t="shared" si="7"/>
        <v>32.545453430849072</v>
      </c>
      <c r="G104">
        <v>5.3642778179999997</v>
      </c>
      <c r="H104">
        <v>9.4414393519999997</v>
      </c>
    </row>
    <row r="105" spans="1:8" x14ac:dyDescent="0.35">
      <c r="A105" t="s">
        <v>112</v>
      </c>
      <c r="B105">
        <f t="shared" si="4"/>
        <v>10.116711854902457</v>
      </c>
      <c r="C105">
        <f t="shared" si="5"/>
        <v>9.7725590974315821</v>
      </c>
      <c r="D105">
        <v>34.810315729999999</v>
      </c>
      <c r="E105">
        <f t="shared" si="6"/>
        <v>33.357437054223702</v>
      </c>
      <c r="F105">
        <f t="shared" si="7"/>
        <v>31.04334019761686</v>
      </c>
      <c r="G105">
        <v>5.3760038410000002</v>
      </c>
      <c r="H105">
        <v>9.5728370369999993</v>
      </c>
    </row>
    <row r="106" spans="1:8" x14ac:dyDescent="0.35">
      <c r="A106" t="s">
        <v>113</v>
      </c>
      <c r="B106">
        <f t="shared" si="4"/>
        <v>10.17457421381903</v>
      </c>
      <c r="C106">
        <f t="shared" si="5"/>
        <v>9.911151174289019</v>
      </c>
      <c r="D106">
        <v>33.261872709999999</v>
      </c>
      <c r="E106">
        <f t="shared" si="6"/>
        <v>32.643967770418854</v>
      </c>
      <c r="F106">
        <f t="shared" si="7"/>
        <v>30.435023493584122</v>
      </c>
      <c r="G106">
        <v>5.4063382630000003</v>
      </c>
      <c r="H106">
        <v>9.6245023150000009</v>
      </c>
    </row>
    <row r="107" spans="1:8" x14ac:dyDescent="0.35">
      <c r="A107" t="s">
        <v>114</v>
      </c>
      <c r="B107">
        <f t="shared" si="4"/>
        <v>10.086543227250669</v>
      </c>
      <c r="C107">
        <f t="shared" si="5"/>
        <v>10.039433221685604</v>
      </c>
      <c r="D107">
        <v>31.86671977</v>
      </c>
      <c r="E107">
        <f t="shared" si="6"/>
        <v>33.729429996909126</v>
      </c>
      <c r="F107">
        <f t="shared" si="7"/>
        <v>31.36327615430098</v>
      </c>
      <c r="G107">
        <v>5.4430256420000003</v>
      </c>
      <c r="H107">
        <v>9.5375300930000009</v>
      </c>
    </row>
    <row r="108" spans="1:8" x14ac:dyDescent="0.35">
      <c r="A108" t="s">
        <v>115</v>
      </c>
      <c r="B108">
        <f t="shared" si="4"/>
        <v>10.035200578259584</v>
      </c>
      <c r="C108">
        <f t="shared" si="5"/>
        <v>10.004266131909302</v>
      </c>
      <c r="D108">
        <v>32.24562555</v>
      </c>
      <c r="E108">
        <f t="shared" si="6"/>
        <v>34.362508282865782</v>
      </c>
      <c r="F108">
        <f t="shared" si="7"/>
        <v>31.912183562659514</v>
      </c>
      <c r="G108">
        <v>5.4144927550000004</v>
      </c>
      <c r="H108">
        <v>9.4918453700000001</v>
      </c>
    </row>
    <row r="109" spans="1:8" x14ac:dyDescent="0.35">
      <c r="A109" t="s">
        <v>116</v>
      </c>
      <c r="B109">
        <f t="shared" si="4"/>
        <v>10.083573235857576</v>
      </c>
      <c r="C109">
        <f t="shared" si="5"/>
        <v>10.085178551993568</v>
      </c>
      <c r="D109">
        <v>31.37779368</v>
      </c>
      <c r="E109">
        <f t="shared" si="6"/>
        <v>33.766051345775864</v>
      </c>
      <c r="F109">
        <f t="shared" si="7"/>
        <v>31.394876192781641</v>
      </c>
      <c r="G109">
        <v>5.4430256420000003</v>
      </c>
      <c r="H109">
        <v>9.534721759</v>
      </c>
    </row>
    <row r="110" spans="1:8" x14ac:dyDescent="0.35">
      <c r="A110" t="s">
        <v>117</v>
      </c>
      <c r="B110">
        <f t="shared" si="4"/>
        <v>10.333240954820527</v>
      </c>
      <c r="C110">
        <f t="shared" si="5"/>
        <v>10.20158761758201</v>
      </c>
      <c r="D110">
        <v>30.15338985</v>
      </c>
      <c r="E110">
        <f t="shared" si="6"/>
        <v>30.68753446583813</v>
      </c>
      <c r="F110">
        <f t="shared" si="7"/>
        <v>28.801887567221797</v>
      </c>
      <c r="G110">
        <v>5.4430256420000003</v>
      </c>
      <c r="H110">
        <v>9.7707999999999995</v>
      </c>
    </row>
    <row r="111" spans="1:8" x14ac:dyDescent="0.35">
      <c r="A111" t="s">
        <v>118</v>
      </c>
      <c r="B111">
        <f t="shared" si="4"/>
        <v>10.487324767240731</v>
      </c>
      <c r="C111">
        <f t="shared" si="5"/>
        <v>10.310884772168109</v>
      </c>
      <c r="D111">
        <v>29.028954760000001</v>
      </c>
      <c r="E111">
        <f t="shared" si="6"/>
        <v>28.787610761519957</v>
      </c>
      <c r="F111">
        <f t="shared" si="7"/>
        <v>27.263219384631853</v>
      </c>
      <c r="G111">
        <v>5.4430256420000003</v>
      </c>
      <c r="H111">
        <v>9.9164969910000007</v>
      </c>
    </row>
    <row r="112" spans="1:8" x14ac:dyDescent="0.35">
      <c r="A112" t="s">
        <v>119</v>
      </c>
      <c r="B112">
        <f t="shared" si="4"/>
        <v>10.66299571277076</v>
      </c>
      <c r="C112">
        <f t="shared" si="5"/>
        <v>10.409243598627409</v>
      </c>
      <c r="D112">
        <v>28.037238429999999</v>
      </c>
      <c r="E112">
        <f t="shared" si="6"/>
        <v>26.621507857327234</v>
      </c>
      <c r="F112">
        <f t="shared" si="7"/>
        <v>25.563233878409914</v>
      </c>
      <c r="G112">
        <v>5.5536766469999996</v>
      </c>
      <c r="H112">
        <v>10.07080741</v>
      </c>
    </row>
    <row r="113" spans="1:8" x14ac:dyDescent="0.35">
      <c r="A113" t="s">
        <v>120</v>
      </c>
      <c r="B113">
        <f t="shared" si="4"/>
        <v>10.731801938034939</v>
      </c>
      <c r="C113">
        <f t="shared" si="5"/>
        <v>10.489120952973099</v>
      </c>
      <c r="D113">
        <v>27.24554938</v>
      </c>
      <c r="E113">
        <f t="shared" si="6"/>
        <v>25.773095708570402</v>
      </c>
      <c r="F113">
        <f t="shared" si="7"/>
        <v>24.912557439527536</v>
      </c>
      <c r="G113">
        <v>5.5536766469999996</v>
      </c>
      <c r="H113">
        <v>10.13579236</v>
      </c>
    </row>
    <row r="114" spans="1:8" x14ac:dyDescent="0.35">
      <c r="A114" t="s">
        <v>121</v>
      </c>
      <c r="B114">
        <f t="shared" si="4"/>
        <v>10.720145549930923</v>
      </c>
      <c r="C114">
        <f t="shared" si="5"/>
        <v>10.564035984260354</v>
      </c>
      <c r="D114">
        <v>26.513923210000002</v>
      </c>
      <c r="E114">
        <f t="shared" si="6"/>
        <v>25.91682429185051</v>
      </c>
      <c r="F114">
        <f t="shared" si="7"/>
        <v>25.022200184512787</v>
      </c>
      <c r="G114">
        <v>5.5536766469999996</v>
      </c>
      <c r="H114">
        <v>10.12478333</v>
      </c>
    </row>
    <row r="115" spans="1:8" x14ac:dyDescent="0.35">
      <c r="A115" t="s">
        <v>122</v>
      </c>
      <c r="B115">
        <f t="shared" si="4"/>
        <v>10.60563999147123</v>
      </c>
      <c r="C115">
        <f t="shared" si="5"/>
        <v>10.621055432310063</v>
      </c>
      <c r="D115">
        <v>25.963983989999999</v>
      </c>
      <c r="E115">
        <f t="shared" si="6"/>
        <v>27.328730068172238</v>
      </c>
      <c r="F115">
        <f t="shared" si="7"/>
        <v>26.112079067783906</v>
      </c>
      <c r="G115">
        <v>5.5536766469999996</v>
      </c>
      <c r="H115">
        <v>10.016637040000001</v>
      </c>
    </row>
    <row r="116" spans="1:8" x14ac:dyDescent="0.35">
      <c r="A116" t="s">
        <v>123</v>
      </c>
      <c r="B116">
        <f t="shared" si="4"/>
        <v>10.633466869945652</v>
      </c>
      <c r="C116">
        <f t="shared" si="5"/>
        <v>10.679020187752808</v>
      </c>
      <c r="D116">
        <v>25.410947029999999</v>
      </c>
      <c r="E116">
        <f t="shared" si="6"/>
        <v>26.985611961212665</v>
      </c>
      <c r="F116">
        <f t="shared" si="7"/>
        <v>25.845060193985141</v>
      </c>
      <c r="G116">
        <v>5.5921360099999999</v>
      </c>
      <c r="H116">
        <v>10.03882894</v>
      </c>
    </row>
    <row r="117" spans="1:8" x14ac:dyDescent="0.35">
      <c r="A117" t="s">
        <v>124</v>
      </c>
      <c r="B117">
        <f t="shared" si="4"/>
        <v>10.71191821355818</v>
      </c>
      <c r="C117">
        <f t="shared" si="5"/>
        <v>10.743630786844017</v>
      </c>
      <c r="D117">
        <v>24.80153571</v>
      </c>
      <c r="E117">
        <f t="shared" si="6"/>
        <v>26.018271102858435</v>
      </c>
      <c r="F117">
        <f t="shared" si="7"/>
        <v>25.099732107434363</v>
      </c>
      <c r="G117">
        <v>5.7362998980000004</v>
      </c>
      <c r="H117">
        <v>10.097450459999999</v>
      </c>
    </row>
    <row r="118" spans="1:8" x14ac:dyDescent="0.35">
      <c r="A118" t="s">
        <v>125</v>
      </c>
      <c r="B118">
        <f t="shared" si="4"/>
        <v>10.872532756496797</v>
      </c>
      <c r="C118">
        <f t="shared" si="5"/>
        <v>10.825591605146553</v>
      </c>
      <c r="D118">
        <v>24.038942729999999</v>
      </c>
      <c r="E118">
        <f t="shared" si="6"/>
        <v>24.037820511753413</v>
      </c>
      <c r="F118">
        <f t="shared" si="7"/>
        <v>23.607363431121627</v>
      </c>
      <c r="G118">
        <v>5.7464601899999996</v>
      </c>
      <c r="H118">
        <v>10.24774699</v>
      </c>
    </row>
    <row r="119" spans="1:8" x14ac:dyDescent="0.35">
      <c r="A119" t="s">
        <v>126</v>
      </c>
      <c r="B119">
        <f t="shared" si="4"/>
        <v>11.018352571424098</v>
      </c>
      <c r="C119">
        <f t="shared" si="5"/>
        <v>10.91942277542929</v>
      </c>
      <c r="D119">
        <v>23.179958790000001</v>
      </c>
      <c r="E119">
        <f t="shared" si="6"/>
        <v>22.239795666780537</v>
      </c>
      <c r="F119">
        <f t="shared" si="7"/>
        <v>22.290143223777097</v>
      </c>
      <c r="G119">
        <v>5.7970539360000002</v>
      </c>
      <c r="H119">
        <v>10.37961273</v>
      </c>
    </row>
    <row r="120" spans="1:8" x14ac:dyDescent="0.35">
      <c r="A120" t="s">
        <v>127</v>
      </c>
      <c r="B120">
        <f t="shared" si="4"/>
        <v>11.146476304416229</v>
      </c>
      <c r="C120">
        <f t="shared" si="5"/>
        <v>11.01705439793972</v>
      </c>
      <c r="D120">
        <v>22.30171606</v>
      </c>
      <c r="E120">
        <f t="shared" si="6"/>
        <v>20.65997158549655</v>
      </c>
      <c r="F120">
        <f t="shared" si="7"/>
        <v>21.16121962062072</v>
      </c>
      <c r="G120">
        <v>5.9732704419999996</v>
      </c>
      <c r="H120">
        <v>10.48066713</v>
      </c>
    </row>
    <row r="121" spans="1:8" x14ac:dyDescent="0.35">
      <c r="A121" t="s">
        <v>128</v>
      </c>
      <c r="B121">
        <f t="shared" si="4"/>
        <v>11.208659849607969</v>
      </c>
      <c r="C121">
        <f t="shared" si="5"/>
        <v>11.111772908385012</v>
      </c>
      <c r="D121">
        <v>21.46442734</v>
      </c>
      <c r="E121">
        <f t="shared" si="6"/>
        <v>19.89322010347756</v>
      </c>
      <c r="F121">
        <f t="shared" si="7"/>
        <v>20.622610847567699</v>
      </c>
      <c r="G121">
        <v>6.151843832</v>
      </c>
      <c r="H121">
        <v>10.519120600000001</v>
      </c>
    </row>
    <row r="122" spans="1:8" x14ac:dyDescent="0.35">
      <c r="A122" t="s">
        <v>129</v>
      </c>
      <c r="B122">
        <f t="shared" si="4"/>
        <v>11.252713329217121</v>
      </c>
      <c r="C122">
        <f t="shared" si="5"/>
        <v>11.197438997369453</v>
      </c>
      <c r="D122">
        <v>20.719359000000001</v>
      </c>
      <c r="E122">
        <f t="shared" si="6"/>
        <v>19.350020601515141</v>
      </c>
      <c r="F122">
        <f t="shared" si="7"/>
        <v>20.244639826263636</v>
      </c>
      <c r="G122">
        <v>5.9732704419999996</v>
      </c>
      <c r="H122">
        <v>10.580558330000001</v>
      </c>
    </row>
    <row r="123" spans="1:8" x14ac:dyDescent="0.35">
      <c r="A123" t="s">
        <v>130</v>
      </c>
      <c r="B123">
        <f t="shared" si="4"/>
        <v>11.332582022250495</v>
      </c>
      <c r="C123">
        <f t="shared" si="5"/>
        <v>11.295088798368928</v>
      </c>
      <c r="D123">
        <v>19.88384787</v>
      </c>
      <c r="E123">
        <f t="shared" si="6"/>
        <v>18.365203178168976</v>
      </c>
      <c r="F123">
        <f t="shared" si="7"/>
        <v>19.566873975214367</v>
      </c>
      <c r="G123">
        <v>5.9732704419999996</v>
      </c>
      <c r="H123">
        <v>10.65565625</v>
      </c>
    </row>
    <row r="124" spans="1:8" x14ac:dyDescent="0.35">
      <c r="A124" t="s">
        <v>131</v>
      </c>
      <c r="B124">
        <f t="shared" si="4"/>
        <v>11.350541606806271</v>
      </c>
      <c r="C124">
        <f t="shared" si="5"/>
        <v>11.391562422604959</v>
      </c>
      <c r="D124">
        <v>19.072466779999999</v>
      </c>
      <c r="E124">
        <f t="shared" si="6"/>
        <v>18.143753306951027</v>
      </c>
      <c r="F124">
        <f t="shared" si="7"/>
        <v>19.415782465078632</v>
      </c>
      <c r="G124">
        <v>5.9732704419999996</v>
      </c>
      <c r="H124">
        <v>10.672543060000001</v>
      </c>
    </row>
    <row r="125" spans="1:8" x14ac:dyDescent="0.35">
      <c r="A125" t="s">
        <v>132</v>
      </c>
      <c r="B125">
        <f t="shared" si="4"/>
        <v>11.360088977051094</v>
      </c>
      <c r="C125">
        <f t="shared" si="5"/>
        <v>11.469711418730112</v>
      </c>
      <c r="D125">
        <v>18.425209639999999</v>
      </c>
      <c r="E125">
        <f t="shared" si="6"/>
        <v>18.026029876065419</v>
      </c>
      <c r="F125">
        <f t="shared" si="7"/>
        <v>19.335656240773748</v>
      </c>
      <c r="G125">
        <v>5.9732704419999996</v>
      </c>
      <c r="H125">
        <v>10.68152014</v>
      </c>
    </row>
    <row r="126" spans="1:8" x14ac:dyDescent="0.35">
      <c r="A126" t="s">
        <v>133</v>
      </c>
      <c r="B126">
        <f t="shared" si="4"/>
        <v>11.494750493616865</v>
      </c>
      <c r="C126">
        <f t="shared" si="5"/>
        <v>11.544163256904806</v>
      </c>
      <c r="D126">
        <v>17.816724879999999</v>
      </c>
      <c r="E126">
        <f t="shared" si="6"/>
        <v>16.365591940605853</v>
      </c>
      <c r="F126">
        <f t="shared" si="7"/>
        <v>18.219688987154445</v>
      </c>
      <c r="G126">
        <v>5.9732704419999996</v>
      </c>
      <c r="H126">
        <v>10.80813796</v>
      </c>
    </row>
    <row r="127" spans="1:8" x14ac:dyDescent="0.35">
      <c r="A127" t="s">
        <v>134</v>
      </c>
      <c r="B127">
        <f t="shared" si="4"/>
        <v>11.722626163176658</v>
      </c>
      <c r="C127">
        <f t="shared" si="5"/>
        <v>11.627988082563119</v>
      </c>
      <c r="D127">
        <v>17.140961189999999</v>
      </c>
      <c r="E127">
        <f t="shared" si="6"/>
        <v>13.555780971927758</v>
      </c>
      <c r="F127">
        <f t="shared" si="7"/>
        <v>16.389639958202213</v>
      </c>
      <c r="G127">
        <v>6.1642840359999997</v>
      </c>
      <c r="H127">
        <v>11.000010189999999</v>
      </c>
    </row>
    <row r="128" spans="1:8" x14ac:dyDescent="0.35">
      <c r="A128" t="s">
        <v>135</v>
      </c>
      <c r="B128">
        <f t="shared" si="4"/>
        <v>11.841711738331455</v>
      </c>
      <c r="C128">
        <f t="shared" si="5"/>
        <v>11.708355015387577</v>
      </c>
      <c r="D128">
        <v>16.502159339999999</v>
      </c>
      <c r="E128">
        <f t="shared" si="6"/>
        <v>12.08740150022866</v>
      </c>
      <c r="F128">
        <f t="shared" si="7"/>
        <v>15.46129584059816</v>
      </c>
      <c r="G128">
        <v>6.2057972240000003</v>
      </c>
      <c r="H128">
        <v>11.10683912</v>
      </c>
    </row>
    <row r="129" spans="1:8" x14ac:dyDescent="0.35">
      <c r="A129" t="s">
        <v>136</v>
      </c>
      <c r="B129">
        <f t="shared" si="4"/>
        <v>11.824748192613752</v>
      </c>
      <c r="C129">
        <f t="shared" si="5"/>
        <v>11.777895109536209</v>
      </c>
      <c r="D129">
        <v>15.95645056</v>
      </c>
      <c r="E129">
        <f t="shared" si="6"/>
        <v>12.296569758153478</v>
      </c>
      <c r="F129">
        <f t="shared" si="7"/>
        <v>15.592394870835481</v>
      </c>
      <c r="G129">
        <v>6.209534788</v>
      </c>
      <c r="H129">
        <v>11.09048634</v>
      </c>
    </row>
    <row r="130" spans="1:8" x14ac:dyDescent="0.35">
      <c r="A130" t="s">
        <v>137</v>
      </c>
      <c r="B130">
        <f t="shared" si="4"/>
        <v>11.818665041765623</v>
      </c>
      <c r="C130">
        <f t="shared" si="5"/>
        <v>11.829582080077669</v>
      </c>
      <c r="D130">
        <v>15.55499893</v>
      </c>
      <c r="E130">
        <f t="shared" si="6"/>
        <v>12.371577783407842</v>
      </c>
      <c r="F130">
        <f t="shared" si="7"/>
        <v>15.639498838726084</v>
      </c>
      <c r="G130">
        <v>6.2794406909999996</v>
      </c>
      <c r="H130">
        <v>11.076518979999999</v>
      </c>
    </row>
    <row r="131" spans="1:8" x14ac:dyDescent="0.35">
      <c r="A131" t="s">
        <v>138</v>
      </c>
      <c r="B131">
        <f t="shared" si="4"/>
        <v>11.809861039675971</v>
      </c>
      <c r="C131">
        <f t="shared" si="5"/>
        <v>11.856389204064202</v>
      </c>
      <c r="D131">
        <v>15.348166989999999</v>
      </c>
      <c r="E131">
        <f t="shared" si="6"/>
        <v>12.480135145795664</v>
      </c>
      <c r="F131">
        <f t="shared" si="7"/>
        <v>15.707757247022228</v>
      </c>
      <c r="G131">
        <v>6.2794406909999996</v>
      </c>
      <c r="H131">
        <v>11.068267820000001</v>
      </c>
    </row>
    <row r="132" spans="1:8" x14ac:dyDescent="0.35">
      <c r="A132" t="s">
        <v>139</v>
      </c>
      <c r="B132">
        <f t="shared" si="4"/>
        <v>11.92359446467221</v>
      </c>
      <c r="C132">
        <f t="shared" si="5"/>
        <v>11.888478430248501</v>
      </c>
      <c r="D132">
        <v>15.101807239999999</v>
      </c>
      <c r="E132">
        <f t="shared" si="6"/>
        <v>11.077750127346356</v>
      </c>
      <c r="F132">
        <f t="shared" si="7"/>
        <v>14.833729207849961</v>
      </c>
      <c r="G132">
        <v>6.2818687510000002</v>
      </c>
      <c r="H132">
        <v>11.174569910000001</v>
      </c>
    </row>
    <row r="133" spans="1:8" x14ac:dyDescent="0.35">
      <c r="A133" t="s">
        <v>140</v>
      </c>
      <c r="B133">
        <f t="shared" si="4"/>
        <v>12.034590467914761</v>
      </c>
      <c r="C133">
        <f t="shared" si="5"/>
        <v>11.943250183220027</v>
      </c>
      <c r="D133">
        <v>14.684364349999999</v>
      </c>
      <c r="E133">
        <f t="shared" si="6"/>
        <v>9.7091187680054034</v>
      </c>
      <c r="F133">
        <f t="shared" si="7"/>
        <v>13.996666373064492</v>
      </c>
      <c r="G133">
        <v>6.2818687510000002</v>
      </c>
      <c r="H133">
        <v>11.27859329</v>
      </c>
    </row>
    <row r="134" spans="1:8" x14ac:dyDescent="0.35">
      <c r="A134" t="s">
        <v>141</v>
      </c>
      <c r="B134">
        <f t="shared" si="4"/>
        <v>12.147135110720798</v>
      </c>
      <c r="C134">
        <f t="shared" si="5"/>
        <v>11.997855640918878</v>
      </c>
      <c r="D134">
        <v>14.271982899999999</v>
      </c>
      <c r="E134">
        <f t="shared" si="6"/>
        <v>8.3213919763156703</v>
      </c>
      <c r="F134">
        <f t="shared" si="7"/>
        <v>13.163543840107941</v>
      </c>
      <c r="G134">
        <v>6.284896593</v>
      </c>
      <c r="H134">
        <v>11.383700230000001</v>
      </c>
    </row>
    <row r="135" spans="1:8" x14ac:dyDescent="0.35">
      <c r="A135" t="s">
        <v>142</v>
      </c>
      <c r="B135">
        <f t="shared" si="4"/>
        <v>12.187536688017953</v>
      </c>
      <c r="C135">
        <f t="shared" si="5"/>
        <v>12.051525083122502</v>
      </c>
      <c r="D135">
        <v>13.87031172</v>
      </c>
      <c r="E135">
        <f t="shared" si="6"/>
        <v>7.823222095956174</v>
      </c>
      <c r="F135">
        <f t="shared" si="7"/>
        <v>12.868220511980555</v>
      </c>
      <c r="G135">
        <v>6.2794406909999996</v>
      </c>
      <c r="H135">
        <v>11.422227550000001</v>
      </c>
    </row>
    <row r="136" spans="1:8" x14ac:dyDescent="0.35">
      <c r="A136" t="s">
        <v>143</v>
      </c>
      <c r="B136">
        <f t="shared" si="4"/>
        <v>12.197101174258849</v>
      </c>
      <c r="C136">
        <f t="shared" si="5"/>
        <v>12.08254169868189</v>
      </c>
      <c r="D136">
        <v>13.63980514</v>
      </c>
      <c r="E136">
        <f t="shared" si="6"/>
        <v>7.7052876170302103</v>
      </c>
      <c r="F136">
        <f t="shared" si="7"/>
        <v>12.798593410522402</v>
      </c>
      <c r="G136">
        <v>6.2794406909999996</v>
      </c>
      <c r="H136">
        <v>11.431191439999999</v>
      </c>
    </row>
    <row r="137" spans="1:8" x14ac:dyDescent="0.35">
      <c r="A137" t="s">
        <v>144</v>
      </c>
      <c r="B137">
        <f t="shared" ref="B137:B200" si="8" xml:space="preserve"> H137/(1-$B$5*G137)</f>
        <v>12.173826942691278</v>
      </c>
      <c r="C137">
        <f t="shared" ref="C137:C200" si="9">$B$2/(1+$B$4*((D137/100)/$B$3))</f>
        <v>12.114735947851631</v>
      </c>
      <c r="D137">
        <v>13.401795099999999</v>
      </c>
      <c r="E137">
        <f t="shared" ref="E137:E200" si="10" xml:space="preserve"> (12.822 - B137)/0.0811</f>
        <v>7.9922695105884234</v>
      </c>
      <c r="F137">
        <f t="shared" ref="F137:F200" si="11" xml:space="preserve"> ((($B$3 *($B$2-B137))/($B$4*B137)))*100</f>
        <v>12.968214884452085</v>
      </c>
      <c r="G137">
        <v>6.2794406909999996</v>
      </c>
      <c r="H137">
        <v>11.4093787</v>
      </c>
    </row>
    <row r="138" spans="1:8" x14ac:dyDescent="0.35">
      <c r="A138" t="s">
        <v>145</v>
      </c>
      <c r="B138">
        <f t="shared" si="8"/>
        <v>12.205092814572589</v>
      </c>
      <c r="C138">
        <f t="shared" si="9"/>
        <v>12.141999122906689</v>
      </c>
      <c r="D138">
        <v>13.20122716</v>
      </c>
      <c r="E138">
        <f t="shared" si="10"/>
        <v>7.6067470459606623</v>
      </c>
      <c r="F138">
        <f t="shared" si="11"/>
        <v>12.740499923160426</v>
      </c>
      <c r="G138">
        <v>6.2794406909999996</v>
      </c>
      <c r="H138">
        <v>11.43868125</v>
      </c>
    </row>
    <row r="139" spans="1:8" x14ac:dyDescent="0.35">
      <c r="A139" t="s">
        <v>146</v>
      </c>
      <c r="B139">
        <f t="shared" si="8"/>
        <v>12.263545986858276</v>
      </c>
      <c r="C139">
        <f t="shared" si="9"/>
        <v>12.164446829051339</v>
      </c>
      <c r="D139">
        <v>13.036760210000001</v>
      </c>
      <c r="E139">
        <f t="shared" si="10"/>
        <v>6.8859927637697096</v>
      </c>
      <c r="F139">
        <f t="shared" si="11"/>
        <v>12.317889536314294</v>
      </c>
      <c r="G139">
        <v>6.2794406909999996</v>
      </c>
      <c r="H139">
        <v>11.493463889999999</v>
      </c>
    </row>
    <row r="140" spans="1:8" x14ac:dyDescent="0.35">
      <c r="A140" t="s">
        <v>147</v>
      </c>
      <c r="B140">
        <f t="shared" si="8"/>
        <v>12.388784078548506</v>
      </c>
      <c r="C140">
        <f t="shared" si="9"/>
        <v>12.18801558653742</v>
      </c>
      <c r="D140">
        <v>12.86473165</v>
      </c>
      <c r="E140">
        <f t="shared" si="10"/>
        <v>5.3417499562452955</v>
      </c>
      <c r="F140">
        <f t="shared" si="11"/>
        <v>11.425856527363985</v>
      </c>
      <c r="G140">
        <v>6.2794406909999996</v>
      </c>
      <c r="H140">
        <v>11.61083773</v>
      </c>
    </row>
    <row r="141" spans="1:8" x14ac:dyDescent="0.35">
      <c r="A141" t="s">
        <v>148</v>
      </c>
      <c r="B141">
        <f t="shared" si="8"/>
        <v>12.484203983103846</v>
      </c>
      <c r="C141">
        <f t="shared" si="9"/>
        <v>12.206489522268347</v>
      </c>
      <c r="D141">
        <v>12.730354670000001</v>
      </c>
      <c r="E141">
        <f t="shared" si="10"/>
        <v>4.1651789999525635</v>
      </c>
      <c r="F141">
        <f t="shared" si="11"/>
        <v>10.758222182850426</v>
      </c>
      <c r="G141">
        <v>6.2706133619999997</v>
      </c>
      <c r="H141">
        <v>11.70136782</v>
      </c>
    </row>
    <row r="142" spans="1:8" x14ac:dyDescent="0.35">
      <c r="A142" t="s">
        <v>149</v>
      </c>
      <c r="B142">
        <f t="shared" si="8"/>
        <v>12.558554275989129</v>
      </c>
      <c r="C142">
        <f t="shared" si="9"/>
        <v>12.212216086405816</v>
      </c>
      <c r="D142">
        <v>12.688782939999999</v>
      </c>
      <c r="E142">
        <f t="shared" si="10"/>
        <v>3.2484059680748438</v>
      </c>
      <c r="F142">
        <f t="shared" si="11"/>
        <v>10.245040185940544</v>
      </c>
      <c r="G142">
        <v>6.2065052940000003</v>
      </c>
      <c r="H142">
        <v>11.77910694</v>
      </c>
    </row>
    <row r="143" spans="1:8" x14ac:dyDescent="0.35">
      <c r="A143" t="s">
        <v>150</v>
      </c>
      <c r="B143">
        <f t="shared" si="8"/>
        <v>12.561742059450648</v>
      </c>
      <c r="C143">
        <f t="shared" si="9"/>
        <v>12.223353726883433</v>
      </c>
      <c r="D143">
        <v>12.6080413</v>
      </c>
      <c r="E143">
        <f t="shared" si="10"/>
        <v>3.2090991436418181</v>
      </c>
      <c r="F143">
        <f t="shared" si="11"/>
        <v>10.223173220099726</v>
      </c>
      <c r="G143">
        <v>5.9943393670000003</v>
      </c>
      <c r="H143">
        <v>11.80874861</v>
      </c>
    </row>
    <row r="144" spans="1:8" x14ac:dyDescent="0.35">
      <c r="A144" t="s">
        <v>151</v>
      </c>
      <c r="B144">
        <f t="shared" si="8"/>
        <v>12.287239411450058</v>
      </c>
      <c r="C144">
        <f t="shared" si="9"/>
        <v>12.233470711260487</v>
      </c>
      <c r="D144">
        <v>12.53482627</v>
      </c>
      <c r="E144">
        <f t="shared" si="10"/>
        <v>6.5938420289758515</v>
      </c>
      <c r="F144">
        <f t="shared" si="11"/>
        <v>12.147733764812431</v>
      </c>
      <c r="G144">
        <v>5.3467549500000002</v>
      </c>
      <c r="H144">
        <v>11.630270830000001</v>
      </c>
    </row>
    <row r="145" spans="1:8" x14ac:dyDescent="0.35">
      <c r="A145" t="s">
        <v>152</v>
      </c>
      <c r="B145">
        <f t="shared" si="8"/>
        <v>11.762646350461928</v>
      </c>
      <c r="C145">
        <f t="shared" si="9"/>
        <v>12.025383627117657</v>
      </c>
      <c r="D145">
        <v>14.06551093</v>
      </c>
      <c r="E145">
        <f t="shared" si="10"/>
        <v>13.062313804415179</v>
      </c>
      <c r="F145">
        <f t="shared" si="11"/>
        <v>16.075561324519551</v>
      </c>
      <c r="G145">
        <v>4.8837315459999999</v>
      </c>
      <c r="H145">
        <v>11.188190280000001</v>
      </c>
    </row>
    <row r="146" spans="1:8" x14ac:dyDescent="0.35">
      <c r="A146" t="s">
        <v>153</v>
      </c>
      <c r="B146">
        <f t="shared" si="8"/>
        <v>11.31988806697508</v>
      </c>
      <c r="C146">
        <f t="shared" si="9"/>
        <v>11.352650979975877</v>
      </c>
      <c r="D146">
        <v>19.39806797</v>
      </c>
      <c r="E146">
        <f t="shared" si="10"/>
        <v>18.521725438038455</v>
      </c>
      <c r="F146">
        <f t="shared" si="11"/>
        <v>19.673955659105182</v>
      </c>
      <c r="G146">
        <v>4.4355489559999999</v>
      </c>
      <c r="H146">
        <v>10.817788889999999</v>
      </c>
    </row>
    <row r="147" spans="1:8" x14ac:dyDescent="0.35">
      <c r="A147" t="s">
        <v>154</v>
      </c>
      <c r="B147">
        <f t="shared" si="8"/>
        <v>11.234937979885572</v>
      </c>
      <c r="C147">
        <f t="shared" si="9"/>
        <v>11.467908292053284</v>
      </c>
      <c r="D147">
        <v>18.44004434</v>
      </c>
      <c r="E147">
        <f t="shared" si="10"/>
        <v>19.569198768365315</v>
      </c>
      <c r="F147">
        <f t="shared" si="11"/>
        <v>20.396792448605694</v>
      </c>
      <c r="G147">
        <v>4.3622396559999999</v>
      </c>
      <c r="H147">
        <v>10.744843059999999</v>
      </c>
    </row>
    <row r="148" spans="1:8" x14ac:dyDescent="0.35">
      <c r="A148" t="s">
        <v>155</v>
      </c>
      <c r="B148">
        <f t="shared" si="8"/>
        <v>11.418808793594021</v>
      </c>
      <c r="C148">
        <f t="shared" si="9"/>
        <v>11.597670689939232</v>
      </c>
      <c r="D148">
        <v>17.384240810000001</v>
      </c>
      <c r="E148">
        <f t="shared" si="10"/>
        <v>17.301987748532405</v>
      </c>
      <c r="F148">
        <f t="shared" si="11"/>
        <v>18.84579690648572</v>
      </c>
      <c r="G148">
        <v>4.1741336789999997</v>
      </c>
      <c r="H148">
        <v>10.942172449999999</v>
      </c>
    </row>
    <row r="149" spans="1:8" x14ac:dyDescent="0.35">
      <c r="A149" t="s">
        <v>156</v>
      </c>
      <c r="B149">
        <f t="shared" si="8"/>
        <v>11.520744376407048</v>
      </c>
      <c r="C149">
        <f t="shared" si="9"/>
        <v>11.721518298865853</v>
      </c>
      <c r="D149">
        <v>16.398364990000001</v>
      </c>
      <c r="E149">
        <f t="shared" si="10"/>
        <v>16.045075506694833</v>
      </c>
      <c r="F149">
        <f t="shared" si="11"/>
        <v>18.007276375557669</v>
      </c>
      <c r="G149">
        <v>3.9260052270000001</v>
      </c>
      <c r="H149">
        <v>11.06843935</v>
      </c>
    </row>
    <row r="150" spans="1:8" x14ac:dyDescent="0.35">
      <c r="A150" t="s">
        <v>157</v>
      </c>
      <c r="B150">
        <f t="shared" si="8"/>
        <v>11.496581558445371</v>
      </c>
      <c r="C150">
        <f t="shared" si="9"/>
        <v>11.816619520786075</v>
      </c>
      <c r="D150">
        <v>15.65534892</v>
      </c>
      <c r="E150">
        <f t="shared" si="10"/>
        <v>16.343014075889375</v>
      </c>
      <c r="F150">
        <f t="shared" si="11"/>
        <v>18.204694739525827</v>
      </c>
      <c r="G150">
        <v>3.826699756</v>
      </c>
      <c r="H150">
        <v>11.056641900000001</v>
      </c>
    </row>
    <row r="151" spans="1:8" x14ac:dyDescent="0.35">
      <c r="A151" t="s">
        <v>158</v>
      </c>
      <c r="B151">
        <f t="shared" si="8"/>
        <v>11.504231247995847</v>
      </c>
      <c r="C151">
        <f t="shared" si="9"/>
        <v>11.852223112602553</v>
      </c>
      <c r="D151">
        <v>15.38024931</v>
      </c>
      <c r="E151">
        <f t="shared" si="10"/>
        <v>16.248689913738005</v>
      </c>
      <c r="F151">
        <f t="shared" si="11"/>
        <v>18.14210448544344</v>
      </c>
      <c r="G151">
        <v>3.6799000199999998</v>
      </c>
      <c r="H151">
        <v>11.08088704</v>
      </c>
    </row>
    <row r="152" spans="1:8" x14ac:dyDescent="0.35">
      <c r="A152" t="s">
        <v>159</v>
      </c>
      <c r="B152">
        <f t="shared" si="8"/>
        <v>11.366628478320768</v>
      </c>
      <c r="C152">
        <f t="shared" si="9"/>
        <v>11.866333965731865</v>
      </c>
      <c r="D152">
        <v>15.27167524</v>
      </c>
      <c r="E152">
        <f t="shared" si="10"/>
        <v>17.945394841914066</v>
      </c>
      <c r="F152">
        <f t="shared" si="11"/>
        <v>19.28085120545359</v>
      </c>
      <c r="G152">
        <v>3.568668749</v>
      </c>
      <c r="H152">
        <v>10.960991160000001</v>
      </c>
    </row>
    <row r="153" spans="1:8" x14ac:dyDescent="0.35">
      <c r="A153" t="s">
        <v>160</v>
      </c>
      <c r="B153">
        <f t="shared" si="8"/>
        <v>11.271494206619016</v>
      </c>
      <c r="C153">
        <f t="shared" si="9"/>
        <v>11.686056742052813</v>
      </c>
      <c r="D153">
        <v>16.678517920000001</v>
      </c>
      <c r="E153">
        <f t="shared" si="10"/>
        <v>19.118443814808671</v>
      </c>
      <c r="F153">
        <f t="shared" si="11"/>
        <v>20.084401513942112</v>
      </c>
      <c r="G153">
        <v>3.5344594009999999</v>
      </c>
      <c r="H153">
        <v>10.87310782</v>
      </c>
    </row>
    <row r="154" spans="1:8" x14ac:dyDescent="0.35">
      <c r="A154" t="s">
        <v>161</v>
      </c>
      <c r="B154">
        <f t="shared" si="8"/>
        <v>11.191781609372665</v>
      </c>
      <c r="C154">
        <f t="shared" si="9"/>
        <v>11.703472403357916</v>
      </c>
      <c r="D154">
        <v>16.54071879</v>
      </c>
      <c r="E154">
        <f t="shared" si="10"/>
        <v>20.101336505885747</v>
      </c>
      <c r="F154">
        <f t="shared" si="11"/>
        <v>20.768211552967134</v>
      </c>
      <c r="G154">
        <v>3.5033183550000002</v>
      </c>
      <c r="H154">
        <v>10.799697869999999</v>
      </c>
    </row>
    <row r="155" spans="1:8" x14ac:dyDescent="0.35">
      <c r="A155" t="s">
        <v>162</v>
      </c>
      <c r="B155">
        <f t="shared" si="8"/>
        <v>11.311963090707041</v>
      </c>
      <c r="C155">
        <f t="shared" si="9"/>
        <v>11.740552972167096</v>
      </c>
      <c r="D155">
        <v>16.248685519999999</v>
      </c>
      <c r="E155">
        <f t="shared" si="10"/>
        <v>18.619444011010586</v>
      </c>
      <c r="F155">
        <f t="shared" si="11"/>
        <v>19.740929790547295</v>
      </c>
      <c r="G155">
        <v>3.3578544030000002</v>
      </c>
      <c r="H155">
        <v>10.932123839999999</v>
      </c>
    </row>
    <row r="156" spans="1:8" x14ac:dyDescent="0.35">
      <c r="A156" t="s">
        <v>163</v>
      </c>
      <c r="B156">
        <f t="shared" si="8"/>
        <v>11.47649008347611</v>
      </c>
      <c r="C156">
        <f t="shared" si="9"/>
        <v>11.825062883171459</v>
      </c>
      <c r="D156">
        <v>15.58995943</v>
      </c>
      <c r="E156">
        <f t="shared" si="10"/>
        <v>16.590751128531313</v>
      </c>
      <c r="F156">
        <f t="shared" si="11"/>
        <v>18.369481851315488</v>
      </c>
      <c r="G156">
        <v>3.2155050959999998</v>
      </c>
      <c r="H156">
        <v>11.107462959999999</v>
      </c>
    </row>
    <row r="157" spans="1:8" x14ac:dyDescent="0.35">
      <c r="A157" t="s">
        <v>164</v>
      </c>
      <c r="B157">
        <f t="shared" si="8"/>
        <v>11.445484422887645</v>
      </c>
      <c r="C157">
        <f t="shared" si="9"/>
        <v>11.903123664139079</v>
      </c>
      <c r="D157">
        <v>14.98981232</v>
      </c>
      <c r="E157">
        <f t="shared" si="10"/>
        <v>16.973065069202882</v>
      </c>
      <c r="F157">
        <f t="shared" si="11"/>
        <v>18.624920704598352</v>
      </c>
      <c r="G157">
        <v>3.0372881569999999</v>
      </c>
      <c r="H157">
        <v>11.097852079999999</v>
      </c>
    </row>
    <row r="158" spans="1:8" x14ac:dyDescent="0.35">
      <c r="A158" t="s">
        <v>165</v>
      </c>
      <c r="B158">
        <f t="shared" si="8"/>
        <v>11.432536811551998</v>
      </c>
      <c r="C158">
        <f t="shared" si="9"/>
        <v>11.928874612220822</v>
      </c>
      <c r="D158">
        <v>14.793556730000001</v>
      </c>
      <c r="E158">
        <f t="shared" si="10"/>
        <v>17.132715024019745</v>
      </c>
      <c r="F158">
        <f t="shared" si="11"/>
        <v>18.73199916022029</v>
      </c>
      <c r="G158">
        <v>2.7059871019999999</v>
      </c>
      <c r="H158">
        <v>11.12317384</v>
      </c>
    </row>
    <row r="159" spans="1:8" x14ac:dyDescent="0.35">
      <c r="A159" t="s">
        <v>166</v>
      </c>
      <c r="B159">
        <f t="shared" si="8"/>
        <v>11.524842590850502</v>
      </c>
      <c r="C159">
        <f t="shared" si="9"/>
        <v>11.935546930439031</v>
      </c>
      <c r="D159">
        <v>14.74284316</v>
      </c>
      <c r="E159">
        <f t="shared" si="10"/>
        <v>15.994542652891452</v>
      </c>
      <c r="F159">
        <f t="shared" si="11"/>
        <v>17.973874691150595</v>
      </c>
      <c r="G159">
        <v>2.6794694020000001</v>
      </c>
      <c r="H159">
        <v>11.21603796</v>
      </c>
    </row>
    <row r="160" spans="1:8" x14ac:dyDescent="0.35">
      <c r="A160" t="s">
        <v>167</v>
      </c>
      <c r="B160">
        <f t="shared" si="8"/>
        <v>11.830259859763585</v>
      </c>
      <c r="C160">
        <f t="shared" si="9"/>
        <v>11.967645349261188</v>
      </c>
      <c r="D160">
        <v>14.499666530000001</v>
      </c>
      <c r="E160">
        <f t="shared" si="10"/>
        <v>12.228608387625332</v>
      </c>
      <c r="F160">
        <f t="shared" si="11"/>
        <v>15.549757930797314</v>
      </c>
      <c r="G160">
        <v>2.6750190909999998</v>
      </c>
      <c r="H160">
        <v>11.51379815</v>
      </c>
    </row>
    <row r="161" spans="1:8" x14ac:dyDescent="0.35">
      <c r="A161" t="s">
        <v>168</v>
      </c>
      <c r="B161">
        <f t="shared" si="8"/>
        <v>12.066965324524514</v>
      </c>
      <c r="C161">
        <f t="shared" si="9"/>
        <v>12.011728100521493</v>
      </c>
      <c r="D161">
        <v>14.16781508</v>
      </c>
      <c r="E161">
        <f t="shared" si="10"/>
        <v>9.3099220157273184</v>
      </c>
      <c r="F161">
        <f t="shared" si="11"/>
        <v>13.755416160588327</v>
      </c>
      <c r="G161">
        <v>2.6170914230000002</v>
      </c>
      <c r="H161">
        <v>11.751161809999999</v>
      </c>
    </row>
    <row r="162" spans="1:8" x14ac:dyDescent="0.35">
      <c r="A162" t="s">
        <v>169</v>
      </c>
      <c r="B162">
        <f t="shared" si="8"/>
        <v>12.131581664990305</v>
      </c>
      <c r="C162">
        <f t="shared" si="9"/>
        <v>12.040643587434126</v>
      </c>
      <c r="D162">
        <v>13.951461269999999</v>
      </c>
      <c r="E162">
        <f t="shared" si="10"/>
        <v>8.5131730580726739</v>
      </c>
      <c r="F162">
        <f t="shared" si="11"/>
        <v>13.277759212925497</v>
      </c>
      <c r="G162">
        <v>2.6131802409999998</v>
      </c>
      <c r="H162">
        <v>11.81456157</v>
      </c>
    </row>
    <row r="163" spans="1:8" x14ac:dyDescent="0.35">
      <c r="A163" t="s">
        <v>170</v>
      </c>
      <c r="B163">
        <f t="shared" si="8"/>
        <v>12.17525642016861</v>
      </c>
      <c r="C163">
        <f t="shared" si="9"/>
        <v>12.032934036478011</v>
      </c>
      <c r="D163">
        <v>14.009044640000001</v>
      </c>
      <c r="E163">
        <f t="shared" si="10"/>
        <v>7.9746434011268672</v>
      </c>
      <c r="F163">
        <f t="shared" si="11"/>
        <v>12.957778229907813</v>
      </c>
      <c r="G163">
        <v>2.5679905160000001</v>
      </c>
      <c r="H163">
        <v>11.86259699</v>
      </c>
    </row>
    <row r="164" spans="1:8" x14ac:dyDescent="0.35">
      <c r="A164" t="s">
        <v>171</v>
      </c>
      <c r="B164">
        <f t="shared" si="8"/>
        <v>12.151808234568996</v>
      </c>
      <c r="C164">
        <f t="shared" si="9"/>
        <v>12.050325686676288</v>
      </c>
      <c r="D164">
        <v>13.879249120000001</v>
      </c>
      <c r="E164">
        <f t="shared" si="10"/>
        <v>8.2637702272626754</v>
      </c>
      <c r="F164">
        <f t="shared" si="11"/>
        <v>13.129284282302539</v>
      </c>
      <c r="G164">
        <v>2.3916775920000002</v>
      </c>
      <c r="H164">
        <v>11.861176159999999</v>
      </c>
    </row>
    <row r="165" spans="1:8" x14ac:dyDescent="0.35">
      <c r="A165" t="s">
        <v>172</v>
      </c>
      <c r="B165">
        <f t="shared" si="8"/>
        <v>12.213729819340982</v>
      </c>
      <c r="C165">
        <f t="shared" si="9"/>
        <v>12.081503466197958</v>
      </c>
      <c r="D165">
        <v>13.64750184</v>
      </c>
      <c r="E165">
        <f t="shared" si="10"/>
        <v>7.5002488367326459</v>
      </c>
      <c r="F165">
        <f t="shared" si="11"/>
        <v>12.677800579310375</v>
      </c>
      <c r="G165">
        <v>2.3727581469999999</v>
      </c>
      <c r="H165">
        <v>11.92392755</v>
      </c>
    </row>
    <row r="166" spans="1:8" x14ac:dyDescent="0.35">
      <c r="A166" t="s">
        <v>173</v>
      </c>
      <c r="B166">
        <f t="shared" si="8"/>
        <v>12.275484000649898</v>
      </c>
      <c r="C166">
        <f t="shared" si="9"/>
        <v>12.112977657074966</v>
      </c>
      <c r="D166">
        <v>13.414761370000001</v>
      </c>
      <c r="E166">
        <f t="shared" si="10"/>
        <v>6.7387916072762115</v>
      </c>
      <c r="F166">
        <f t="shared" si="11"/>
        <v>12.232073861997726</v>
      </c>
      <c r="G166">
        <v>2.3302334199999999</v>
      </c>
      <c r="H166">
        <v>11.989436570000001</v>
      </c>
    </row>
    <row r="167" spans="1:8" x14ac:dyDescent="0.35">
      <c r="A167" t="s">
        <v>174</v>
      </c>
      <c r="B167">
        <f t="shared" si="8"/>
        <v>12.311829934406484</v>
      </c>
      <c r="C167">
        <f t="shared" si="9"/>
        <v>12.132715249539187</v>
      </c>
      <c r="D167">
        <v>13.26942494</v>
      </c>
      <c r="E167">
        <f t="shared" si="10"/>
        <v>6.2906296620655366</v>
      </c>
      <c r="F167">
        <f t="shared" si="11"/>
        <v>11.971828001717677</v>
      </c>
      <c r="G167">
        <v>2.2372797210000002</v>
      </c>
      <c r="H167">
        <v>12.03637986</v>
      </c>
    </row>
    <row r="168" spans="1:8" x14ac:dyDescent="0.35">
      <c r="A168" t="s">
        <v>175</v>
      </c>
      <c r="B168">
        <f t="shared" si="8"/>
        <v>12.264398457414643</v>
      </c>
      <c r="C168">
        <f t="shared" si="9"/>
        <v>12.141454509408868</v>
      </c>
      <c r="D168">
        <v>13.205224919999999</v>
      </c>
      <c r="E168">
        <f t="shared" si="10"/>
        <v>6.8754814128897186</v>
      </c>
      <c r="F168">
        <f t="shared" si="11"/>
        <v>12.311756065492</v>
      </c>
      <c r="G168">
        <v>2.2132306640000001</v>
      </c>
      <c r="H168">
        <v>11.99295903</v>
      </c>
    </row>
    <row r="169" spans="1:8" x14ac:dyDescent="0.35">
      <c r="A169" t="s">
        <v>176</v>
      </c>
      <c r="B169">
        <f t="shared" si="8"/>
        <v>12.169304471453886</v>
      </c>
      <c r="C169">
        <f t="shared" si="9"/>
        <v>12.120989840005937</v>
      </c>
      <c r="D169">
        <v>13.355707130000001</v>
      </c>
      <c r="E169">
        <f t="shared" si="10"/>
        <v>8.0480336442184104</v>
      </c>
      <c r="F169">
        <f t="shared" si="11"/>
        <v>13.001249721149616</v>
      </c>
      <c r="G169">
        <v>2.128209316</v>
      </c>
      <c r="H169">
        <v>11.9103162</v>
      </c>
    </row>
    <row r="170" spans="1:8" x14ac:dyDescent="0.35">
      <c r="A170" t="s">
        <v>177</v>
      </c>
      <c r="B170">
        <f t="shared" si="8"/>
        <v>12.129179725977586</v>
      </c>
      <c r="C170">
        <f t="shared" si="9"/>
        <v>12.123307916065064</v>
      </c>
      <c r="D170">
        <v>13.33863618</v>
      </c>
      <c r="E170">
        <f t="shared" si="10"/>
        <v>8.5427900619286419</v>
      </c>
      <c r="F170">
        <f t="shared" si="11"/>
        <v>13.295423753653226</v>
      </c>
      <c r="G170">
        <v>2.017819931</v>
      </c>
      <c r="H170">
        <v>11.88443472</v>
      </c>
    </row>
    <row r="171" spans="1:8" x14ac:dyDescent="0.35">
      <c r="A171" t="s">
        <v>178</v>
      </c>
      <c r="B171">
        <f t="shared" si="8"/>
        <v>12.189021785987663</v>
      </c>
      <c r="C171">
        <f t="shared" si="9"/>
        <v>12.144108247328736</v>
      </c>
      <c r="D171">
        <v>13.185748419999999</v>
      </c>
      <c r="E171">
        <f t="shared" si="10"/>
        <v>7.8049101604480429</v>
      </c>
      <c r="F171">
        <f t="shared" si="11"/>
        <v>12.857402198875187</v>
      </c>
      <c r="G171">
        <v>2.0107710060000001</v>
      </c>
      <c r="H171">
        <v>11.943928469999999</v>
      </c>
    </row>
    <row r="172" spans="1:8" x14ac:dyDescent="0.35">
      <c r="A172" t="s">
        <v>179</v>
      </c>
      <c r="B172">
        <f t="shared" si="8"/>
        <v>12.21974945384536</v>
      </c>
      <c r="C172">
        <f t="shared" si="9"/>
        <v>12.158760699118959</v>
      </c>
      <c r="D172">
        <v>13.07836318</v>
      </c>
      <c r="E172">
        <f t="shared" si="10"/>
        <v>7.4260239969745925</v>
      </c>
      <c r="F172">
        <f t="shared" si="11"/>
        <v>12.634154147560931</v>
      </c>
      <c r="G172">
        <v>1.9353984689999999</v>
      </c>
      <c r="H172">
        <v>11.98324861</v>
      </c>
    </row>
    <row r="173" spans="1:8" x14ac:dyDescent="0.35">
      <c r="A173" t="s">
        <v>180</v>
      </c>
      <c r="B173">
        <f t="shared" si="8"/>
        <v>12.114168130997315</v>
      </c>
      <c r="C173">
        <f t="shared" si="9"/>
        <v>12.172482237734782</v>
      </c>
      <c r="D173">
        <v>12.97803485</v>
      </c>
      <c r="E173">
        <f t="shared" si="10"/>
        <v>8.7278898767285291</v>
      </c>
      <c r="F173">
        <f t="shared" si="11"/>
        <v>13.405981974675582</v>
      </c>
      <c r="G173">
        <v>1.8706714200000001</v>
      </c>
      <c r="H173">
        <v>11.887551849999999</v>
      </c>
    </row>
    <row r="174" spans="1:8" x14ac:dyDescent="0.35">
      <c r="A174" t="s">
        <v>181</v>
      </c>
      <c r="B174">
        <f t="shared" si="8"/>
        <v>12.117909705235011</v>
      </c>
      <c r="C174">
        <f t="shared" si="9"/>
        <v>12.182772750593317</v>
      </c>
      <c r="D174">
        <v>12.902941589999999</v>
      </c>
      <c r="E174">
        <f t="shared" si="10"/>
        <v>8.6817545593710026</v>
      </c>
      <c r="F174">
        <f t="shared" si="11"/>
        <v>13.378400194724613</v>
      </c>
      <c r="G174">
        <v>1.8312922</v>
      </c>
      <c r="H174">
        <v>11.89599537</v>
      </c>
    </row>
    <row r="175" spans="1:8" x14ac:dyDescent="0.35">
      <c r="A175" t="s">
        <v>182</v>
      </c>
      <c r="B175">
        <f t="shared" si="8"/>
        <v>12.126282462939733</v>
      </c>
      <c r="C175">
        <f t="shared" si="9"/>
        <v>12.196926158676359</v>
      </c>
      <c r="D175">
        <v>12.7998665</v>
      </c>
      <c r="E175">
        <f t="shared" si="10"/>
        <v>8.5785146369946563</v>
      </c>
      <c r="F175">
        <f t="shared" si="11"/>
        <v>13.316740359060292</v>
      </c>
      <c r="G175">
        <v>1.7989624900000001</v>
      </c>
      <c r="H175">
        <v>11.908135189999999</v>
      </c>
    </row>
    <row r="176" spans="1:8" x14ac:dyDescent="0.35">
      <c r="A176" t="s">
        <v>183</v>
      </c>
      <c r="B176">
        <f t="shared" si="8"/>
        <v>12.067270819760813</v>
      </c>
      <c r="C176">
        <f t="shared" si="9"/>
        <v>12.220316744881067</v>
      </c>
      <c r="D176">
        <v>12.63004312</v>
      </c>
      <c r="E176">
        <f t="shared" si="10"/>
        <v>9.3061551200886115</v>
      </c>
      <c r="F176">
        <f t="shared" si="11"/>
        <v>13.753145843333087</v>
      </c>
      <c r="G176">
        <v>1.743643388</v>
      </c>
      <c r="H176">
        <v>11.85686065</v>
      </c>
    </row>
    <row r="177" spans="1:8" x14ac:dyDescent="0.35">
      <c r="A177" t="s">
        <v>184</v>
      </c>
      <c r="B177">
        <f t="shared" si="8"/>
        <v>11.772910041370041</v>
      </c>
      <c r="C177">
        <f t="shared" si="9"/>
        <v>12.148201544571215</v>
      </c>
      <c r="D177">
        <v>13.155723289999999</v>
      </c>
      <c r="E177">
        <f t="shared" si="10"/>
        <v>12.935757812946461</v>
      </c>
      <c r="F177">
        <f t="shared" si="11"/>
        <v>15.995355865070964</v>
      </c>
      <c r="G177">
        <v>1.7267148109999999</v>
      </c>
      <c r="H177">
        <v>11.569625459999999</v>
      </c>
    </row>
    <row r="178" spans="1:8" x14ac:dyDescent="0.35">
      <c r="A178" t="s">
        <v>185</v>
      </c>
      <c r="B178">
        <f t="shared" si="8"/>
        <v>11.534795343010209</v>
      </c>
      <c r="C178">
        <f t="shared" si="9"/>
        <v>12.039944967538377</v>
      </c>
      <c r="D178">
        <v>13.956676290000001</v>
      </c>
      <c r="E178">
        <f t="shared" si="10"/>
        <v>15.871820678049193</v>
      </c>
      <c r="F178">
        <f t="shared" si="11"/>
        <v>17.892855570463855</v>
      </c>
      <c r="G178">
        <v>1.7097862349999999</v>
      </c>
      <c r="H178">
        <v>11.337574999999999</v>
      </c>
    </row>
    <row r="179" spans="1:8" x14ac:dyDescent="0.35">
      <c r="A179" t="s">
        <v>186</v>
      </c>
      <c r="B179">
        <f t="shared" si="8"/>
        <v>11.322255811354019</v>
      </c>
      <c r="C179">
        <f t="shared" si="9"/>
        <v>12.01223579546013</v>
      </c>
      <c r="D179">
        <v>14.164007379999999</v>
      </c>
      <c r="E179">
        <f t="shared" si="10"/>
        <v>18.492530069617512</v>
      </c>
      <c r="F179">
        <f t="shared" si="11"/>
        <v>19.653963994805885</v>
      </c>
      <c r="G179">
        <v>1.7097862349999999</v>
      </c>
      <c r="H179">
        <v>11.128669439999999</v>
      </c>
    </row>
    <row r="180" spans="1:8" x14ac:dyDescent="0.35">
      <c r="A180" t="s">
        <v>187</v>
      </c>
      <c r="B180">
        <f t="shared" si="8"/>
        <v>11.251140330700592</v>
      </c>
      <c r="C180">
        <f t="shared" si="9"/>
        <v>11.936627500756828</v>
      </c>
      <c r="D180">
        <v>14.734635519999999</v>
      </c>
      <c r="E180">
        <f t="shared" si="10"/>
        <v>19.369416390868153</v>
      </c>
      <c r="F180">
        <f t="shared" si="11"/>
        <v>20.258084917331786</v>
      </c>
      <c r="G180">
        <v>1.6928576580000001</v>
      </c>
      <c r="H180">
        <v>11.060674540000001</v>
      </c>
    </row>
    <row r="181" spans="1:8" x14ac:dyDescent="0.35">
      <c r="A181" t="s">
        <v>188</v>
      </c>
      <c r="B181">
        <f t="shared" si="8"/>
        <v>11.07296481280115</v>
      </c>
      <c r="C181">
        <f t="shared" si="9"/>
        <v>11.614875192611905</v>
      </c>
      <c r="D181">
        <v>17.246028720000002</v>
      </c>
      <c r="E181">
        <f t="shared" si="10"/>
        <v>21.566401815028968</v>
      </c>
      <c r="F181">
        <f t="shared" si="11"/>
        <v>21.805749343346388</v>
      </c>
      <c r="G181">
        <v>1.6928576580000001</v>
      </c>
      <c r="H181">
        <v>10.88551528</v>
      </c>
    </row>
    <row r="182" spans="1:8" x14ac:dyDescent="0.35">
      <c r="A182" t="s">
        <v>189</v>
      </c>
      <c r="B182">
        <f t="shared" si="8"/>
        <v>11.001530054016591</v>
      </c>
      <c r="C182">
        <f t="shared" si="9"/>
        <v>11.431483608060084</v>
      </c>
      <c r="D182">
        <v>18.74071996</v>
      </c>
      <c r="E182">
        <f t="shared" si="10"/>
        <v>22.44722498129973</v>
      </c>
      <c r="F182">
        <f t="shared" si="11"/>
        <v>22.440322657875399</v>
      </c>
      <c r="G182">
        <v>1.6928576580000001</v>
      </c>
      <c r="H182">
        <v>10.815289809999999</v>
      </c>
    </row>
    <row r="183" spans="1:8" x14ac:dyDescent="0.35">
      <c r="A183" t="s">
        <v>190</v>
      </c>
      <c r="B183">
        <f t="shared" si="8"/>
        <v>10.858611343684011</v>
      </c>
      <c r="C183">
        <f t="shared" si="9"/>
        <v>11.25474448602184</v>
      </c>
      <c r="D183">
        <v>20.227284220000001</v>
      </c>
      <c r="E183">
        <f t="shared" si="10"/>
        <v>24.209477883057808</v>
      </c>
      <c r="F183">
        <f t="shared" si="11"/>
        <v>23.734968383507073</v>
      </c>
      <c r="G183">
        <v>1.6928576580000001</v>
      </c>
      <c r="H183">
        <v>10.674790509999999</v>
      </c>
    </row>
    <row r="184" spans="1:8" x14ac:dyDescent="0.35">
      <c r="A184" t="s">
        <v>191</v>
      </c>
      <c r="B184">
        <f t="shared" si="8"/>
        <v>10.709662298363792</v>
      </c>
      <c r="C184">
        <f t="shared" si="9"/>
        <v>11.14235709249602</v>
      </c>
      <c r="D184">
        <v>21.19711088</v>
      </c>
      <c r="E184">
        <f t="shared" si="10"/>
        <v>26.046087566414389</v>
      </c>
      <c r="F184">
        <f t="shared" si="11"/>
        <v>25.12101197771565</v>
      </c>
      <c r="G184">
        <v>1.6928576580000001</v>
      </c>
      <c r="H184">
        <v>10.528362960000001</v>
      </c>
    </row>
    <row r="185" spans="1:8" x14ac:dyDescent="0.35">
      <c r="A185" t="s">
        <v>192</v>
      </c>
      <c r="B185">
        <f t="shared" si="8"/>
        <v>10.635842972248566</v>
      </c>
      <c r="C185">
        <f t="shared" si="9"/>
        <v>10.676737697289763</v>
      </c>
      <c r="D185">
        <v>25.43261051</v>
      </c>
      <c r="E185">
        <f t="shared" si="10"/>
        <v>26.95631353577599</v>
      </c>
      <c r="F185">
        <f t="shared" si="11"/>
        <v>25.822324533888018</v>
      </c>
      <c r="G185">
        <v>1.6928576580000001</v>
      </c>
      <c r="H185">
        <v>10.455793290000001</v>
      </c>
    </row>
    <row r="186" spans="1:8" x14ac:dyDescent="0.35">
      <c r="A186" t="s">
        <v>193</v>
      </c>
      <c r="B186">
        <f t="shared" si="8"/>
        <v>10.539657509272695</v>
      </c>
      <c r="C186">
        <f t="shared" si="9"/>
        <v>10.594314241972361</v>
      </c>
      <c r="D186">
        <v>26.221159400000001</v>
      </c>
      <c r="E186">
        <f t="shared" si="10"/>
        <v>28.142324176662193</v>
      </c>
      <c r="F186">
        <f t="shared" si="11"/>
        <v>26.750863761968031</v>
      </c>
      <c r="G186">
        <v>1.6928576580000001</v>
      </c>
      <c r="H186">
        <v>10.36123611</v>
      </c>
    </row>
    <row r="187" spans="1:8" x14ac:dyDescent="0.35">
      <c r="A187" t="s">
        <v>194</v>
      </c>
      <c r="B187">
        <f t="shared" si="8"/>
        <v>10.536282790080413</v>
      </c>
      <c r="C187">
        <f t="shared" si="9"/>
        <v>10.521754802773639</v>
      </c>
      <c r="D187">
        <v>26.9255639</v>
      </c>
      <c r="E187">
        <f t="shared" si="10"/>
        <v>28.183936003940637</v>
      </c>
      <c r="F187">
        <f t="shared" si="11"/>
        <v>26.783749906119247</v>
      </c>
      <c r="G187">
        <v>1.6928576580000001</v>
      </c>
      <c r="H187">
        <v>10.35791852</v>
      </c>
    </row>
    <row r="188" spans="1:8" x14ac:dyDescent="0.35">
      <c r="A188" t="s">
        <v>195</v>
      </c>
      <c r="B188">
        <f t="shared" si="8"/>
        <v>10.556874671318884</v>
      </c>
      <c r="C188">
        <f t="shared" si="9"/>
        <v>10.498871473431096</v>
      </c>
      <c r="D188">
        <v>27.149733980000001</v>
      </c>
      <c r="E188">
        <f t="shared" si="10"/>
        <v>27.930028713700558</v>
      </c>
      <c r="F188">
        <f t="shared" si="11"/>
        <v>26.58341230352374</v>
      </c>
      <c r="G188">
        <v>1.6928576580000001</v>
      </c>
      <c r="H188">
        <v>10.37816181</v>
      </c>
    </row>
    <row r="189" spans="1:8" x14ac:dyDescent="0.35">
      <c r="A189" t="s">
        <v>196</v>
      </c>
      <c r="B189">
        <f t="shared" si="8"/>
        <v>10.438955548416587</v>
      </c>
      <c r="C189">
        <f t="shared" si="9"/>
        <v>10.5826777773916</v>
      </c>
      <c r="D189">
        <v>26.333475459999999</v>
      </c>
      <c r="E189">
        <f t="shared" si="10"/>
        <v>29.384025296959461</v>
      </c>
      <c r="F189">
        <f t="shared" si="11"/>
        <v>27.741338975976284</v>
      </c>
      <c r="G189">
        <v>1.6928576580000001</v>
      </c>
      <c r="H189">
        <v>10.262238890000001</v>
      </c>
    </row>
    <row r="190" spans="1:8" x14ac:dyDescent="0.35">
      <c r="A190" t="s">
        <v>197</v>
      </c>
      <c r="B190">
        <f t="shared" si="8"/>
        <v>10.315725224440174</v>
      </c>
      <c r="C190">
        <f t="shared" si="9"/>
        <v>10.200868239290408</v>
      </c>
      <c r="D190">
        <v>30.160870540000001</v>
      </c>
      <c r="E190">
        <f t="shared" si="10"/>
        <v>30.903511412574911</v>
      </c>
      <c r="F190">
        <f t="shared" si="11"/>
        <v>28.979707794540506</v>
      </c>
      <c r="G190">
        <v>1.6928576580000001</v>
      </c>
      <c r="H190">
        <v>10.14109468</v>
      </c>
    </row>
    <row r="191" spans="1:8" x14ac:dyDescent="0.35">
      <c r="A191" t="s">
        <v>198</v>
      </c>
      <c r="B191">
        <f t="shared" si="8"/>
        <v>10.202095616927643</v>
      </c>
      <c r="C191">
        <f t="shared" si="9"/>
        <v>10.15830959488879</v>
      </c>
      <c r="D191">
        <v>30.605315959999999</v>
      </c>
      <c r="E191">
        <f t="shared" si="10"/>
        <v>32.30461631408577</v>
      </c>
      <c r="F191">
        <f t="shared" si="11"/>
        <v>30.14810788850285</v>
      </c>
      <c r="G191">
        <v>1.6928576580000001</v>
      </c>
      <c r="H191">
        <v>10.02938866</v>
      </c>
    </row>
    <row r="192" spans="1:8" x14ac:dyDescent="0.35">
      <c r="A192" t="s">
        <v>199</v>
      </c>
      <c r="B192">
        <f t="shared" si="8"/>
        <v>10.322782422762412</v>
      </c>
      <c r="C192">
        <f t="shared" si="9"/>
        <v>10.310767125276952</v>
      </c>
      <c r="D192">
        <v>29.030152279999999</v>
      </c>
      <c r="E192">
        <f t="shared" si="10"/>
        <v>30.81649293757814</v>
      </c>
      <c r="F192">
        <f t="shared" si="11"/>
        <v>28.907990315569325</v>
      </c>
      <c r="G192">
        <v>1.6928576580000001</v>
      </c>
      <c r="H192">
        <v>10.148032410000001</v>
      </c>
    </row>
    <row r="193" spans="1:8" x14ac:dyDescent="0.35">
      <c r="A193" t="s">
        <v>200</v>
      </c>
      <c r="B193">
        <f t="shared" si="8"/>
        <v>10.513122896040576</v>
      </c>
      <c r="C193">
        <f t="shared" si="9"/>
        <v>10.228087746524118</v>
      </c>
      <c r="D193">
        <v>29.878552970000001</v>
      </c>
      <c r="E193">
        <f t="shared" si="10"/>
        <v>28.46950806361804</v>
      </c>
      <c r="F193">
        <f t="shared" si="11"/>
        <v>27.010009310807128</v>
      </c>
      <c r="G193">
        <v>1.6928576580000001</v>
      </c>
      <c r="H193">
        <v>10.335150690000001</v>
      </c>
    </row>
    <row r="194" spans="1:8" x14ac:dyDescent="0.35">
      <c r="A194" t="s">
        <v>201</v>
      </c>
      <c r="B194">
        <f t="shared" si="8"/>
        <v>10.69256570741465</v>
      </c>
      <c r="C194">
        <f t="shared" si="9"/>
        <v>10.344412204529162</v>
      </c>
      <c r="D194">
        <v>28.688791210000002</v>
      </c>
      <c r="E194">
        <f t="shared" si="10"/>
        <v>26.256896332741668</v>
      </c>
      <c r="F194">
        <f t="shared" si="11"/>
        <v>25.282574657556744</v>
      </c>
      <c r="G194">
        <v>1.6928576580000001</v>
      </c>
      <c r="H194">
        <v>10.511555789999999</v>
      </c>
    </row>
    <row r="195" spans="1:8" x14ac:dyDescent="0.35">
      <c r="A195" t="s">
        <v>202</v>
      </c>
      <c r="B195">
        <f t="shared" si="8"/>
        <v>10.714268759188627</v>
      </c>
      <c r="C195">
        <f t="shared" si="9"/>
        <v>10.469031843770596</v>
      </c>
      <c r="D195">
        <v>27.443521619999999</v>
      </c>
      <c r="E195">
        <f t="shared" si="10"/>
        <v>25.989287802852921</v>
      </c>
      <c r="F195">
        <f t="shared" si="11"/>
        <v>25.077569128489536</v>
      </c>
      <c r="G195">
        <v>1.6928576580000001</v>
      </c>
      <c r="H195">
        <v>10.53289144</v>
      </c>
    </row>
    <row r="196" spans="1:8" x14ac:dyDescent="0.35">
      <c r="A196" t="s">
        <v>203</v>
      </c>
      <c r="B196">
        <f t="shared" si="8"/>
        <v>10.649625358428468</v>
      </c>
      <c r="C196">
        <f t="shared" si="9"/>
        <v>10.138472529252235</v>
      </c>
      <c r="D196">
        <v>30.81375194</v>
      </c>
      <c r="E196">
        <f t="shared" si="10"/>
        <v>26.786370426282755</v>
      </c>
      <c r="F196">
        <f t="shared" si="11"/>
        <v>25.690648299153157</v>
      </c>
      <c r="G196">
        <v>1.6928576580000001</v>
      </c>
      <c r="H196">
        <v>10.469342360000001</v>
      </c>
    </row>
    <row r="197" spans="1:8" x14ac:dyDescent="0.35">
      <c r="A197" t="s">
        <v>204</v>
      </c>
      <c r="B197">
        <f t="shared" si="8"/>
        <v>10.628901859082786</v>
      </c>
      <c r="C197">
        <f t="shared" si="9"/>
        <v>10.241463158269056</v>
      </c>
      <c r="D197">
        <v>29.740374639999999</v>
      </c>
      <c r="E197">
        <f t="shared" si="10"/>
        <v>27.041900627832465</v>
      </c>
      <c r="F197">
        <f t="shared" si="11"/>
        <v>25.888768881697345</v>
      </c>
      <c r="G197">
        <v>1.6928576580000001</v>
      </c>
      <c r="H197">
        <v>10.448969679999999</v>
      </c>
    </row>
    <row r="198" spans="1:8" x14ac:dyDescent="0.35">
      <c r="A198" t="s">
        <v>205</v>
      </c>
      <c r="B198">
        <f t="shared" si="8"/>
        <v>10.743646634805769</v>
      </c>
      <c r="C198">
        <f t="shared" si="9"/>
        <v>10.362501088486139</v>
      </c>
      <c r="D198">
        <v>28.506178670000001</v>
      </c>
      <c r="E198">
        <f t="shared" si="10"/>
        <v>25.627045193517016</v>
      </c>
      <c r="F198">
        <f t="shared" si="11"/>
        <v>24.801387130170617</v>
      </c>
      <c r="G198">
        <v>1.6928576580000001</v>
      </c>
      <c r="H198">
        <v>10.56177199</v>
      </c>
    </row>
    <row r="199" spans="1:8" x14ac:dyDescent="0.35">
      <c r="A199" t="s">
        <v>206</v>
      </c>
      <c r="B199">
        <f t="shared" si="8"/>
        <v>10.794774425526349</v>
      </c>
      <c r="C199">
        <f t="shared" si="9"/>
        <v>10.342319750633768</v>
      </c>
      <c r="D199">
        <v>28.70995636</v>
      </c>
      <c r="E199">
        <f t="shared" si="10"/>
        <v>24.996616208059805</v>
      </c>
      <c r="F199">
        <f t="shared" si="11"/>
        <v>24.324318377955223</v>
      </c>
      <c r="G199">
        <v>1.6928576580000001</v>
      </c>
      <c r="H199">
        <v>10.61203426</v>
      </c>
    </row>
    <row r="200" spans="1:8" x14ac:dyDescent="0.35">
      <c r="A200" t="s">
        <v>207</v>
      </c>
      <c r="B200">
        <f t="shared" si="8"/>
        <v>10.609291646090394</v>
      </c>
      <c r="C200">
        <f t="shared" si="9"/>
        <v>10.321642145557115</v>
      </c>
      <c r="D200">
        <v>28.919571529999999</v>
      </c>
      <c r="E200">
        <f t="shared" si="10"/>
        <v>27.283703500734955</v>
      </c>
      <c r="F200">
        <f t="shared" si="11"/>
        <v>26.07695897480971</v>
      </c>
      <c r="G200">
        <v>1.6928576580000001</v>
      </c>
      <c r="H200">
        <v>10.429691439999999</v>
      </c>
    </row>
    <row r="201" spans="1:8" x14ac:dyDescent="0.35">
      <c r="A201" t="s">
        <v>208</v>
      </c>
      <c r="B201">
        <f t="shared" ref="B201:B264" si="12" xml:space="preserve"> H201/(1-$B$5*G201)</f>
        <v>10.578782672596223</v>
      </c>
      <c r="C201">
        <f t="shared" ref="C201:C264" si="13">$B$2/(1+$B$4*((D201/100)/$B$3))</f>
        <v>10.078058062379331</v>
      </c>
      <c r="D201">
        <v>31.453605799999998</v>
      </c>
      <c r="E201">
        <f t="shared" ref="E201:E264" si="14" xml:space="preserve"> (12.822 - B201)/0.0811</f>
        <v>27.659893062931893</v>
      </c>
      <c r="F201">
        <f t="shared" ref="F201:F264" si="15" xml:space="preserve"> ((($B$3 *($B$2-B201))/($B$4*B201)))*100</f>
        <v>26.371126511563087</v>
      </c>
      <c r="G201">
        <v>1.6928576580000001</v>
      </c>
      <c r="H201">
        <v>10.39969894</v>
      </c>
    </row>
    <row r="202" spans="1:8" x14ac:dyDescent="0.35">
      <c r="A202" t="s">
        <v>209</v>
      </c>
      <c r="B202">
        <f t="shared" si="12"/>
        <v>10.646554716837137</v>
      </c>
      <c r="C202">
        <f t="shared" si="13"/>
        <v>10.214731868230324</v>
      </c>
      <c r="D202">
        <v>30.016890579999998</v>
      </c>
      <c r="E202">
        <f t="shared" si="14"/>
        <v>26.824232838013092</v>
      </c>
      <c r="F202">
        <f t="shared" si="15"/>
        <v>25.719955540396931</v>
      </c>
      <c r="G202">
        <v>1.6928576580000001</v>
      </c>
      <c r="H202">
        <v>10.4663237</v>
      </c>
    </row>
    <row r="203" spans="1:8" x14ac:dyDescent="0.35">
      <c r="A203" t="s">
        <v>210</v>
      </c>
      <c r="B203">
        <f t="shared" si="12"/>
        <v>10.837403342410342</v>
      </c>
      <c r="C203">
        <f t="shared" si="13"/>
        <v>10.321657744718957</v>
      </c>
      <c r="D203">
        <v>28.919413080000002</v>
      </c>
      <c r="E203">
        <f t="shared" si="14"/>
        <v>24.470982214422406</v>
      </c>
      <c r="F203">
        <f t="shared" si="15"/>
        <v>23.929993006252616</v>
      </c>
      <c r="G203">
        <v>1.6928576580000001</v>
      </c>
      <c r="H203">
        <v>10.653941530000001</v>
      </c>
    </row>
    <row r="204" spans="1:8" x14ac:dyDescent="0.35">
      <c r="A204" t="s">
        <v>211</v>
      </c>
      <c r="B204">
        <f t="shared" si="12"/>
        <v>10.88503504940992</v>
      </c>
      <c r="C204">
        <f t="shared" si="13"/>
        <v>10.414745623874285</v>
      </c>
      <c r="D204">
        <v>27.982316730000001</v>
      </c>
      <c r="E204">
        <f t="shared" si="14"/>
        <v>23.883661536252518</v>
      </c>
      <c r="F204">
        <f t="shared" si="15"/>
        <v>23.49304445008412</v>
      </c>
      <c r="G204">
        <v>1.6928576580000001</v>
      </c>
      <c r="H204">
        <v>10.7007669</v>
      </c>
    </row>
    <row r="205" spans="1:8" x14ac:dyDescent="0.35">
      <c r="A205" t="s">
        <v>212</v>
      </c>
      <c r="B205">
        <f t="shared" si="12"/>
        <v>10.755942129999999</v>
      </c>
      <c r="C205">
        <f t="shared" si="13"/>
        <v>10.542472872353281</v>
      </c>
      <c r="D205">
        <v>26.723444570000002</v>
      </c>
      <c r="E205">
        <f t="shared" si="14"/>
        <v>25.475436128236741</v>
      </c>
      <c r="F205">
        <f t="shared" si="15"/>
        <v>24.686244781622769</v>
      </c>
      <c r="G205">
        <v>0</v>
      </c>
      <c r="H205">
        <v>10.755942129999999</v>
      </c>
    </row>
    <row r="206" spans="1:8" x14ac:dyDescent="0.35">
      <c r="A206" t="s">
        <v>213</v>
      </c>
      <c r="B206">
        <f t="shared" si="12"/>
        <v>10.85608912</v>
      </c>
      <c r="C206">
        <f t="shared" si="13"/>
        <v>10.653420909992054</v>
      </c>
      <c r="D206">
        <v>25.654445620000001</v>
      </c>
      <c r="E206">
        <f t="shared" si="14"/>
        <v>24.240578051787903</v>
      </c>
      <c r="F206">
        <f t="shared" si="15"/>
        <v>23.758122336236951</v>
      </c>
      <c r="G206">
        <v>0</v>
      </c>
      <c r="H206">
        <v>10.85608912</v>
      </c>
    </row>
    <row r="207" spans="1:8" x14ac:dyDescent="0.35">
      <c r="A207" t="s">
        <v>214</v>
      </c>
      <c r="B207">
        <f t="shared" si="12"/>
        <v>10.90647963</v>
      </c>
      <c r="C207">
        <f t="shared" si="13"/>
        <v>10.772756581360463</v>
      </c>
      <c r="D207">
        <v>24.529209720000001</v>
      </c>
      <c r="E207">
        <f t="shared" si="14"/>
        <v>23.619240073982727</v>
      </c>
      <c r="F207">
        <f t="shared" si="15"/>
        <v>23.297568935928588</v>
      </c>
      <c r="G207">
        <v>0</v>
      </c>
      <c r="H207">
        <v>10.90647963</v>
      </c>
    </row>
    <row r="208" spans="1:8" x14ac:dyDescent="0.35">
      <c r="A208" t="s">
        <v>215</v>
      </c>
      <c r="B208">
        <f t="shared" si="12"/>
        <v>10.76103958</v>
      </c>
      <c r="C208">
        <f t="shared" si="13"/>
        <v>10.852607716099843</v>
      </c>
      <c r="D208">
        <v>23.790099219999998</v>
      </c>
      <c r="E208">
        <f t="shared" si="14"/>
        <v>25.412582244143017</v>
      </c>
      <c r="F208">
        <f t="shared" si="15"/>
        <v>24.638586374760688</v>
      </c>
      <c r="G208">
        <v>0</v>
      </c>
      <c r="H208">
        <v>10.76103958</v>
      </c>
    </row>
    <row r="209" spans="1:8" x14ac:dyDescent="0.35">
      <c r="A209" t="s">
        <v>216</v>
      </c>
      <c r="B209">
        <f t="shared" si="12"/>
        <v>10.50666088</v>
      </c>
      <c r="C209">
        <f t="shared" si="13"/>
        <v>10.527372918256171</v>
      </c>
      <c r="D209">
        <v>26.870676620000001</v>
      </c>
      <c r="E209">
        <f t="shared" si="14"/>
        <v>28.549187669543759</v>
      </c>
      <c r="F209">
        <f t="shared" si="15"/>
        <v>27.073317633485388</v>
      </c>
      <c r="G209">
        <v>0</v>
      </c>
      <c r="H209">
        <v>10.50666088</v>
      </c>
    </row>
    <row r="210" spans="1:8" x14ac:dyDescent="0.35">
      <c r="A210" t="s">
        <v>217</v>
      </c>
      <c r="B210">
        <f t="shared" si="12"/>
        <v>10.32777847</v>
      </c>
      <c r="C210">
        <f t="shared" si="13"/>
        <v>10.340634143349947</v>
      </c>
      <c r="D210">
        <v>28.72701249</v>
      </c>
      <c r="E210">
        <f t="shared" si="14"/>
        <v>30.754889395807631</v>
      </c>
      <c r="F210">
        <f t="shared" si="15"/>
        <v>28.857278158926764</v>
      </c>
      <c r="G210">
        <v>0</v>
      </c>
      <c r="H210">
        <v>10.32777847</v>
      </c>
    </row>
    <row r="211" spans="1:8" x14ac:dyDescent="0.35">
      <c r="A211" t="s">
        <v>218</v>
      </c>
      <c r="B211">
        <f t="shared" si="12"/>
        <v>10.320059949999999</v>
      </c>
      <c r="C211">
        <f t="shared" si="13"/>
        <v>10.473152444710681</v>
      </c>
      <c r="D211">
        <v>27.4028524</v>
      </c>
      <c r="E211">
        <f t="shared" si="14"/>
        <v>30.850062268803942</v>
      </c>
      <c r="F211">
        <f t="shared" si="15"/>
        <v>28.935645323118003</v>
      </c>
      <c r="G211">
        <v>0</v>
      </c>
      <c r="H211">
        <v>10.320059949999999</v>
      </c>
    </row>
    <row r="212" spans="1:8" x14ac:dyDescent="0.35">
      <c r="A212" t="s">
        <v>219</v>
      </c>
      <c r="B212">
        <f t="shared" si="12"/>
        <v>10.35745</v>
      </c>
      <c r="C212">
        <f t="shared" si="13"/>
        <v>10.553234207686906</v>
      </c>
      <c r="D212">
        <v>26.618773340000001</v>
      </c>
      <c r="E212">
        <f t="shared" si="14"/>
        <v>30.389025893958063</v>
      </c>
      <c r="F212">
        <f t="shared" si="15"/>
        <v>28.557106687876395</v>
      </c>
      <c r="G212">
        <v>0</v>
      </c>
      <c r="H212">
        <v>10.35745</v>
      </c>
    </row>
    <row r="213" spans="1:8" x14ac:dyDescent="0.35">
      <c r="A213" t="s">
        <v>220</v>
      </c>
      <c r="B213">
        <f t="shared" si="12"/>
        <v>10.314901389999999</v>
      </c>
      <c r="C213">
        <f t="shared" si="13"/>
        <v>10.61747036173012</v>
      </c>
      <c r="D213">
        <v>25.998387139999998</v>
      </c>
      <c r="E213">
        <f t="shared" si="14"/>
        <v>30.913669667077677</v>
      </c>
      <c r="F213">
        <f t="shared" si="15"/>
        <v>28.988086257022243</v>
      </c>
      <c r="G213">
        <v>0</v>
      </c>
      <c r="H213">
        <v>10.314901389999999</v>
      </c>
    </row>
    <row r="214" spans="1:8" x14ac:dyDescent="0.35">
      <c r="A214" t="s">
        <v>221</v>
      </c>
      <c r="B214">
        <f t="shared" si="12"/>
        <v>10.251849310000001</v>
      </c>
      <c r="C214">
        <f t="shared" si="13"/>
        <v>10.612359374696092</v>
      </c>
      <c r="D214">
        <v>26.04747352</v>
      </c>
      <c r="E214">
        <f t="shared" si="14"/>
        <v>31.691130579531421</v>
      </c>
      <c r="F214">
        <f t="shared" si="15"/>
        <v>29.633326364943823</v>
      </c>
      <c r="G214">
        <v>0</v>
      </c>
      <c r="H214">
        <v>10.251849310000001</v>
      </c>
    </row>
    <row r="215" spans="1:8" x14ac:dyDescent="0.35">
      <c r="A215" t="s">
        <v>222</v>
      </c>
      <c r="B215">
        <f t="shared" si="12"/>
        <v>10.118454399999999</v>
      </c>
      <c r="C215">
        <f t="shared" si="13"/>
        <v>10.50441686014449</v>
      </c>
      <c r="D215">
        <v>27.0953205</v>
      </c>
      <c r="E215">
        <f t="shared" si="14"/>
        <v>33.335950678175088</v>
      </c>
      <c r="F215">
        <f t="shared" si="15"/>
        <v>31.024918922067041</v>
      </c>
      <c r="G215">
        <v>0</v>
      </c>
      <c r="H215">
        <v>10.118454399999999</v>
      </c>
    </row>
    <row r="216" spans="1:8" x14ac:dyDescent="0.35">
      <c r="A216" t="s">
        <v>223</v>
      </c>
      <c r="B216">
        <f t="shared" si="12"/>
        <v>10.140983800000001</v>
      </c>
      <c r="C216">
        <f t="shared" si="13"/>
        <v>10.154365066391138</v>
      </c>
      <c r="D216">
        <v>30.646697830000001</v>
      </c>
      <c r="E216">
        <f t="shared" si="14"/>
        <v>33.058152897657195</v>
      </c>
      <c r="F216">
        <f t="shared" si="15"/>
        <v>30.787319932318972</v>
      </c>
      <c r="G216">
        <v>0</v>
      </c>
      <c r="H216">
        <v>10.140983800000001</v>
      </c>
    </row>
    <row r="217" spans="1:8" x14ac:dyDescent="0.35">
      <c r="A217" t="s">
        <v>224</v>
      </c>
      <c r="B217">
        <f t="shared" si="12"/>
        <v>10.185798610000001</v>
      </c>
      <c r="C217">
        <f t="shared" si="13"/>
        <v>10.064720311325594</v>
      </c>
      <c r="D217">
        <v>31.595901990000002</v>
      </c>
      <c r="E217">
        <f t="shared" si="14"/>
        <v>32.50556584463623</v>
      </c>
      <c r="F217">
        <f t="shared" si="15"/>
        <v>30.317819910225889</v>
      </c>
      <c r="G217">
        <v>0</v>
      </c>
      <c r="H217">
        <v>10.185798610000001</v>
      </c>
    </row>
    <row r="218" spans="1:8" x14ac:dyDescent="0.35">
      <c r="A218" t="s">
        <v>225</v>
      </c>
      <c r="B218">
        <f t="shared" si="12"/>
        <v>10.38296435</v>
      </c>
      <c r="C218">
        <f t="shared" si="13"/>
        <v>10.177637735148181</v>
      </c>
      <c r="D218">
        <v>30.403008979999999</v>
      </c>
      <c r="E218">
        <f t="shared" si="14"/>
        <v>30.074422318125759</v>
      </c>
      <c r="F218">
        <f t="shared" si="15"/>
        <v>28.300363143635977</v>
      </c>
      <c r="G218">
        <v>0</v>
      </c>
      <c r="H218">
        <v>10.38296435</v>
      </c>
    </row>
    <row r="219" spans="1:8" x14ac:dyDescent="0.35">
      <c r="A219" t="s">
        <v>226</v>
      </c>
      <c r="B219">
        <f t="shared" si="12"/>
        <v>10.59047685</v>
      </c>
      <c r="C219">
        <f t="shared" si="13"/>
        <v>10.290251048062997</v>
      </c>
      <c r="D219">
        <v>29.23940283</v>
      </c>
      <c r="E219">
        <f t="shared" si="14"/>
        <v>27.515698520345243</v>
      </c>
      <c r="F219">
        <f t="shared" si="15"/>
        <v>26.25817092915328</v>
      </c>
      <c r="G219">
        <v>0</v>
      </c>
      <c r="H219">
        <v>10.59047685</v>
      </c>
    </row>
    <row r="220" spans="1:8" x14ac:dyDescent="0.35">
      <c r="A220" t="s">
        <v>227</v>
      </c>
      <c r="B220">
        <f t="shared" si="12"/>
        <v>10.87207963</v>
      </c>
      <c r="C220">
        <f t="shared" si="13"/>
        <v>10.422218627314905</v>
      </c>
      <c r="D220">
        <v>27.90781342</v>
      </c>
      <c r="E220">
        <f t="shared" si="14"/>
        <v>24.043407768187411</v>
      </c>
      <c r="F220">
        <f t="shared" si="15"/>
        <v>23.611511685123229</v>
      </c>
      <c r="G220">
        <v>0</v>
      </c>
      <c r="H220">
        <v>10.87207963</v>
      </c>
    </row>
    <row r="221" spans="1:8" x14ac:dyDescent="0.35">
      <c r="A221" t="s">
        <v>228</v>
      </c>
      <c r="B221">
        <f t="shared" si="12"/>
        <v>11.16372662</v>
      </c>
      <c r="C221">
        <f t="shared" si="13"/>
        <v>10.54324388094266</v>
      </c>
      <c r="D221">
        <v>26.715938170000001</v>
      </c>
      <c r="E221">
        <f t="shared" si="14"/>
        <v>20.447267324290983</v>
      </c>
      <c r="F221">
        <f t="shared" si="15"/>
        <v>21.011202962576508</v>
      </c>
      <c r="G221">
        <v>0</v>
      </c>
      <c r="H221">
        <v>11.16372662</v>
      </c>
    </row>
    <row r="222" spans="1:8" x14ac:dyDescent="0.35">
      <c r="A222" t="s">
        <v>229</v>
      </c>
      <c r="B222">
        <f t="shared" si="12"/>
        <v>11.42377454</v>
      </c>
      <c r="C222">
        <f t="shared" si="13"/>
        <v>10.830278340923721</v>
      </c>
      <c r="D222">
        <v>23.995684529999998</v>
      </c>
      <c r="E222">
        <f t="shared" si="14"/>
        <v>17.240757829839691</v>
      </c>
      <c r="F222">
        <f t="shared" si="15"/>
        <v>18.80460201676749</v>
      </c>
      <c r="G222">
        <v>0</v>
      </c>
      <c r="H222">
        <v>11.42377454</v>
      </c>
    </row>
    <row r="223" spans="1:8" x14ac:dyDescent="0.35">
      <c r="A223" t="s">
        <v>230</v>
      </c>
      <c r="B223">
        <f t="shared" si="12"/>
        <v>11.58007755</v>
      </c>
      <c r="C223">
        <f t="shared" si="13"/>
        <v>10.855871750128486</v>
      </c>
      <c r="D223">
        <v>23.760118290000001</v>
      </c>
      <c r="E223">
        <f t="shared" si="14"/>
        <v>15.31347040690504</v>
      </c>
      <c r="F223">
        <f t="shared" si="15"/>
        <v>17.525999714394462</v>
      </c>
      <c r="G223">
        <v>0</v>
      </c>
      <c r="H223">
        <v>11.58007755</v>
      </c>
    </row>
    <row r="224" spans="1:8" x14ac:dyDescent="0.35">
      <c r="A224" t="s">
        <v>231</v>
      </c>
      <c r="B224">
        <f t="shared" si="12"/>
        <v>11.742655320000001</v>
      </c>
      <c r="C224">
        <f t="shared" si="13"/>
        <v>10.884313538555302</v>
      </c>
      <c r="D224">
        <v>23.499634690000001</v>
      </c>
      <c r="E224">
        <f t="shared" si="14"/>
        <v>13.308812330456206</v>
      </c>
      <c r="F224">
        <f t="shared" si="15"/>
        <v>16.232183430524451</v>
      </c>
      <c r="G224">
        <v>0</v>
      </c>
      <c r="H224">
        <v>11.742655320000001</v>
      </c>
    </row>
    <row r="225" spans="1:8" x14ac:dyDescent="0.35">
      <c r="A225" t="s">
        <v>232</v>
      </c>
      <c r="B225">
        <f t="shared" si="12"/>
        <v>11.840356249999999</v>
      </c>
      <c r="C225">
        <f t="shared" si="13"/>
        <v>10.912266848733351</v>
      </c>
      <c r="D225">
        <v>23.244947880000002</v>
      </c>
      <c r="E225">
        <f t="shared" si="14"/>
        <v>12.104115289765719</v>
      </c>
      <c r="F225">
        <f t="shared" si="15"/>
        <v>15.471757624876153</v>
      </c>
      <c r="G225">
        <v>0</v>
      </c>
      <c r="H225">
        <v>11.840356249999999</v>
      </c>
    </row>
    <row r="226" spans="1:8" x14ac:dyDescent="0.35">
      <c r="A226" t="s">
        <v>233</v>
      </c>
      <c r="B226">
        <f t="shared" si="12"/>
        <v>11.81759375</v>
      </c>
      <c r="C226">
        <f t="shared" si="13"/>
        <v>10.945282168672763</v>
      </c>
      <c r="D226">
        <v>22.945815929999998</v>
      </c>
      <c r="E226">
        <f t="shared" si="14"/>
        <v>12.384787299630071</v>
      </c>
      <c r="F226">
        <f t="shared" si="15"/>
        <v>15.647799248208891</v>
      </c>
      <c r="G226">
        <v>0</v>
      </c>
      <c r="H226">
        <v>11.81759375</v>
      </c>
    </row>
    <row r="227" spans="1:8" x14ac:dyDescent="0.35">
      <c r="A227" t="s">
        <v>234</v>
      </c>
      <c r="B227">
        <f t="shared" si="12"/>
        <v>11.31548634</v>
      </c>
      <c r="C227">
        <f t="shared" si="13"/>
        <v>10.826142715711203</v>
      </c>
      <c r="D227">
        <v>24.033854080000001</v>
      </c>
      <c r="E227">
        <f t="shared" si="14"/>
        <v>18.576000739827368</v>
      </c>
      <c r="F227">
        <f t="shared" si="15"/>
        <v>19.71114315847214</v>
      </c>
      <c r="G227">
        <v>0</v>
      </c>
      <c r="H227">
        <v>11.31548634</v>
      </c>
    </row>
    <row r="228" spans="1:8" x14ac:dyDescent="0.35">
      <c r="A228" t="s">
        <v>235</v>
      </c>
      <c r="B228">
        <f t="shared" si="12"/>
        <v>10.8287412</v>
      </c>
      <c r="C228">
        <f t="shared" si="13"/>
        <v>10.264432451965689</v>
      </c>
      <c r="D228">
        <v>29.503924309999999</v>
      </c>
      <c r="E228">
        <f t="shared" si="14"/>
        <v>24.577790382244135</v>
      </c>
      <c r="F228">
        <f t="shared" si="15"/>
        <v>24.009868092411285</v>
      </c>
      <c r="G228">
        <v>0</v>
      </c>
      <c r="H228">
        <v>10.8287412</v>
      </c>
    </row>
    <row r="229" spans="1:8" x14ac:dyDescent="0.35">
      <c r="A229" t="s">
        <v>236</v>
      </c>
      <c r="B229">
        <f t="shared" si="12"/>
        <v>10.543027779999999</v>
      </c>
      <c r="C229">
        <f t="shared" si="13"/>
        <v>10.339220199723128</v>
      </c>
      <c r="D229">
        <v>28.741324030000001</v>
      </c>
      <c r="E229">
        <f t="shared" si="14"/>
        <v>28.100767200986436</v>
      </c>
      <c r="F229">
        <f t="shared" si="15"/>
        <v>26.718041978907948</v>
      </c>
      <c r="G229">
        <v>0</v>
      </c>
      <c r="H229">
        <v>10.543027779999999</v>
      </c>
    </row>
    <row r="230" spans="1:8" x14ac:dyDescent="0.35">
      <c r="A230" t="s">
        <v>237</v>
      </c>
      <c r="B230">
        <f t="shared" si="12"/>
        <v>10.82452106</v>
      </c>
      <c r="C230">
        <f t="shared" si="13"/>
        <v>10.421045023425627</v>
      </c>
      <c r="D230">
        <v>27.919506779999999</v>
      </c>
      <c r="E230">
        <f t="shared" si="14"/>
        <v>24.629826633785434</v>
      </c>
      <c r="F230">
        <f t="shared" si="15"/>
        <v>24.048829032379381</v>
      </c>
      <c r="G230">
        <v>0</v>
      </c>
      <c r="H230">
        <v>10.82452106</v>
      </c>
    </row>
    <row r="231" spans="1:8" x14ac:dyDescent="0.35">
      <c r="A231" t="s">
        <v>238</v>
      </c>
      <c r="B231">
        <f t="shared" si="12"/>
        <v>11.015386339999999</v>
      </c>
      <c r="C231">
        <f t="shared" si="13"/>
        <v>10.459421544542128</v>
      </c>
      <c r="D231">
        <v>27.538497199999998</v>
      </c>
      <c r="E231">
        <f t="shared" si="14"/>
        <v>22.276370653514178</v>
      </c>
      <c r="F231">
        <f t="shared" si="15"/>
        <v>22.316590312030264</v>
      </c>
      <c r="G231">
        <v>0</v>
      </c>
      <c r="H231">
        <v>11.015386339999999</v>
      </c>
    </row>
    <row r="232" spans="1:8" x14ac:dyDescent="0.35">
      <c r="A232" t="s">
        <v>239</v>
      </c>
      <c r="B232">
        <f t="shared" si="12"/>
        <v>11.07954352</v>
      </c>
      <c r="C232">
        <f t="shared" si="13"/>
        <v>10.46425690300897</v>
      </c>
      <c r="D232">
        <v>27.490689060000001</v>
      </c>
      <c r="E232">
        <f t="shared" si="14"/>
        <v>21.485283353884085</v>
      </c>
      <c r="F232">
        <f t="shared" si="15"/>
        <v>21.747720488305518</v>
      </c>
      <c r="G232">
        <v>0</v>
      </c>
      <c r="H232">
        <v>11.07954352</v>
      </c>
    </row>
    <row r="233" spans="1:8" x14ac:dyDescent="0.35">
      <c r="A233" t="s">
        <v>240</v>
      </c>
      <c r="B233">
        <f t="shared" si="12"/>
        <v>10.95344884</v>
      </c>
      <c r="C233">
        <f t="shared" si="13"/>
        <v>10.498902977248989</v>
      </c>
      <c r="D233">
        <v>27.14942469</v>
      </c>
      <c r="E233">
        <f t="shared" si="14"/>
        <v>23.04008828606657</v>
      </c>
      <c r="F233">
        <f t="shared" si="15"/>
        <v>22.872100829341203</v>
      </c>
      <c r="G233">
        <v>0</v>
      </c>
      <c r="H233">
        <v>10.95344884</v>
      </c>
    </row>
    <row r="234" spans="1:8" x14ac:dyDescent="0.35">
      <c r="A234" t="s">
        <v>241</v>
      </c>
      <c r="B234">
        <f t="shared" si="12"/>
        <v>11.00822106</v>
      </c>
      <c r="C234">
        <f t="shared" si="13"/>
        <v>10.548426994349629</v>
      </c>
      <c r="D234">
        <v>26.665504800000001</v>
      </c>
      <c r="E234">
        <f t="shared" si="14"/>
        <v>22.364721824907505</v>
      </c>
      <c r="F234">
        <f t="shared" si="15"/>
        <v>22.38053515452313</v>
      </c>
      <c r="G234">
        <v>0</v>
      </c>
      <c r="H234">
        <v>11.00822106</v>
      </c>
    </row>
    <row r="235" spans="1:8" x14ac:dyDescent="0.35">
      <c r="A235" t="s">
        <v>242</v>
      </c>
      <c r="B235">
        <f t="shared" si="12"/>
        <v>11.026826850000001</v>
      </c>
      <c r="C235">
        <f t="shared" si="13"/>
        <v>10.612915286648677</v>
      </c>
      <c r="D235">
        <v>26.042132200000001</v>
      </c>
      <c r="E235">
        <f t="shared" si="14"/>
        <v>22.135303945745971</v>
      </c>
      <c r="F235">
        <f t="shared" si="15"/>
        <v>22.21466446528699</v>
      </c>
      <c r="G235">
        <v>0</v>
      </c>
      <c r="H235">
        <v>11.026826850000001</v>
      </c>
    </row>
    <row r="236" spans="1:8" x14ac:dyDescent="0.35">
      <c r="A236" t="s">
        <v>243</v>
      </c>
      <c r="B236">
        <f t="shared" si="12"/>
        <v>10.835220830000001</v>
      </c>
      <c r="C236">
        <f t="shared" si="13"/>
        <v>10.601754466047501</v>
      </c>
      <c r="D236">
        <v>26.149474999999999</v>
      </c>
      <c r="E236">
        <f t="shared" si="14"/>
        <v>24.497893588162739</v>
      </c>
      <c r="F236">
        <f t="shared" si="15"/>
        <v>23.950106288567731</v>
      </c>
      <c r="G236">
        <v>0</v>
      </c>
      <c r="H236">
        <v>10.835220830000001</v>
      </c>
    </row>
    <row r="237" spans="1:8" x14ac:dyDescent="0.35">
      <c r="A237" t="s">
        <v>244</v>
      </c>
      <c r="B237">
        <f t="shared" si="12"/>
        <v>10.55035509</v>
      </c>
      <c r="C237">
        <f t="shared" si="13"/>
        <v>10.404150106033613</v>
      </c>
      <c r="D237">
        <v>28.088133899999999</v>
      </c>
      <c r="E237">
        <f t="shared" si="14"/>
        <v>28.010418125770641</v>
      </c>
      <c r="F237">
        <f t="shared" si="15"/>
        <v>26.646756451042325</v>
      </c>
      <c r="G237">
        <v>0</v>
      </c>
      <c r="H237">
        <v>10.55035509</v>
      </c>
    </row>
    <row r="238" spans="1:8" x14ac:dyDescent="0.35">
      <c r="A238" t="s">
        <v>245</v>
      </c>
      <c r="B238">
        <f t="shared" si="12"/>
        <v>10.419950930000001</v>
      </c>
      <c r="C238">
        <f t="shared" si="13"/>
        <v>10.358559971534293</v>
      </c>
      <c r="D238">
        <v>28.545911050000001</v>
      </c>
      <c r="E238">
        <f t="shared" si="14"/>
        <v>29.618360912453742</v>
      </c>
      <c r="F238">
        <f t="shared" si="15"/>
        <v>27.930410299234943</v>
      </c>
      <c r="G238">
        <v>0</v>
      </c>
      <c r="H238">
        <v>10.419950930000001</v>
      </c>
    </row>
    <row r="239" spans="1:8" x14ac:dyDescent="0.35">
      <c r="A239" t="s">
        <v>246</v>
      </c>
      <c r="B239">
        <f t="shared" si="12"/>
        <v>10.6398537</v>
      </c>
      <c r="C239">
        <f t="shared" si="13"/>
        <v>10.44716206355581</v>
      </c>
      <c r="D239">
        <v>27.659907440000001</v>
      </c>
      <c r="E239">
        <f t="shared" si="14"/>
        <v>26.906859432799006</v>
      </c>
      <c r="F239">
        <f t="shared" si="15"/>
        <v>25.783971048074498</v>
      </c>
      <c r="G239">
        <v>0</v>
      </c>
      <c r="H239">
        <v>10.6398537</v>
      </c>
    </row>
    <row r="240" spans="1:8" x14ac:dyDescent="0.35">
      <c r="A240" t="s">
        <v>247</v>
      </c>
      <c r="B240">
        <f t="shared" si="12"/>
        <v>10.86038102</v>
      </c>
      <c r="C240">
        <f t="shared" si="13"/>
        <v>10.524798374095145</v>
      </c>
      <c r="D240">
        <v>26.895821860000002</v>
      </c>
      <c r="E240">
        <f t="shared" si="14"/>
        <v>24.187656966707756</v>
      </c>
      <c r="F240">
        <f t="shared" si="15"/>
        <v>23.718729217580186</v>
      </c>
      <c r="G240">
        <v>0</v>
      </c>
      <c r="H240">
        <v>10.86038102</v>
      </c>
    </row>
    <row r="241" spans="1:8" x14ac:dyDescent="0.35">
      <c r="A241" t="s">
        <v>248</v>
      </c>
      <c r="B241">
        <f t="shared" si="12"/>
        <v>11.053596300000001</v>
      </c>
      <c r="C241">
        <f t="shared" si="13"/>
        <v>10.582266700834124</v>
      </c>
      <c r="D241">
        <v>26.33744772</v>
      </c>
      <c r="E241">
        <f t="shared" si="14"/>
        <v>21.805224414303311</v>
      </c>
      <c r="F241">
        <f t="shared" si="15"/>
        <v>21.976994377955357</v>
      </c>
      <c r="G241">
        <v>0</v>
      </c>
      <c r="H241">
        <v>11.053596300000001</v>
      </c>
    </row>
    <row r="242" spans="1:8" x14ac:dyDescent="0.35">
      <c r="A242" t="s">
        <v>249</v>
      </c>
      <c r="B242">
        <f t="shared" si="12"/>
        <v>11.1946581</v>
      </c>
      <c r="C242">
        <f t="shared" si="13"/>
        <v>10.629070318840029</v>
      </c>
      <c r="D242">
        <v>25.88715526</v>
      </c>
      <c r="E242">
        <f t="shared" si="14"/>
        <v>20.065868064118362</v>
      </c>
      <c r="F242">
        <f t="shared" si="15"/>
        <v>20.743366373749815</v>
      </c>
      <c r="G242">
        <v>0</v>
      </c>
      <c r="H242">
        <v>11.1946581</v>
      </c>
    </row>
    <row r="243" spans="1:8" x14ac:dyDescent="0.35">
      <c r="A243" t="s">
        <v>250</v>
      </c>
      <c r="B243">
        <f t="shared" si="12"/>
        <v>11.238350690000001</v>
      </c>
      <c r="C243">
        <f t="shared" si="13"/>
        <v>10.668941324301993</v>
      </c>
      <c r="D243">
        <v>25.506677029999999</v>
      </c>
      <c r="E243">
        <f t="shared" si="14"/>
        <v>19.52711849568432</v>
      </c>
      <c r="F243">
        <f t="shared" si="15"/>
        <v>20.367543155676209</v>
      </c>
      <c r="G243">
        <v>0</v>
      </c>
      <c r="H243">
        <v>11.238350690000001</v>
      </c>
    </row>
    <row r="244" spans="1:8" x14ac:dyDescent="0.35">
      <c r="A244" t="s">
        <v>251</v>
      </c>
      <c r="B244">
        <f t="shared" si="12"/>
        <v>11.17820231</v>
      </c>
      <c r="C244">
        <f t="shared" si="13"/>
        <v>10.702239687568783</v>
      </c>
      <c r="D244">
        <v>25.1910922</v>
      </c>
      <c r="E244">
        <f t="shared" si="14"/>
        <v>20.268775462392103</v>
      </c>
      <c r="F244">
        <f t="shared" si="15"/>
        <v>20.885673015017296</v>
      </c>
      <c r="G244">
        <v>0</v>
      </c>
      <c r="H244">
        <v>11.17820231</v>
      </c>
    </row>
    <row r="245" spans="1:8" x14ac:dyDescent="0.35">
      <c r="A245" t="s">
        <v>252</v>
      </c>
      <c r="B245">
        <f t="shared" si="12"/>
        <v>11.14771505</v>
      </c>
      <c r="C245">
        <f t="shared" si="13"/>
        <v>10.731904448323853</v>
      </c>
      <c r="D245">
        <v>24.911594260000001</v>
      </c>
      <c r="E245">
        <f t="shared" si="14"/>
        <v>20.644697287299614</v>
      </c>
      <c r="F245">
        <f t="shared" si="15"/>
        <v>21.150431447807136</v>
      </c>
      <c r="G245">
        <v>0</v>
      </c>
      <c r="H245">
        <v>11.14771505</v>
      </c>
    </row>
    <row r="246" spans="1:8" x14ac:dyDescent="0.35">
      <c r="A246" t="s">
        <v>253</v>
      </c>
      <c r="B246">
        <f t="shared" si="12"/>
        <v>11.242381480000001</v>
      </c>
      <c r="C246">
        <f t="shared" si="13"/>
        <v>10.764311791553103</v>
      </c>
      <c r="D246">
        <v>24.608016750000001</v>
      </c>
      <c r="E246">
        <f t="shared" si="14"/>
        <v>19.477417016029573</v>
      </c>
      <c r="F246">
        <f t="shared" si="15"/>
        <v>20.33301936249207</v>
      </c>
      <c r="G246">
        <v>0</v>
      </c>
      <c r="H246">
        <v>11.242381480000001</v>
      </c>
    </row>
    <row r="247" spans="1:8" x14ac:dyDescent="0.35">
      <c r="A247" t="s">
        <v>254</v>
      </c>
      <c r="B247">
        <f t="shared" si="12"/>
        <v>11.228382180000001</v>
      </c>
      <c r="C247">
        <f t="shared" si="13"/>
        <v>10.798413570219132</v>
      </c>
      <c r="D247">
        <v>24.29053407</v>
      </c>
      <c r="E247">
        <f t="shared" si="14"/>
        <v>19.650034771886542</v>
      </c>
      <c r="F247">
        <f t="shared" si="15"/>
        <v>20.453030084346757</v>
      </c>
      <c r="G247">
        <v>0</v>
      </c>
      <c r="H247">
        <v>11.228382180000001</v>
      </c>
    </row>
    <row r="248" spans="1:8" x14ac:dyDescent="0.35">
      <c r="A248" t="s">
        <v>255</v>
      </c>
      <c r="B248">
        <f t="shared" si="12"/>
        <v>11.10670532</v>
      </c>
      <c r="C248">
        <f t="shared" si="13"/>
        <v>10.823466901271724</v>
      </c>
      <c r="D248">
        <v>24.058565919999999</v>
      </c>
      <c r="E248">
        <f t="shared" si="14"/>
        <v>21.150365967940807</v>
      </c>
      <c r="F248">
        <f t="shared" si="15"/>
        <v>21.508862009796548</v>
      </c>
      <c r="G248">
        <v>0</v>
      </c>
      <c r="H248">
        <v>11.10670532</v>
      </c>
    </row>
    <row r="249" spans="1:8" x14ac:dyDescent="0.35">
      <c r="A249" t="s">
        <v>256</v>
      </c>
      <c r="B249">
        <f t="shared" si="12"/>
        <v>10.93861134</v>
      </c>
      <c r="C249">
        <f t="shared" si="13"/>
        <v>10.825745186791602</v>
      </c>
      <c r="D249">
        <v>24.03752459</v>
      </c>
      <c r="E249">
        <f t="shared" si="14"/>
        <v>23.223041430332916</v>
      </c>
      <c r="F249">
        <f t="shared" si="15"/>
        <v>23.006110730796397</v>
      </c>
      <c r="G249">
        <v>0</v>
      </c>
      <c r="H249">
        <v>10.93861134</v>
      </c>
    </row>
    <row r="250" spans="1:8" x14ac:dyDescent="0.35">
      <c r="A250" t="s">
        <v>257</v>
      </c>
      <c r="B250">
        <f t="shared" si="12"/>
        <v>10.953938429999999</v>
      </c>
      <c r="C250">
        <f t="shared" si="13"/>
        <v>10.846719123064325</v>
      </c>
      <c r="D250">
        <v>23.844232989999998</v>
      </c>
      <c r="E250">
        <f t="shared" si="14"/>
        <v>23.034051418002466</v>
      </c>
      <c r="F250">
        <f t="shared" si="15"/>
        <v>22.867685118861807</v>
      </c>
      <c r="G250">
        <v>0</v>
      </c>
      <c r="H250">
        <v>10.953938429999999</v>
      </c>
    </row>
    <row r="251" spans="1:8" x14ac:dyDescent="0.35">
      <c r="A251" t="s">
        <v>258</v>
      </c>
      <c r="B251">
        <f t="shared" si="12"/>
        <v>11.08825903</v>
      </c>
      <c r="C251">
        <f t="shared" si="13"/>
        <v>10.884348387675281</v>
      </c>
      <c r="D251">
        <v>23.499316360000002</v>
      </c>
      <c r="E251">
        <f t="shared" si="14"/>
        <v>21.377817139334148</v>
      </c>
      <c r="F251">
        <f t="shared" si="15"/>
        <v>21.67094955742105</v>
      </c>
      <c r="G251">
        <v>0</v>
      </c>
      <c r="H251">
        <v>11.08825903</v>
      </c>
    </row>
    <row r="252" spans="1:8" x14ac:dyDescent="0.35">
      <c r="A252" t="s">
        <v>259</v>
      </c>
      <c r="B252">
        <f t="shared" si="12"/>
        <v>11.23724537</v>
      </c>
      <c r="C252">
        <f t="shared" si="13"/>
        <v>10.938455419482752</v>
      </c>
      <c r="D252">
        <v>23.00752091</v>
      </c>
      <c r="E252">
        <f t="shared" si="14"/>
        <v>19.540747595561022</v>
      </c>
      <c r="F252">
        <f t="shared" si="15"/>
        <v>20.377014569584663</v>
      </c>
      <c r="G252">
        <v>0</v>
      </c>
      <c r="H252">
        <v>11.23724537</v>
      </c>
    </row>
    <row r="253" spans="1:8" x14ac:dyDescent="0.35">
      <c r="A253" t="s">
        <v>260</v>
      </c>
      <c r="B253">
        <f t="shared" si="12"/>
        <v>11.353516900000001</v>
      </c>
      <c r="C253">
        <f t="shared" si="13"/>
        <v>10.994662561632994</v>
      </c>
      <c r="D253">
        <v>22.501762830000001</v>
      </c>
      <c r="E253">
        <f t="shared" si="14"/>
        <v>18.107066584463606</v>
      </c>
      <c r="F253">
        <f t="shared" si="15"/>
        <v>19.390797887866995</v>
      </c>
      <c r="G253">
        <v>0</v>
      </c>
      <c r="H253">
        <v>11.353516900000001</v>
      </c>
    </row>
    <row r="254" spans="1:8" x14ac:dyDescent="0.35">
      <c r="A254" t="s">
        <v>261</v>
      </c>
      <c r="B254">
        <f t="shared" si="12"/>
        <v>11.39631065</v>
      </c>
      <c r="C254">
        <f t="shared" si="13"/>
        <v>11.041587828735734</v>
      </c>
      <c r="D254">
        <v>22.083467949999999</v>
      </c>
      <c r="E254">
        <f t="shared" si="14"/>
        <v>17.579400123304548</v>
      </c>
      <c r="F254">
        <f t="shared" si="15"/>
        <v>19.032887018978194</v>
      </c>
      <c r="G254">
        <v>0</v>
      </c>
      <c r="H254">
        <v>11.39631065</v>
      </c>
    </row>
    <row r="255" spans="1:8" x14ac:dyDescent="0.35">
      <c r="A255" t="s">
        <v>262</v>
      </c>
      <c r="B255">
        <f t="shared" si="12"/>
        <v>11.51005486</v>
      </c>
      <c r="C255">
        <f t="shared" si="13"/>
        <v>11.095216211674153</v>
      </c>
      <c r="D255">
        <v>21.6097535</v>
      </c>
      <c r="E255">
        <f t="shared" si="14"/>
        <v>16.176882120838457</v>
      </c>
      <c r="F255">
        <f t="shared" si="15"/>
        <v>18.094511092403945</v>
      </c>
      <c r="G255">
        <v>0</v>
      </c>
      <c r="H255">
        <v>11.51005486</v>
      </c>
    </row>
    <row r="256" spans="1:8" x14ac:dyDescent="0.35">
      <c r="A256" t="s">
        <v>263</v>
      </c>
      <c r="B256">
        <f t="shared" si="12"/>
        <v>11.50591852</v>
      </c>
      <c r="C256">
        <f t="shared" si="13"/>
        <v>11.159744984709752</v>
      </c>
      <c r="D256">
        <v>21.045787919999999</v>
      </c>
      <c r="E256">
        <f t="shared" si="14"/>
        <v>16.227885080147956</v>
      </c>
      <c r="F256">
        <f t="shared" si="15"/>
        <v>18.128310319852378</v>
      </c>
      <c r="G256">
        <v>0</v>
      </c>
      <c r="H256">
        <v>11.50591852</v>
      </c>
    </row>
    <row r="257" spans="1:8" x14ac:dyDescent="0.35">
      <c r="A257" t="s">
        <v>264</v>
      </c>
      <c r="B257">
        <f t="shared" si="12"/>
        <v>11.54093102</v>
      </c>
      <c r="C257">
        <f t="shared" si="13"/>
        <v>11.230779512013751</v>
      </c>
      <c r="D257">
        <v>20.432457429999999</v>
      </c>
      <c r="E257">
        <f t="shared" si="14"/>
        <v>15.796164981504299</v>
      </c>
      <c r="F257">
        <f t="shared" si="15"/>
        <v>17.842978494937604</v>
      </c>
      <c r="G257">
        <v>0</v>
      </c>
      <c r="H257">
        <v>11.54093102</v>
      </c>
    </row>
    <row r="258" spans="1:8" x14ac:dyDescent="0.35">
      <c r="A258" t="s">
        <v>265</v>
      </c>
      <c r="B258">
        <f t="shared" si="12"/>
        <v>11.153098610000001</v>
      </c>
      <c r="C258">
        <f t="shared" si="13"/>
        <v>11.248415848369822</v>
      </c>
      <c r="D258">
        <v>20.28138113</v>
      </c>
      <c r="E258">
        <f t="shared" si="14"/>
        <v>20.578315536374827</v>
      </c>
      <c r="F258">
        <f t="shared" si="15"/>
        <v>21.103574133987866</v>
      </c>
      <c r="G258">
        <v>0</v>
      </c>
      <c r="H258">
        <v>11.153098610000001</v>
      </c>
    </row>
    <row r="259" spans="1:8" x14ac:dyDescent="0.35">
      <c r="A259" t="s">
        <v>266</v>
      </c>
      <c r="B259">
        <f t="shared" si="12"/>
        <v>10.80257778</v>
      </c>
      <c r="C259">
        <f t="shared" si="13"/>
        <v>11.226889328173501</v>
      </c>
      <c r="D259">
        <v>20.465845399999999</v>
      </c>
      <c r="E259">
        <f t="shared" si="14"/>
        <v>24.900397287299619</v>
      </c>
      <c r="F259">
        <f t="shared" si="15"/>
        <v>24.251903201413953</v>
      </c>
      <c r="G259">
        <v>0</v>
      </c>
      <c r="H259">
        <v>10.80257778</v>
      </c>
    </row>
    <row r="260" spans="1:8" x14ac:dyDescent="0.35">
      <c r="A260" t="s">
        <v>267</v>
      </c>
      <c r="B260">
        <f t="shared" si="12"/>
        <v>10.415200690000001</v>
      </c>
      <c r="C260">
        <f t="shared" si="13"/>
        <v>11.188201342661561</v>
      </c>
      <c r="D260">
        <v>20.799153319999999</v>
      </c>
      <c r="E260">
        <f t="shared" si="14"/>
        <v>29.676933538840917</v>
      </c>
      <c r="F260">
        <f t="shared" si="15"/>
        <v>27.977776818043061</v>
      </c>
      <c r="G260">
        <v>0</v>
      </c>
      <c r="H260">
        <v>10.415200690000001</v>
      </c>
    </row>
    <row r="261" spans="1:8" x14ac:dyDescent="0.35">
      <c r="A261" t="s">
        <v>268</v>
      </c>
      <c r="B261">
        <f t="shared" si="12"/>
        <v>10.4038044</v>
      </c>
      <c r="C261">
        <f t="shared" si="13"/>
        <v>11.172438040019724</v>
      </c>
      <c r="D261">
        <v>20.935620499999999</v>
      </c>
      <c r="E261">
        <f t="shared" si="14"/>
        <v>29.817454993834755</v>
      </c>
      <c r="F261">
        <f t="shared" si="15"/>
        <v>28.091590088359698</v>
      </c>
      <c r="G261">
        <v>0</v>
      </c>
      <c r="H261">
        <v>10.4038044</v>
      </c>
    </row>
    <row r="262" spans="1:8" x14ac:dyDescent="0.35">
      <c r="A262" t="s">
        <v>269</v>
      </c>
      <c r="B262">
        <f t="shared" si="12"/>
        <v>10.509411569999999</v>
      </c>
      <c r="C262">
        <f t="shared" si="13"/>
        <v>11.179695273708376</v>
      </c>
      <c r="D262">
        <v>20.872744860000001</v>
      </c>
      <c r="E262">
        <f t="shared" si="14"/>
        <v>28.515270406905053</v>
      </c>
      <c r="F262">
        <f t="shared" si="15"/>
        <v>27.0463596275155</v>
      </c>
      <c r="G262">
        <v>0</v>
      </c>
      <c r="H262">
        <v>10.509411569999999</v>
      </c>
    </row>
    <row r="263" spans="1:8" x14ac:dyDescent="0.35">
      <c r="A263" t="s">
        <v>270</v>
      </c>
      <c r="B263">
        <f t="shared" si="12"/>
        <v>10.495975230000001</v>
      </c>
      <c r="C263">
        <f t="shared" si="13"/>
        <v>11.154323809164675</v>
      </c>
      <c r="D263">
        <v>21.092916590000002</v>
      </c>
      <c r="E263">
        <f t="shared" si="14"/>
        <v>28.680946609124515</v>
      </c>
      <c r="F263">
        <f t="shared" si="15"/>
        <v>27.178175897818157</v>
      </c>
      <c r="G263">
        <v>0</v>
      </c>
      <c r="H263">
        <v>10.495975230000001</v>
      </c>
    </row>
    <row r="264" spans="1:8" x14ac:dyDescent="0.35">
      <c r="A264" t="s">
        <v>271</v>
      </c>
      <c r="B264">
        <f t="shared" si="12"/>
        <v>10.37066134</v>
      </c>
      <c r="C264">
        <f t="shared" si="13"/>
        <v>10.807051768326444</v>
      </c>
      <c r="D264">
        <v>24.21043173</v>
      </c>
      <c r="E264">
        <f t="shared" si="14"/>
        <v>30.226124044389632</v>
      </c>
      <c r="F264">
        <f t="shared" si="15"/>
        <v>28.424007071613822</v>
      </c>
      <c r="G264">
        <v>0</v>
      </c>
      <c r="H264">
        <v>10.37066134</v>
      </c>
    </row>
    <row r="265" spans="1:8" x14ac:dyDescent="0.35">
      <c r="A265" t="s">
        <v>272</v>
      </c>
      <c r="B265">
        <f t="shared" ref="B265:B281" si="16" xml:space="preserve"> H265/(1-$B$5*G265)</f>
        <v>10.161891900000001</v>
      </c>
      <c r="C265">
        <f t="shared" ref="C265:C328" si="17">$B$2/(1+$B$4*((D265/100)/$B$3))</f>
        <v>10.273322237745607</v>
      </c>
      <c r="D265">
        <v>29.412694940000002</v>
      </c>
      <c r="E265">
        <f t="shared" ref="E265:E328" si="18" xml:space="preserve"> (12.822 - B265)/0.0811</f>
        <v>32.800346485819958</v>
      </c>
      <c r="F265">
        <f t="shared" ref="F265:F328" si="19" xml:space="preserve"> ((($B$3 *($B$2-B265))/($B$4*B265)))*100</f>
        <v>30.567761995703556</v>
      </c>
      <c r="G265">
        <v>0</v>
      </c>
      <c r="H265">
        <v>10.161891900000001</v>
      </c>
    </row>
    <row r="266" spans="1:8" x14ac:dyDescent="0.35">
      <c r="A266" t="s">
        <v>273</v>
      </c>
      <c r="B266">
        <f t="shared" si="16"/>
        <v>10.019836809999999</v>
      </c>
      <c r="C266">
        <f t="shared" si="17"/>
        <v>9.9419983172939137</v>
      </c>
      <c r="D266">
        <v>32.923101580000001</v>
      </c>
      <c r="E266">
        <f t="shared" si="18"/>
        <v>34.55195055487053</v>
      </c>
      <c r="F266">
        <f t="shared" si="19"/>
        <v>32.077532068119091</v>
      </c>
      <c r="G266">
        <v>0</v>
      </c>
      <c r="H266">
        <v>10.019836809999999</v>
      </c>
    </row>
    <row r="267" spans="1:8" x14ac:dyDescent="0.35">
      <c r="A267" t="s">
        <v>274</v>
      </c>
      <c r="B267">
        <f t="shared" si="16"/>
        <v>9.9122488430000004</v>
      </c>
      <c r="C267">
        <f t="shared" si="17"/>
        <v>10.013839863177573</v>
      </c>
      <c r="D267">
        <v>32.142210300000002</v>
      </c>
      <c r="E267">
        <f t="shared" si="18"/>
        <v>35.878559272503068</v>
      </c>
      <c r="F267">
        <f t="shared" si="19"/>
        <v>33.249781654357783</v>
      </c>
      <c r="G267">
        <v>0</v>
      </c>
      <c r="H267">
        <v>9.9122488430000004</v>
      </c>
    </row>
    <row r="268" spans="1:8" x14ac:dyDescent="0.35">
      <c r="A268" t="s">
        <v>275</v>
      </c>
      <c r="B268">
        <f t="shared" si="16"/>
        <v>9.858500694</v>
      </c>
      <c r="C268">
        <f t="shared" si="17"/>
        <v>9.9687150704615686</v>
      </c>
      <c r="D268">
        <v>32.631385719999997</v>
      </c>
      <c r="E268">
        <f t="shared" si="18"/>
        <v>36.541298471023417</v>
      </c>
      <c r="F268">
        <f t="shared" si="19"/>
        <v>33.844990910712561</v>
      </c>
      <c r="G268">
        <v>0</v>
      </c>
      <c r="H268">
        <v>9.858500694</v>
      </c>
    </row>
    <row r="269" spans="1:8" x14ac:dyDescent="0.35">
      <c r="A269" t="s">
        <v>276</v>
      </c>
      <c r="B269">
        <f t="shared" si="16"/>
        <v>9.8144930559999999</v>
      </c>
      <c r="C269">
        <f t="shared" si="17"/>
        <v>9.8827617461406838</v>
      </c>
      <c r="D269">
        <v>33.575521379999998</v>
      </c>
      <c r="E269">
        <f t="shared" si="18"/>
        <v>37.083932725030813</v>
      </c>
      <c r="F269">
        <f t="shared" si="19"/>
        <v>34.337187440929299</v>
      </c>
      <c r="G269">
        <v>0</v>
      </c>
      <c r="H269">
        <v>9.8144930559999999</v>
      </c>
    </row>
    <row r="270" spans="1:8" x14ac:dyDescent="0.35">
      <c r="A270" t="s">
        <v>277</v>
      </c>
      <c r="B270">
        <f t="shared" si="16"/>
        <v>9.7569214350000006</v>
      </c>
      <c r="C270">
        <f t="shared" si="17"/>
        <v>9.8035201268064629</v>
      </c>
      <c r="D270">
        <v>34.460600720000002</v>
      </c>
      <c r="E270">
        <f t="shared" si="18"/>
        <v>37.793817077681851</v>
      </c>
      <c r="F270">
        <f t="shared" si="19"/>
        <v>34.9877918608627</v>
      </c>
      <c r="G270">
        <v>0</v>
      </c>
      <c r="H270">
        <v>9.7569214350000006</v>
      </c>
    </row>
    <row r="271" spans="1:8" x14ac:dyDescent="0.35">
      <c r="A271" t="s">
        <v>278</v>
      </c>
      <c r="B271">
        <f t="shared" si="16"/>
        <v>9.6996651850000006</v>
      </c>
      <c r="C271">
        <f t="shared" si="17"/>
        <v>9.8428691938671697</v>
      </c>
      <c r="D271">
        <v>34.019314960000003</v>
      </c>
      <c r="E271">
        <f t="shared" si="18"/>
        <v>38.499812762022174</v>
      </c>
      <c r="F271">
        <f t="shared" si="19"/>
        <v>35.642492222405885</v>
      </c>
      <c r="G271">
        <v>0</v>
      </c>
      <c r="H271">
        <v>9.6996651850000006</v>
      </c>
    </row>
    <row r="272" spans="1:8" x14ac:dyDescent="0.35">
      <c r="A272" t="s">
        <v>279</v>
      </c>
      <c r="B272">
        <f t="shared" si="16"/>
        <v>9.6783721299999996</v>
      </c>
      <c r="C272">
        <f t="shared" si="17"/>
        <v>9.7251284813829315</v>
      </c>
      <c r="D272">
        <v>35.350378630000002</v>
      </c>
      <c r="E272">
        <f t="shared" si="18"/>
        <v>38.762365844636243</v>
      </c>
      <c r="F272">
        <f t="shared" si="19"/>
        <v>35.887945111066429</v>
      </c>
      <c r="G272">
        <v>0</v>
      </c>
      <c r="H272">
        <v>9.6783721299999996</v>
      </c>
    </row>
    <row r="273" spans="1:8" x14ac:dyDescent="0.35">
      <c r="A273" t="s">
        <v>280</v>
      </c>
      <c r="B273">
        <f t="shared" si="16"/>
        <v>9.7535307870000008</v>
      </c>
      <c r="C273">
        <f t="shared" si="17"/>
        <v>9.7940114313848596</v>
      </c>
      <c r="D273">
        <v>34.567769310000003</v>
      </c>
      <c r="E273">
        <f t="shared" si="18"/>
        <v>37.835625314426615</v>
      </c>
      <c r="F273">
        <f t="shared" si="19"/>
        <v>35.026348331286798</v>
      </c>
      <c r="G273">
        <v>0</v>
      </c>
      <c r="H273">
        <v>9.7535307870000008</v>
      </c>
    </row>
    <row r="274" spans="1:8" x14ac:dyDescent="0.35">
      <c r="A274" t="s">
        <v>281</v>
      </c>
      <c r="B274">
        <f t="shared" si="16"/>
        <v>9.7932539349999992</v>
      </c>
      <c r="C274">
        <f t="shared" si="17"/>
        <v>9.8740379528379698</v>
      </c>
      <c r="D274">
        <v>33.672264810000001</v>
      </c>
      <c r="E274">
        <f t="shared" si="18"/>
        <v>37.345820776818741</v>
      </c>
      <c r="F274">
        <f t="shared" si="19"/>
        <v>34.576315689504732</v>
      </c>
      <c r="G274">
        <v>0</v>
      </c>
      <c r="H274">
        <v>9.7932539349999992</v>
      </c>
    </row>
    <row r="275" spans="1:8" x14ac:dyDescent="0.35">
      <c r="A275" t="s">
        <v>282</v>
      </c>
      <c r="B275">
        <f t="shared" si="16"/>
        <v>9.8270081020000006</v>
      </c>
      <c r="C275">
        <f t="shared" si="17"/>
        <v>9.839383574506698</v>
      </c>
      <c r="D275">
        <v>34.058262460000002</v>
      </c>
      <c r="E275">
        <f t="shared" si="18"/>
        <v>36.929616498150409</v>
      </c>
      <c r="F275">
        <f t="shared" si="19"/>
        <v>34.196766300533845</v>
      </c>
      <c r="G275">
        <v>0</v>
      </c>
      <c r="H275">
        <v>9.8270081020000006</v>
      </c>
    </row>
    <row r="276" spans="1:8" x14ac:dyDescent="0.35">
      <c r="A276" t="s">
        <v>283</v>
      </c>
      <c r="B276">
        <f t="shared" si="16"/>
        <v>9.7538451389999992</v>
      </c>
      <c r="C276">
        <f t="shared" si="17"/>
        <v>9.7621941484282964</v>
      </c>
      <c r="D276">
        <v>34.92788685</v>
      </c>
      <c r="E276">
        <f t="shared" si="18"/>
        <v>37.831749210850802</v>
      </c>
      <c r="F276">
        <f t="shared" si="19"/>
        <v>35.022772576371672</v>
      </c>
      <c r="G276">
        <v>0</v>
      </c>
      <c r="H276">
        <v>9.7538451389999992</v>
      </c>
    </row>
    <row r="277" spans="1:8" x14ac:dyDescent="0.35">
      <c r="A277" t="s">
        <v>284</v>
      </c>
      <c r="B277">
        <f t="shared" si="16"/>
        <v>9.7510018059999997</v>
      </c>
      <c r="C277">
        <f t="shared" si="17"/>
        <v>9.7454936775020098</v>
      </c>
      <c r="D277">
        <v>35.117848819999999</v>
      </c>
      <c r="E277">
        <f t="shared" si="18"/>
        <v>37.866808803945737</v>
      </c>
      <c r="F277">
        <f t="shared" si="19"/>
        <v>35.055123885855529</v>
      </c>
      <c r="G277">
        <v>0</v>
      </c>
      <c r="H277">
        <v>9.7510018059999997</v>
      </c>
    </row>
    <row r="278" spans="1:8" x14ac:dyDescent="0.35">
      <c r="A278" t="s">
        <v>285</v>
      </c>
      <c r="B278">
        <f t="shared" si="16"/>
        <v>9.7585754169999994</v>
      </c>
      <c r="C278">
        <f t="shared" si="17"/>
        <v>9.7893118343294994</v>
      </c>
      <c r="D278">
        <v>34.620813409999997</v>
      </c>
      <c r="E278">
        <f t="shared" si="18"/>
        <v>37.773422725030819</v>
      </c>
      <c r="F278">
        <f t="shared" si="19"/>
        <v>34.968993465479599</v>
      </c>
      <c r="G278">
        <v>0</v>
      </c>
      <c r="H278">
        <v>9.7585754169999994</v>
      </c>
    </row>
    <row r="279" spans="1:8" x14ac:dyDescent="0.35">
      <c r="A279" t="s">
        <v>286</v>
      </c>
      <c r="B279">
        <f t="shared" si="16"/>
        <v>9.7879115280000004</v>
      </c>
      <c r="C279">
        <f t="shared" si="17"/>
        <v>10.050930090369613</v>
      </c>
      <c r="D279">
        <v>31.74342253</v>
      </c>
      <c r="E279">
        <f t="shared" si="18"/>
        <v>37.411695092478404</v>
      </c>
      <c r="F279">
        <f t="shared" si="19"/>
        <v>34.636628442379049</v>
      </c>
      <c r="G279">
        <v>0</v>
      </c>
      <c r="H279">
        <v>9.7879115280000004</v>
      </c>
    </row>
    <row r="280" spans="1:8" x14ac:dyDescent="0.35">
      <c r="A280" t="s">
        <v>287</v>
      </c>
      <c r="B280">
        <f t="shared" si="16"/>
        <v>9.7526525460000002</v>
      </c>
      <c r="C280">
        <f t="shared" si="17"/>
        <v>10.098568644262805</v>
      </c>
      <c r="D280">
        <v>31.235518419999998</v>
      </c>
      <c r="E280">
        <f t="shared" si="18"/>
        <v>37.84645442663377</v>
      </c>
      <c r="F280">
        <f t="shared" si="19"/>
        <v>35.036339546834618</v>
      </c>
      <c r="G280">
        <v>0</v>
      </c>
      <c r="H280">
        <v>9.7526525460000002</v>
      </c>
    </row>
    <row r="281" spans="1:8" x14ac:dyDescent="0.35">
      <c r="A281" t="s">
        <v>288</v>
      </c>
      <c r="B281">
        <f t="shared" si="16"/>
        <v>9.699669213</v>
      </c>
      <c r="C281">
        <f t="shared" si="17"/>
        <v>10.06507371926825</v>
      </c>
      <c r="D281">
        <v>31.59212673</v>
      </c>
      <c r="E281">
        <f t="shared" si="18"/>
        <v>38.499763094944498</v>
      </c>
      <c r="F281">
        <f t="shared" si="19"/>
        <v>35.642445892115077</v>
      </c>
      <c r="G281">
        <v>0</v>
      </c>
      <c r="H281">
        <v>9.699669213</v>
      </c>
    </row>
    <row r="282" spans="1:8" x14ac:dyDescent="0.35">
      <c r="A282" t="s">
        <v>289</v>
      </c>
      <c r="B282">
        <f xml:space="preserve"> H282/(1-$B$5*G282)</f>
        <v>9.6911738429999996</v>
      </c>
      <c r="C282">
        <f t="shared" si="17"/>
        <v>10.035814291598278</v>
      </c>
      <c r="D282">
        <v>31.905589150000001</v>
      </c>
      <c r="E282">
        <f t="shared" si="18"/>
        <v>38.604514882860656</v>
      </c>
      <c r="F282">
        <f t="shared" si="19"/>
        <v>35.740245749671352</v>
      </c>
      <c r="G282">
        <v>0</v>
      </c>
      <c r="H282">
        <v>9.6911738429999996</v>
      </c>
    </row>
    <row r="283" spans="1:8" x14ac:dyDescent="0.35">
      <c r="A283" t="s">
        <v>290</v>
      </c>
      <c r="B283">
        <f t="shared" ref="B283:B346" si="20" xml:space="preserve"> H283/(1-$B$5*G283)</f>
        <v>9.7326164350000006</v>
      </c>
      <c r="C283">
        <f t="shared" si="17"/>
        <v>10.059232252208787</v>
      </c>
      <c r="D283">
        <v>31.654561910000002</v>
      </c>
      <c r="E283">
        <f t="shared" si="18"/>
        <v>38.093508816276184</v>
      </c>
      <c r="F283">
        <f t="shared" si="19"/>
        <v>35.26476805350066</v>
      </c>
      <c r="G283">
        <v>0</v>
      </c>
      <c r="H283">
        <v>9.7326164350000006</v>
      </c>
    </row>
    <row r="284" spans="1:8" x14ac:dyDescent="0.35">
      <c r="A284" t="s">
        <v>291</v>
      </c>
      <c r="B284">
        <f t="shared" si="20"/>
        <v>9.7317951390000008</v>
      </c>
      <c r="C284">
        <f t="shared" si="17"/>
        <v>10.075723290631228</v>
      </c>
      <c r="D284">
        <v>31.478487529999999</v>
      </c>
      <c r="E284">
        <f t="shared" si="18"/>
        <v>38.10363577065349</v>
      </c>
      <c r="F284">
        <f t="shared" si="19"/>
        <v>35.274151586230261</v>
      </c>
      <c r="G284">
        <v>0</v>
      </c>
      <c r="H284">
        <v>9.7317951390000008</v>
      </c>
    </row>
    <row r="285" spans="1:8" x14ac:dyDescent="0.35">
      <c r="A285" t="s">
        <v>292</v>
      </c>
      <c r="B285">
        <f t="shared" si="20"/>
        <v>9.6604097220000007</v>
      </c>
      <c r="C285">
        <f t="shared" si="17"/>
        <v>9.9598785922356097</v>
      </c>
      <c r="D285">
        <v>32.727696569999999</v>
      </c>
      <c r="E285">
        <f t="shared" si="18"/>
        <v>38.983850530209594</v>
      </c>
      <c r="F285">
        <f t="shared" si="19"/>
        <v>36.095845798613546</v>
      </c>
      <c r="G285">
        <v>0</v>
      </c>
      <c r="H285">
        <v>9.6604097220000007</v>
      </c>
    </row>
    <row r="286" spans="1:8" x14ac:dyDescent="0.35">
      <c r="A286" t="s">
        <v>293</v>
      </c>
      <c r="B286">
        <f t="shared" si="20"/>
        <v>9.5190935190000001</v>
      </c>
      <c r="C286">
        <f t="shared" si="17"/>
        <v>9.7571226714317589</v>
      </c>
      <c r="D286">
        <v>34.98550436</v>
      </c>
      <c r="E286">
        <f t="shared" si="18"/>
        <v>40.726343785450048</v>
      </c>
      <c r="F286">
        <f t="shared" si="19"/>
        <v>37.758837384304101</v>
      </c>
      <c r="G286">
        <v>0</v>
      </c>
      <c r="H286">
        <v>9.5190935190000001</v>
      </c>
    </row>
    <row r="287" spans="1:8" x14ac:dyDescent="0.35">
      <c r="A287" t="s">
        <v>294</v>
      </c>
      <c r="B287">
        <f t="shared" si="20"/>
        <v>9.4382946759999999</v>
      </c>
      <c r="C287">
        <f t="shared" si="17"/>
        <v>9.6585363224285725</v>
      </c>
      <c r="D287">
        <v>36.117573450000002</v>
      </c>
      <c r="E287">
        <f t="shared" si="18"/>
        <v>41.722630382244134</v>
      </c>
      <c r="F287">
        <f t="shared" si="19"/>
        <v>38.732044437249343</v>
      </c>
      <c r="G287">
        <v>0</v>
      </c>
      <c r="H287">
        <v>9.4382946759999999</v>
      </c>
    </row>
    <row r="288" spans="1:8" x14ac:dyDescent="0.35">
      <c r="A288" t="s">
        <v>295</v>
      </c>
      <c r="B288">
        <f t="shared" si="20"/>
        <v>9.4440199069999995</v>
      </c>
      <c r="C288">
        <f t="shared" si="17"/>
        <v>9.7685628730127192</v>
      </c>
      <c r="D288">
        <v>34.855615929999999</v>
      </c>
      <c r="E288">
        <f t="shared" si="18"/>
        <v>41.652035672009859</v>
      </c>
      <c r="F288">
        <f t="shared" si="19"/>
        <v>38.662536913057558</v>
      </c>
      <c r="G288">
        <v>0</v>
      </c>
      <c r="H288">
        <v>9.4440199069999995</v>
      </c>
    </row>
    <row r="289" spans="1:8" x14ac:dyDescent="0.35">
      <c r="A289" t="s">
        <v>296</v>
      </c>
      <c r="B289">
        <f t="shared" si="20"/>
        <v>9.4704229170000005</v>
      </c>
      <c r="C289">
        <f t="shared" si="17"/>
        <v>9.7213724219299369</v>
      </c>
      <c r="D289">
        <v>35.393371729999998</v>
      </c>
      <c r="E289">
        <f t="shared" si="18"/>
        <v>41.326474512946959</v>
      </c>
      <c r="F289">
        <f t="shared" si="19"/>
        <v>38.343076973998578</v>
      </c>
      <c r="G289">
        <v>0</v>
      </c>
      <c r="H289">
        <v>9.4704229170000005</v>
      </c>
    </row>
    <row r="290" spans="1:8" x14ac:dyDescent="0.35">
      <c r="A290" t="s">
        <v>297</v>
      </c>
      <c r="B290">
        <f t="shared" si="20"/>
        <v>9.5080965279999994</v>
      </c>
      <c r="C290">
        <f t="shared" si="17"/>
        <v>9.5902447777570092</v>
      </c>
      <c r="D290">
        <v>36.915412259999997</v>
      </c>
      <c r="E290">
        <f t="shared" si="18"/>
        <v>40.861941701602952</v>
      </c>
      <c r="F290">
        <f t="shared" si="19"/>
        <v>37.890321692505267</v>
      </c>
      <c r="G290">
        <v>0</v>
      </c>
      <c r="H290">
        <v>9.5080965279999994</v>
      </c>
    </row>
    <row r="291" spans="1:8" x14ac:dyDescent="0.35">
      <c r="A291" t="s">
        <v>298</v>
      </c>
      <c r="B291">
        <f t="shared" si="20"/>
        <v>9.4984199070000006</v>
      </c>
      <c r="C291">
        <f t="shared" si="17"/>
        <v>9.6206349947585963</v>
      </c>
      <c r="D291">
        <v>36.558969660000002</v>
      </c>
      <c r="E291">
        <f t="shared" si="18"/>
        <v>40.981258853267548</v>
      </c>
      <c r="F291">
        <f t="shared" si="19"/>
        <v>38.006270961812511</v>
      </c>
      <c r="G291">
        <v>0</v>
      </c>
      <c r="H291">
        <v>9.4984199070000006</v>
      </c>
    </row>
    <row r="292" spans="1:8" x14ac:dyDescent="0.35">
      <c r="A292" t="s">
        <v>299</v>
      </c>
      <c r="B292">
        <f t="shared" si="20"/>
        <v>9.4829261569999996</v>
      </c>
      <c r="C292">
        <f t="shared" si="17"/>
        <v>9.7104776549853806</v>
      </c>
      <c r="D292">
        <v>35.518264989999999</v>
      </c>
      <c r="E292">
        <f t="shared" si="18"/>
        <v>41.172303859432787</v>
      </c>
      <c r="F292">
        <f t="shared" si="19"/>
        <v>38.192416247627378</v>
      </c>
      <c r="G292">
        <v>0</v>
      </c>
      <c r="H292">
        <v>9.4829261569999996</v>
      </c>
    </row>
    <row r="293" spans="1:8" x14ac:dyDescent="0.35">
      <c r="A293" t="s">
        <v>300</v>
      </c>
      <c r="B293">
        <f t="shared" si="20"/>
        <v>9.4367275460000002</v>
      </c>
      <c r="C293">
        <f t="shared" si="17"/>
        <v>9.6003289360073936</v>
      </c>
      <c r="D293">
        <v>36.796886409999999</v>
      </c>
      <c r="E293">
        <f t="shared" si="18"/>
        <v>41.741953810110957</v>
      </c>
      <c r="F293">
        <f t="shared" si="19"/>
        <v>38.751084979277472</v>
      </c>
      <c r="G293">
        <v>0</v>
      </c>
      <c r="H293">
        <v>9.4367275460000002</v>
      </c>
    </row>
    <row r="294" spans="1:8" x14ac:dyDescent="0.35">
      <c r="A294" t="s">
        <v>301</v>
      </c>
      <c r="B294">
        <f t="shared" si="20"/>
        <v>9.4755180560000003</v>
      </c>
      <c r="C294">
        <f t="shared" si="17"/>
        <v>9.5628653922759881</v>
      </c>
      <c r="D294">
        <v>37.238481190000002</v>
      </c>
      <c r="E294">
        <f t="shared" si="18"/>
        <v>41.263649124537594</v>
      </c>
      <c r="F294">
        <f t="shared" si="19"/>
        <v>38.281633900603339</v>
      </c>
      <c r="G294">
        <v>0</v>
      </c>
      <c r="H294">
        <v>9.4755180560000003</v>
      </c>
    </row>
    <row r="295" spans="1:8" x14ac:dyDescent="0.35">
      <c r="A295" t="s">
        <v>302</v>
      </c>
      <c r="B295">
        <f t="shared" si="20"/>
        <v>9.5042909719999997</v>
      </c>
      <c r="C295">
        <f t="shared" si="17"/>
        <v>9.5724305514618706</v>
      </c>
      <c r="D295">
        <v>37.125405000000001</v>
      </c>
      <c r="E295">
        <f t="shared" si="18"/>
        <v>40.908865943279892</v>
      </c>
      <c r="F295">
        <f t="shared" si="19"/>
        <v>37.935893267977384</v>
      </c>
      <c r="G295">
        <v>0</v>
      </c>
      <c r="H295">
        <v>9.5042909719999997</v>
      </c>
    </row>
    <row r="296" spans="1:8" x14ac:dyDescent="0.35">
      <c r="A296" t="s">
        <v>303</v>
      </c>
      <c r="B296">
        <f t="shared" si="20"/>
        <v>9.4968368059999992</v>
      </c>
      <c r="C296">
        <f t="shared" si="17"/>
        <v>9.5889120559862171</v>
      </c>
      <c r="D296">
        <v>36.931095280000001</v>
      </c>
      <c r="E296">
        <f t="shared" si="18"/>
        <v>41.000779210850801</v>
      </c>
      <c r="F296">
        <f t="shared" si="19"/>
        <v>38.025262822450863</v>
      </c>
      <c r="G296">
        <v>0</v>
      </c>
      <c r="H296">
        <v>9.4968368059999992</v>
      </c>
    </row>
    <row r="297" spans="1:8" x14ac:dyDescent="0.35">
      <c r="A297" t="s">
        <v>304</v>
      </c>
      <c r="B297">
        <f t="shared" si="20"/>
        <v>9.4266145829999992</v>
      </c>
      <c r="C297">
        <f t="shared" si="17"/>
        <v>9.553288612585682</v>
      </c>
      <c r="D297">
        <v>37.351921599999997</v>
      </c>
      <c r="E297">
        <f t="shared" si="18"/>
        <v>41.866651257706529</v>
      </c>
      <c r="F297">
        <f t="shared" si="19"/>
        <v>38.874109160330775</v>
      </c>
      <c r="G297">
        <v>0</v>
      </c>
      <c r="H297">
        <v>9.4266145829999992</v>
      </c>
    </row>
    <row r="298" spans="1:8" x14ac:dyDescent="0.35">
      <c r="A298" t="s">
        <v>305</v>
      </c>
      <c r="B298">
        <f t="shared" si="20"/>
        <v>9.4355456019999995</v>
      </c>
      <c r="C298">
        <f t="shared" si="17"/>
        <v>9.6323982663978089</v>
      </c>
      <c r="D298">
        <v>36.421603679999997</v>
      </c>
      <c r="E298">
        <f t="shared" si="18"/>
        <v>41.756527718865591</v>
      </c>
      <c r="F298">
        <f t="shared" si="19"/>
        <v>38.76544971689497</v>
      </c>
      <c r="G298">
        <v>0</v>
      </c>
      <c r="H298">
        <v>9.4355456019999995</v>
      </c>
    </row>
    <row r="299" spans="1:8" x14ac:dyDescent="0.35">
      <c r="A299" t="s">
        <v>306</v>
      </c>
      <c r="B299">
        <f t="shared" si="20"/>
        <v>9.3810050930000006</v>
      </c>
      <c r="C299">
        <f t="shared" si="17"/>
        <v>9.6811558062207901</v>
      </c>
      <c r="D299">
        <v>35.855795299999997</v>
      </c>
      <c r="E299">
        <f t="shared" si="18"/>
        <v>42.429037077681855</v>
      </c>
      <c r="F299">
        <f t="shared" si="19"/>
        <v>39.432244247270276</v>
      </c>
      <c r="G299">
        <v>0</v>
      </c>
      <c r="H299">
        <v>9.3810050930000006</v>
      </c>
    </row>
    <row r="300" spans="1:8" x14ac:dyDescent="0.35">
      <c r="A300" t="s">
        <v>307</v>
      </c>
      <c r="B300">
        <f t="shared" si="20"/>
        <v>9.3401615739999997</v>
      </c>
      <c r="C300">
        <f t="shared" si="17"/>
        <v>9.5514068969966068</v>
      </c>
      <c r="D300">
        <v>37.37423794</v>
      </c>
      <c r="E300">
        <f t="shared" si="18"/>
        <v>42.932656300863123</v>
      </c>
      <c r="F300">
        <f t="shared" si="19"/>
        <v>39.936683209869514</v>
      </c>
      <c r="G300">
        <v>0</v>
      </c>
      <c r="H300">
        <v>9.3401615739999997</v>
      </c>
    </row>
    <row r="301" spans="1:8" x14ac:dyDescent="0.35">
      <c r="A301" t="s">
        <v>308</v>
      </c>
      <c r="B301">
        <f t="shared" si="20"/>
        <v>9.2687668980000009</v>
      </c>
      <c r="C301">
        <f t="shared" si="17"/>
        <v>9.5253685275819961</v>
      </c>
      <c r="D301">
        <v>37.683946980000002</v>
      </c>
      <c r="E301">
        <f t="shared" si="18"/>
        <v>43.812985228113419</v>
      </c>
      <c r="F301">
        <f t="shared" si="19"/>
        <v>40.829122556340636</v>
      </c>
      <c r="G301">
        <v>0</v>
      </c>
      <c r="H301">
        <v>9.2687668980000009</v>
      </c>
    </row>
    <row r="302" spans="1:8" x14ac:dyDescent="0.35">
      <c r="A302" t="s">
        <v>309</v>
      </c>
      <c r="B302">
        <f t="shared" si="20"/>
        <v>9.3096458329999994</v>
      </c>
      <c r="C302">
        <f t="shared" si="17"/>
        <v>9.5285601405398328</v>
      </c>
      <c r="D302">
        <v>37.64589385</v>
      </c>
      <c r="E302">
        <f t="shared" si="18"/>
        <v>43.308929309494445</v>
      </c>
      <c r="F302">
        <f t="shared" si="19"/>
        <v>40.316457537378739</v>
      </c>
      <c r="G302">
        <v>0</v>
      </c>
      <c r="H302">
        <v>9.3096458329999994</v>
      </c>
    </row>
    <row r="303" spans="1:8" x14ac:dyDescent="0.35">
      <c r="A303" t="s">
        <v>310</v>
      </c>
      <c r="B303">
        <f t="shared" si="20"/>
        <v>9.3035983800000004</v>
      </c>
      <c r="C303">
        <f t="shared" si="17"/>
        <v>9.3993349137895024</v>
      </c>
      <c r="D303">
        <v>39.207286500000002</v>
      </c>
      <c r="E303">
        <f t="shared" si="18"/>
        <v>43.383497163995052</v>
      </c>
      <c r="F303">
        <f t="shared" si="19"/>
        <v>40.392015044306476</v>
      </c>
      <c r="G303">
        <v>0</v>
      </c>
      <c r="H303">
        <v>9.3035983800000004</v>
      </c>
    </row>
    <row r="304" spans="1:8" x14ac:dyDescent="0.35">
      <c r="A304" t="s">
        <v>311</v>
      </c>
      <c r="B304">
        <f t="shared" si="20"/>
        <v>9.2910085650000003</v>
      </c>
      <c r="C304">
        <f t="shared" si="17"/>
        <v>9.4405743987246069</v>
      </c>
      <c r="D304">
        <v>38.704357219999999</v>
      </c>
      <c r="E304">
        <f t="shared" si="18"/>
        <v>43.53873532675707</v>
      </c>
      <c r="F304">
        <f t="shared" si="19"/>
        <v>40.549629035019763</v>
      </c>
      <c r="G304">
        <v>0</v>
      </c>
      <c r="H304">
        <v>9.2910085650000003</v>
      </c>
    </row>
    <row r="305" spans="1:8" x14ac:dyDescent="0.35">
      <c r="A305" t="s">
        <v>312</v>
      </c>
      <c r="B305">
        <f t="shared" si="20"/>
        <v>9.2658668980000005</v>
      </c>
      <c r="C305">
        <f t="shared" si="17"/>
        <v>9.5379075812960306</v>
      </c>
      <c r="D305">
        <v>37.53459221</v>
      </c>
      <c r="E305">
        <f t="shared" si="18"/>
        <v>43.848743551171374</v>
      </c>
      <c r="F305">
        <f t="shared" si="19"/>
        <v>40.865663454008427</v>
      </c>
      <c r="G305">
        <v>0</v>
      </c>
      <c r="H305">
        <v>9.2658668980000005</v>
      </c>
    </row>
    <row r="306" spans="1:8" x14ac:dyDescent="0.35">
      <c r="A306" t="s">
        <v>313</v>
      </c>
      <c r="B306">
        <f t="shared" si="20"/>
        <v>9.2857231480000006</v>
      </c>
      <c r="C306">
        <f t="shared" si="17"/>
        <v>9.5652602999671412</v>
      </c>
      <c r="D306">
        <v>37.210148150000002</v>
      </c>
      <c r="E306">
        <f t="shared" si="18"/>
        <v>43.603906929716381</v>
      </c>
      <c r="F306">
        <f t="shared" si="19"/>
        <v>40.615925427571504</v>
      </c>
      <c r="G306">
        <v>0</v>
      </c>
      <c r="H306">
        <v>9.2857231480000006</v>
      </c>
    </row>
    <row r="307" spans="1:8" x14ac:dyDescent="0.35">
      <c r="A307" t="s">
        <v>314</v>
      </c>
      <c r="B307">
        <f t="shared" si="20"/>
        <v>9.3328490740000003</v>
      </c>
      <c r="C307">
        <f t="shared" si="17"/>
        <v>9.5872996430488744</v>
      </c>
      <c r="D307">
        <v>36.950075439999999</v>
      </c>
      <c r="E307">
        <f t="shared" si="18"/>
        <v>43.02282276202218</v>
      </c>
      <c r="F307">
        <f t="shared" si="19"/>
        <v>40.02746243658919</v>
      </c>
      <c r="G307">
        <v>0</v>
      </c>
      <c r="H307">
        <v>9.3328490740000003</v>
      </c>
    </row>
    <row r="308" spans="1:8" x14ac:dyDescent="0.35">
      <c r="A308" t="s">
        <v>315</v>
      </c>
      <c r="B308">
        <f t="shared" si="20"/>
        <v>9.3568738430000007</v>
      </c>
      <c r="C308">
        <f t="shared" si="17"/>
        <v>9.6283986909515757</v>
      </c>
      <c r="D308">
        <v>36.468271190000003</v>
      </c>
      <c r="E308">
        <f t="shared" si="18"/>
        <v>42.726586399506758</v>
      </c>
      <c r="F308">
        <f t="shared" si="19"/>
        <v>39.729745572679583</v>
      </c>
      <c r="G308">
        <v>0</v>
      </c>
      <c r="H308">
        <v>9.3568738430000007</v>
      </c>
    </row>
    <row r="309" spans="1:8" x14ac:dyDescent="0.35">
      <c r="A309" t="s">
        <v>316</v>
      </c>
      <c r="B309">
        <f t="shared" si="20"/>
        <v>9.2917849540000006</v>
      </c>
      <c r="C309">
        <f t="shared" si="17"/>
        <v>9.6848743817425742</v>
      </c>
      <c r="D309">
        <v>35.812876789999997</v>
      </c>
      <c r="E309">
        <f t="shared" si="18"/>
        <v>43.529162096177537</v>
      </c>
      <c r="F309">
        <f t="shared" si="19"/>
        <v>40.539896934302448</v>
      </c>
      <c r="G309">
        <v>0</v>
      </c>
      <c r="H309">
        <v>9.2917849540000006</v>
      </c>
    </row>
    <row r="310" spans="1:8" x14ac:dyDescent="0.35">
      <c r="A310" t="s">
        <v>317</v>
      </c>
      <c r="B310">
        <f t="shared" si="20"/>
        <v>9.3044511570000008</v>
      </c>
      <c r="C310">
        <f t="shared" si="17"/>
        <v>9.6439962836042472</v>
      </c>
      <c r="D310">
        <v>36.286495539999997</v>
      </c>
      <c r="E310">
        <f t="shared" si="18"/>
        <v>43.372982034525258</v>
      </c>
      <c r="F310">
        <f t="shared" si="19"/>
        <v>40.381354411238505</v>
      </c>
      <c r="G310">
        <v>0</v>
      </c>
      <c r="H310">
        <v>9.3044511570000008</v>
      </c>
    </row>
    <row r="311" spans="1:8" x14ac:dyDescent="0.35">
      <c r="A311" t="s">
        <v>318</v>
      </c>
      <c r="B311">
        <f t="shared" si="20"/>
        <v>9.2803000000000004</v>
      </c>
      <c r="C311">
        <f t="shared" si="17"/>
        <v>9.4431278239349812</v>
      </c>
      <c r="D311">
        <v>38.673361759999999</v>
      </c>
      <c r="E311">
        <f t="shared" si="18"/>
        <v>43.670776818742276</v>
      </c>
      <c r="F311">
        <f t="shared" si="19"/>
        <v>40.684027909801699</v>
      </c>
      <c r="G311">
        <v>0</v>
      </c>
      <c r="H311">
        <v>9.2803000000000004</v>
      </c>
    </row>
    <row r="312" spans="1:8" x14ac:dyDescent="0.35">
      <c r="A312" t="s">
        <v>319</v>
      </c>
      <c r="B312">
        <f t="shared" si="20"/>
        <v>9.3259430559999998</v>
      </c>
      <c r="C312">
        <f t="shared" si="17"/>
        <v>9.4844902911767868</v>
      </c>
      <c r="D312">
        <v>38.173596799999999</v>
      </c>
      <c r="E312">
        <f t="shared" si="18"/>
        <v>43.107977114673233</v>
      </c>
      <c r="F312">
        <f t="shared" si="19"/>
        <v>40.113326203149043</v>
      </c>
      <c r="G312">
        <v>0</v>
      </c>
      <c r="H312">
        <v>9.3259430559999998</v>
      </c>
    </row>
    <row r="313" spans="1:8" x14ac:dyDescent="0.35">
      <c r="A313" t="s">
        <v>320</v>
      </c>
      <c r="B313">
        <f t="shared" si="20"/>
        <v>9.2993618060000003</v>
      </c>
      <c r="C313">
        <f t="shared" si="17"/>
        <v>9.5483264985414813</v>
      </c>
      <c r="D313">
        <v>37.410789129999998</v>
      </c>
      <c r="E313">
        <f t="shared" si="18"/>
        <v>43.435736054253994</v>
      </c>
      <c r="F313">
        <f t="shared" si="19"/>
        <v>40.445005777548552</v>
      </c>
      <c r="G313">
        <v>0</v>
      </c>
      <c r="H313">
        <v>9.2993618060000003</v>
      </c>
    </row>
    <row r="314" spans="1:8" x14ac:dyDescent="0.35">
      <c r="A314" t="s">
        <v>321</v>
      </c>
      <c r="B314">
        <f t="shared" si="20"/>
        <v>9.3252474539999994</v>
      </c>
      <c r="C314">
        <f t="shared" si="17"/>
        <v>9.5359240114575314</v>
      </c>
      <c r="D314">
        <v>37.558192689999998</v>
      </c>
      <c r="E314">
        <f t="shared" si="18"/>
        <v>43.116554204685571</v>
      </c>
      <c r="F314">
        <f t="shared" si="19"/>
        <v>40.121981798188436</v>
      </c>
      <c r="G314">
        <v>0</v>
      </c>
      <c r="H314">
        <v>9.3252474539999994</v>
      </c>
    </row>
    <row r="315" spans="1:8" x14ac:dyDescent="0.35">
      <c r="A315" t="s">
        <v>322</v>
      </c>
      <c r="B315">
        <f t="shared" si="20"/>
        <v>9.388946528</v>
      </c>
      <c r="C315">
        <f t="shared" si="17"/>
        <v>9.5304637818609717</v>
      </c>
      <c r="D315">
        <v>37.623209150000001</v>
      </c>
      <c r="E315">
        <f t="shared" si="18"/>
        <v>42.331115561035745</v>
      </c>
      <c r="F315">
        <f t="shared" si="19"/>
        <v>39.334672972326935</v>
      </c>
      <c r="G315">
        <v>0</v>
      </c>
      <c r="H315">
        <v>9.388946528</v>
      </c>
    </row>
    <row r="316" spans="1:8" x14ac:dyDescent="0.35">
      <c r="A316" t="s">
        <v>323</v>
      </c>
      <c r="B316">
        <f t="shared" si="20"/>
        <v>9.4047613430000006</v>
      </c>
      <c r="C316">
        <f t="shared" si="17"/>
        <v>9.5216250323132101</v>
      </c>
      <c r="D316">
        <v>37.728612630000001</v>
      </c>
      <c r="E316">
        <f t="shared" si="18"/>
        <v>42.136111676942029</v>
      </c>
      <c r="F316">
        <f t="shared" si="19"/>
        <v>39.140857384515698</v>
      </c>
      <c r="G316">
        <v>0</v>
      </c>
      <c r="H316">
        <v>9.4047613430000006</v>
      </c>
    </row>
    <row r="317" spans="1:8" x14ac:dyDescent="0.35">
      <c r="A317" t="s">
        <v>324</v>
      </c>
      <c r="B317">
        <f t="shared" si="20"/>
        <v>9.4149865740000003</v>
      </c>
      <c r="C317">
        <f t="shared" si="17"/>
        <v>9.5229292569739616</v>
      </c>
      <c r="D317">
        <v>37.713047240000002</v>
      </c>
      <c r="E317">
        <f t="shared" si="18"/>
        <v>42.010029913686793</v>
      </c>
      <c r="F317">
        <f t="shared" si="19"/>
        <v>39.015890519397203</v>
      </c>
      <c r="G317">
        <v>0</v>
      </c>
      <c r="H317">
        <v>9.4149865740000003</v>
      </c>
    </row>
    <row r="318" spans="1:8" x14ac:dyDescent="0.35">
      <c r="A318" t="s">
        <v>325</v>
      </c>
      <c r="B318">
        <f t="shared" si="20"/>
        <v>9.3667525460000007</v>
      </c>
      <c r="C318">
        <f t="shared" si="17"/>
        <v>9.4685621406523239</v>
      </c>
      <c r="D318">
        <v>38.365532850000001</v>
      </c>
      <c r="E318">
        <f t="shared" si="18"/>
        <v>42.604777484586904</v>
      </c>
      <c r="F318">
        <f t="shared" si="19"/>
        <v>39.607770990437444</v>
      </c>
      <c r="G318">
        <v>0</v>
      </c>
      <c r="H318">
        <v>9.3667525460000007</v>
      </c>
    </row>
    <row r="319" spans="1:8" x14ac:dyDescent="0.35">
      <c r="A319" t="s">
        <v>326</v>
      </c>
      <c r="B319">
        <f t="shared" si="20"/>
        <v>9.3784833330000001</v>
      </c>
      <c r="C319">
        <f t="shared" si="17"/>
        <v>9.4342592233296134</v>
      </c>
      <c r="D319">
        <v>38.781087790000001</v>
      </c>
      <c r="E319">
        <f t="shared" si="18"/>
        <v>42.460131528976561</v>
      </c>
      <c r="F319">
        <f t="shared" si="19"/>
        <v>39.463262047937256</v>
      </c>
      <c r="G319">
        <v>0</v>
      </c>
      <c r="H319">
        <v>9.3784833330000001</v>
      </c>
    </row>
    <row r="320" spans="1:8" x14ac:dyDescent="0.35">
      <c r="A320" t="s">
        <v>327</v>
      </c>
      <c r="B320">
        <f t="shared" si="20"/>
        <v>9.3740245370000004</v>
      </c>
      <c r="C320">
        <f t="shared" si="17"/>
        <v>9.4865013097064885</v>
      </c>
      <c r="D320">
        <v>38.14940962</v>
      </c>
      <c r="E320">
        <f t="shared" si="18"/>
        <v>42.515110517879144</v>
      </c>
      <c r="F320">
        <f t="shared" si="19"/>
        <v>39.51814634895873</v>
      </c>
      <c r="G320">
        <v>0</v>
      </c>
      <c r="H320">
        <v>9.3740245370000004</v>
      </c>
    </row>
    <row r="321" spans="1:8" x14ac:dyDescent="0.35">
      <c r="A321" t="s">
        <v>328</v>
      </c>
      <c r="B321">
        <f t="shared" si="20"/>
        <v>9.4164562499999995</v>
      </c>
      <c r="C321">
        <f t="shared" si="17"/>
        <v>9.5022122284711212</v>
      </c>
      <c r="D321">
        <v>37.960801660000001</v>
      </c>
      <c r="E321">
        <f t="shared" si="18"/>
        <v>41.991908138101103</v>
      </c>
      <c r="F321">
        <f t="shared" si="19"/>
        <v>38.997951296096346</v>
      </c>
      <c r="G321">
        <v>0</v>
      </c>
      <c r="H321">
        <v>9.4164562499999995</v>
      </c>
    </row>
    <row r="322" spans="1:8" x14ac:dyDescent="0.35">
      <c r="A322" t="s">
        <v>329</v>
      </c>
      <c r="B322">
        <f t="shared" si="20"/>
        <v>9.471600231</v>
      </c>
      <c r="C322">
        <f t="shared" si="17"/>
        <v>9.5324016435396395</v>
      </c>
      <c r="D322">
        <v>37.600125970000001</v>
      </c>
      <c r="E322">
        <f t="shared" si="18"/>
        <v>41.311957694204672</v>
      </c>
      <c r="F322">
        <f t="shared" si="19"/>
        <v>38.328873688817168</v>
      </c>
      <c r="G322">
        <v>0</v>
      </c>
      <c r="H322">
        <v>9.471600231</v>
      </c>
    </row>
    <row r="323" spans="1:8" x14ac:dyDescent="0.35">
      <c r="A323" t="s">
        <v>330</v>
      </c>
      <c r="B323">
        <f t="shared" si="20"/>
        <v>9.5297634260000006</v>
      </c>
      <c r="C323">
        <f t="shared" si="17"/>
        <v>9.562988323693606</v>
      </c>
      <c r="D323">
        <v>37.237026499999999</v>
      </c>
      <c r="E323">
        <f t="shared" si="18"/>
        <v>40.594778964241655</v>
      </c>
      <c r="F323">
        <f t="shared" si="19"/>
        <v>37.631553871449711</v>
      </c>
      <c r="G323">
        <v>0</v>
      </c>
      <c r="H323">
        <v>9.5297634260000006</v>
      </c>
    </row>
    <row r="324" spans="1:8" x14ac:dyDescent="0.35">
      <c r="A324" t="s">
        <v>331</v>
      </c>
      <c r="B324">
        <f t="shared" si="20"/>
        <v>9.5456743060000004</v>
      </c>
      <c r="C324">
        <f t="shared" si="17"/>
        <v>9.5939148320696095</v>
      </c>
      <c r="D324">
        <v>36.872246820000001</v>
      </c>
      <c r="E324">
        <f t="shared" si="18"/>
        <v>40.398590554870509</v>
      </c>
      <c r="F324">
        <f t="shared" si="19"/>
        <v>37.442278241574314</v>
      </c>
      <c r="G324">
        <v>0</v>
      </c>
      <c r="H324">
        <v>9.5456743060000004</v>
      </c>
    </row>
    <row r="325" spans="1:8" x14ac:dyDescent="0.35">
      <c r="A325" t="s">
        <v>332</v>
      </c>
      <c r="B325">
        <f t="shared" si="20"/>
        <v>9.4503729169999993</v>
      </c>
      <c r="C325">
        <f t="shared" si="17"/>
        <v>9.5699015304014647</v>
      </c>
      <c r="D325">
        <v>37.155280279999999</v>
      </c>
      <c r="E325">
        <f t="shared" si="18"/>
        <v>41.573700160295928</v>
      </c>
      <c r="F325">
        <f t="shared" si="19"/>
        <v>38.585506375175541</v>
      </c>
      <c r="G325">
        <v>0</v>
      </c>
      <c r="H325">
        <v>9.4503729169999993</v>
      </c>
    </row>
    <row r="326" spans="1:8" x14ac:dyDescent="0.35">
      <c r="A326" t="s">
        <v>333</v>
      </c>
      <c r="B326">
        <f t="shared" si="20"/>
        <v>9.383567824</v>
      </c>
      <c r="C326">
        <f t="shared" si="17"/>
        <v>9.4356461951119019</v>
      </c>
      <c r="D326">
        <v>38.76422702</v>
      </c>
      <c r="E326">
        <f t="shared" si="18"/>
        <v>42.39743743526509</v>
      </c>
      <c r="F326">
        <f t="shared" si="19"/>
        <v>39.400739580897273</v>
      </c>
      <c r="G326">
        <v>0</v>
      </c>
      <c r="H326">
        <v>9.383567824</v>
      </c>
    </row>
    <row r="327" spans="1:8" x14ac:dyDescent="0.35">
      <c r="A327" t="s">
        <v>334</v>
      </c>
      <c r="B327">
        <f t="shared" si="20"/>
        <v>9.3006912039999996</v>
      </c>
      <c r="C327">
        <f t="shared" si="17"/>
        <v>9.4222480506488893</v>
      </c>
      <c r="D327">
        <v>38.927309649999998</v>
      </c>
      <c r="E327">
        <f t="shared" si="18"/>
        <v>43.419343970406899</v>
      </c>
      <c r="F327">
        <f t="shared" si="19"/>
        <v>40.4283725747595</v>
      </c>
      <c r="G327">
        <v>0</v>
      </c>
      <c r="H327">
        <v>9.3006912039999996</v>
      </c>
    </row>
    <row r="328" spans="1:8" x14ac:dyDescent="0.35">
      <c r="A328" t="s">
        <v>335</v>
      </c>
      <c r="B328">
        <f t="shared" si="20"/>
        <v>9.2617386570000004</v>
      </c>
      <c r="C328">
        <f t="shared" si="17"/>
        <v>9.3275388301603339</v>
      </c>
      <c r="D328">
        <v>40.093474360000002</v>
      </c>
      <c r="E328">
        <f t="shared" si="18"/>
        <v>43.89964664611589</v>
      </c>
      <c r="F328">
        <f t="shared" si="19"/>
        <v>40.917720041488998</v>
      </c>
      <c r="G328">
        <v>0</v>
      </c>
      <c r="H328">
        <v>9.2617386570000004</v>
      </c>
    </row>
    <row r="329" spans="1:8" x14ac:dyDescent="0.35">
      <c r="A329" t="s">
        <v>336</v>
      </c>
      <c r="B329">
        <f t="shared" si="20"/>
        <v>9.2832094909999991</v>
      </c>
      <c r="C329">
        <f t="shared" ref="C329:C368" si="21">$B$2/(1+$B$4*((D329/100)/$B$3))</f>
        <v>9.3670398242891419</v>
      </c>
      <c r="D329">
        <v>39.60422775</v>
      </c>
      <c r="E329">
        <f t="shared" ref="E329:E368" si="22" xml:space="preserve"> (12.822 - B329)/0.0811</f>
        <v>43.634901467324291</v>
      </c>
      <c r="F329">
        <f t="shared" ref="F329:F368" si="23" xml:space="preserve"> ((($B$3 *($B$2-B329))/($B$4*B329)))*100</f>
        <v>40.647481385280862</v>
      </c>
      <c r="G329">
        <v>0</v>
      </c>
      <c r="H329">
        <v>9.2832094909999991</v>
      </c>
    </row>
    <row r="330" spans="1:8" x14ac:dyDescent="0.35">
      <c r="A330" t="s">
        <v>337</v>
      </c>
      <c r="B330">
        <f t="shared" si="20"/>
        <v>9.3211324070000003</v>
      </c>
      <c r="C330">
        <f t="shared" si="21"/>
        <v>9.3907424883147232</v>
      </c>
      <c r="D330">
        <v>39.312630050000003</v>
      </c>
      <c r="E330">
        <f t="shared" si="22"/>
        <v>43.167294611590613</v>
      </c>
      <c r="F330">
        <f t="shared" si="23"/>
        <v>40.17321305254211</v>
      </c>
      <c r="G330">
        <v>0</v>
      </c>
      <c r="H330">
        <v>9.3211324070000003</v>
      </c>
    </row>
    <row r="331" spans="1:8" x14ac:dyDescent="0.35">
      <c r="A331" t="s">
        <v>338</v>
      </c>
      <c r="B331">
        <f t="shared" si="20"/>
        <v>9.3675701389999997</v>
      </c>
      <c r="C331">
        <f t="shared" si="21"/>
        <v>9.3717496064419379</v>
      </c>
      <c r="D331">
        <v>39.546169089999999</v>
      </c>
      <c r="E331">
        <f t="shared" si="22"/>
        <v>42.594696189889014</v>
      </c>
      <c r="F331">
        <f t="shared" si="23"/>
        <v>39.597687511496545</v>
      </c>
      <c r="G331">
        <v>0</v>
      </c>
      <c r="H331">
        <v>9.3675701389999997</v>
      </c>
    </row>
    <row r="332" spans="1:8" x14ac:dyDescent="0.35">
      <c r="A332" t="s">
        <v>339</v>
      </c>
      <c r="B332">
        <f t="shared" si="20"/>
        <v>9.3908134259999994</v>
      </c>
      <c r="C332">
        <f t="shared" si="21"/>
        <v>9.3922151532873936</v>
      </c>
      <c r="D332">
        <v>39.294561420000001</v>
      </c>
      <c r="E332">
        <f t="shared" si="22"/>
        <v>42.308095856966702</v>
      </c>
      <c r="F332">
        <f t="shared" si="23"/>
        <v>39.311759561373556</v>
      </c>
      <c r="G332">
        <v>0</v>
      </c>
      <c r="H332">
        <v>9.3908134259999994</v>
      </c>
    </row>
    <row r="333" spans="1:8" x14ac:dyDescent="0.35">
      <c r="A333" t="s">
        <v>340</v>
      </c>
      <c r="B333">
        <f t="shared" si="20"/>
        <v>9.4658185190000008</v>
      </c>
      <c r="C333">
        <f t="shared" si="21"/>
        <v>9.4430182944444141</v>
      </c>
      <c r="D333">
        <v>38.67469097</v>
      </c>
      <c r="E333">
        <f t="shared" si="22"/>
        <v>41.383248840937092</v>
      </c>
      <c r="F333">
        <f t="shared" si="23"/>
        <v>38.398659021485109</v>
      </c>
      <c r="G333">
        <v>0</v>
      </c>
      <c r="H333">
        <v>9.4658185190000008</v>
      </c>
    </row>
    <row r="334" spans="1:8" x14ac:dyDescent="0.35">
      <c r="A334" t="s">
        <v>341</v>
      </c>
      <c r="B334">
        <f t="shared" si="20"/>
        <v>9.5029199070000008</v>
      </c>
      <c r="C334">
        <f t="shared" si="21"/>
        <v>9.4896987269554263</v>
      </c>
      <c r="D334">
        <v>38.110974339999999</v>
      </c>
      <c r="E334">
        <f t="shared" si="22"/>
        <v>40.925771800246586</v>
      </c>
      <c r="F334">
        <f t="shared" si="23"/>
        <v>37.952320730442743</v>
      </c>
      <c r="G334">
        <v>0</v>
      </c>
      <c r="H334">
        <v>9.5029199070000008</v>
      </c>
    </row>
    <row r="335" spans="1:8" x14ac:dyDescent="0.35">
      <c r="A335" t="s">
        <v>342</v>
      </c>
      <c r="B335">
        <f t="shared" si="20"/>
        <v>9.4879347220000003</v>
      </c>
      <c r="C335">
        <f t="shared" si="21"/>
        <v>9.4879271127926348</v>
      </c>
      <c r="D335">
        <v>38.132267229999997</v>
      </c>
      <c r="E335">
        <f t="shared" si="22"/>
        <v>41.110545967940794</v>
      </c>
      <c r="F335">
        <f t="shared" si="23"/>
        <v>38.132175758537372</v>
      </c>
      <c r="G335">
        <v>0</v>
      </c>
      <c r="H335">
        <v>9.4879347220000003</v>
      </c>
    </row>
    <row r="336" spans="1:8" x14ac:dyDescent="0.35">
      <c r="A336" t="s">
        <v>343</v>
      </c>
      <c r="B336">
        <f t="shared" si="20"/>
        <v>9.4525319440000004</v>
      </c>
      <c r="C336">
        <f t="shared" si="21"/>
        <v>9.4391193642526297</v>
      </c>
      <c r="D336">
        <v>38.722027060000002</v>
      </c>
      <c r="E336">
        <f t="shared" si="22"/>
        <v>41.547078372379758</v>
      </c>
      <c r="F336">
        <f t="shared" si="23"/>
        <v>38.559351647340442</v>
      </c>
      <c r="G336">
        <v>0</v>
      </c>
      <c r="H336">
        <v>9.4525319440000004</v>
      </c>
    </row>
    <row r="337" spans="1:8" x14ac:dyDescent="0.35">
      <c r="A337" t="s">
        <v>344</v>
      </c>
      <c r="B337">
        <f t="shared" si="20"/>
        <v>9.4550534719999995</v>
      </c>
      <c r="C337">
        <f t="shared" si="21"/>
        <v>9.482580309117969</v>
      </c>
      <c r="D337">
        <v>38.196578279999997</v>
      </c>
      <c r="E337">
        <f t="shared" si="22"/>
        <v>41.515986781750918</v>
      </c>
      <c r="F337">
        <f t="shared" si="23"/>
        <v>38.528820657565198</v>
      </c>
      <c r="G337">
        <v>0</v>
      </c>
      <c r="H337">
        <v>9.4550534719999995</v>
      </c>
    </row>
    <row r="338" spans="1:8" x14ac:dyDescent="0.35">
      <c r="A338" t="s">
        <v>345</v>
      </c>
      <c r="B338">
        <f t="shared" si="20"/>
        <v>9.4272337959999994</v>
      </c>
      <c r="C338">
        <f t="shared" si="21"/>
        <v>9.5190760692220771</v>
      </c>
      <c r="D338">
        <v>37.759045780000001</v>
      </c>
      <c r="E338">
        <f t="shared" si="22"/>
        <v>41.859016078914912</v>
      </c>
      <c r="F338">
        <f t="shared" si="23"/>
        <v>38.866568849158966</v>
      </c>
      <c r="G338">
        <v>0</v>
      </c>
      <c r="H338">
        <v>9.4272337959999994</v>
      </c>
    </row>
    <row r="339" spans="1:8" x14ac:dyDescent="0.35">
      <c r="A339" t="s">
        <v>346</v>
      </c>
      <c r="B339">
        <f t="shared" si="20"/>
        <v>9.3864527780000007</v>
      </c>
      <c r="C339">
        <f t="shared" si="21"/>
        <v>9.3872872577182473</v>
      </c>
      <c r="D339">
        <v>39.355045709999999</v>
      </c>
      <c r="E339">
        <f t="shared" si="22"/>
        <v>42.361864636251518</v>
      </c>
      <c r="F339">
        <f t="shared" si="23"/>
        <v>39.365294283262578</v>
      </c>
      <c r="G339">
        <v>0</v>
      </c>
      <c r="H339">
        <v>9.3864527780000007</v>
      </c>
    </row>
    <row r="340" spans="1:8" x14ac:dyDescent="0.35">
      <c r="A340" t="s">
        <v>347</v>
      </c>
      <c r="B340">
        <f t="shared" si="20"/>
        <v>9.305282407</v>
      </c>
      <c r="C340">
        <f t="shared" si="21"/>
        <v>9.3699812555206528</v>
      </c>
      <c r="D340">
        <v>39.567961150000002</v>
      </c>
      <c r="E340">
        <f t="shared" si="22"/>
        <v>43.362732342786671</v>
      </c>
      <c r="F340">
        <f t="shared" si="23"/>
        <v>40.370964769518523</v>
      </c>
      <c r="G340">
        <v>0</v>
      </c>
      <c r="H340">
        <v>9.305282407</v>
      </c>
    </row>
    <row r="341" spans="1:8" x14ac:dyDescent="0.35">
      <c r="A341" t="s">
        <v>348</v>
      </c>
      <c r="B341">
        <f t="shared" si="20"/>
        <v>9.3092333329999999</v>
      </c>
      <c r="C341">
        <f t="shared" si="21"/>
        <v>9.3264240498553317</v>
      </c>
      <c r="D341">
        <v>40.1073418</v>
      </c>
      <c r="E341">
        <f t="shared" si="22"/>
        <v>43.314015622688025</v>
      </c>
      <c r="F341">
        <f t="shared" si="23"/>
        <v>40.32160823564611</v>
      </c>
      <c r="G341">
        <v>0</v>
      </c>
      <c r="H341">
        <v>9.3092333329999999</v>
      </c>
    </row>
    <row r="342" spans="1:8" x14ac:dyDescent="0.35">
      <c r="A342" t="s">
        <v>349</v>
      </c>
      <c r="B342">
        <f t="shared" si="20"/>
        <v>9.2903412040000006</v>
      </c>
      <c r="C342">
        <f t="shared" si="21"/>
        <v>9.3977338586697776</v>
      </c>
      <c r="D342">
        <v>39.226900909999998</v>
      </c>
      <c r="E342">
        <f t="shared" si="22"/>
        <v>43.546964192355098</v>
      </c>
      <c r="F342">
        <f t="shared" si="23"/>
        <v>40.557995760700024</v>
      </c>
      <c r="G342">
        <v>0</v>
      </c>
      <c r="H342">
        <v>9.2903412040000006</v>
      </c>
    </row>
    <row r="343" spans="1:8" x14ac:dyDescent="0.35">
      <c r="A343" t="s">
        <v>350</v>
      </c>
      <c r="B343">
        <f t="shared" si="20"/>
        <v>9.2853328699999995</v>
      </c>
      <c r="C343">
        <f t="shared" si="21"/>
        <v>9.3569768332659233</v>
      </c>
      <c r="D343">
        <v>39.728472600000003</v>
      </c>
      <c r="E343">
        <f t="shared" si="22"/>
        <v>43.608719235511707</v>
      </c>
      <c r="F343">
        <f t="shared" si="23"/>
        <v>40.620823780735989</v>
      </c>
      <c r="G343">
        <v>0</v>
      </c>
      <c r="H343">
        <v>9.2853328699999995</v>
      </c>
    </row>
    <row r="344" spans="1:8" x14ac:dyDescent="0.35">
      <c r="A344" t="s">
        <v>351</v>
      </c>
      <c r="B344">
        <f t="shared" si="20"/>
        <v>9.3025652310000009</v>
      </c>
      <c r="C344">
        <f t="shared" si="21"/>
        <v>9.3669062901343469</v>
      </c>
      <c r="D344">
        <v>39.605874710000002</v>
      </c>
      <c r="E344">
        <f t="shared" si="22"/>
        <v>43.396236362515388</v>
      </c>
      <c r="F344">
        <f t="shared" si="23"/>
        <v>40.404933140463314</v>
      </c>
      <c r="G344">
        <v>0</v>
      </c>
      <c r="H344">
        <v>9.3025652310000009</v>
      </c>
    </row>
    <row r="345" spans="1:8" x14ac:dyDescent="0.35">
      <c r="A345" t="s">
        <v>352</v>
      </c>
      <c r="B345">
        <f t="shared" si="20"/>
        <v>9.3458897689999993</v>
      </c>
      <c r="C345">
        <f t="shared" si="21"/>
        <v>9.4282229720913833</v>
      </c>
      <c r="D345">
        <v>38.854525459999998</v>
      </c>
      <c r="E345">
        <f t="shared" si="22"/>
        <v>42.862025043156592</v>
      </c>
      <c r="F345">
        <f t="shared" si="23"/>
        <v>39.865671171007023</v>
      </c>
      <c r="G345">
        <v>0</v>
      </c>
      <c r="H345">
        <v>9.3458897689999993</v>
      </c>
    </row>
    <row r="346" spans="1:8" x14ac:dyDescent="0.35">
      <c r="A346" t="s">
        <v>353</v>
      </c>
      <c r="B346">
        <f t="shared" si="20"/>
        <v>9.3904237039999998</v>
      </c>
      <c r="C346">
        <f t="shared" si="21"/>
        <v>9.437605601913889</v>
      </c>
      <c r="D346">
        <v>38.74041587</v>
      </c>
      <c r="E346">
        <f t="shared" si="22"/>
        <v>42.312901307028348</v>
      </c>
      <c r="F346">
        <f t="shared" si="23"/>
        <v>39.316542069907626</v>
      </c>
      <c r="G346">
        <v>0</v>
      </c>
      <c r="H346">
        <v>9.3904237039999998</v>
      </c>
    </row>
    <row r="347" spans="1:8" x14ac:dyDescent="0.35">
      <c r="A347" t="s">
        <v>354</v>
      </c>
      <c r="B347">
        <f t="shared" ref="B347:B368" si="24" xml:space="preserve"> H347/(1-$B$5*G347)</f>
        <v>9.3931422219999998</v>
      </c>
      <c r="C347">
        <f t="shared" si="21"/>
        <v>9.4364646376943142</v>
      </c>
      <c r="D347">
        <v>38.754279920000002</v>
      </c>
      <c r="E347">
        <f t="shared" si="22"/>
        <v>42.27938073982736</v>
      </c>
      <c r="F347">
        <f t="shared" si="23"/>
        <v>39.283189802965438</v>
      </c>
      <c r="G347">
        <v>0</v>
      </c>
      <c r="H347">
        <v>9.3931422219999998</v>
      </c>
    </row>
    <row r="348" spans="1:8" x14ac:dyDescent="0.35">
      <c r="A348" t="s">
        <v>355</v>
      </c>
      <c r="B348">
        <f t="shared" si="24"/>
        <v>9.3283190739999995</v>
      </c>
      <c r="C348">
        <f t="shared" si="21"/>
        <v>9.4353991935641517</v>
      </c>
      <c r="D348">
        <v>38.76722934</v>
      </c>
      <c r="E348">
        <f t="shared" si="22"/>
        <v>43.078679728729959</v>
      </c>
      <c r="F348">
        <f t="shared" si="23"/>
        <v>40.083770397227056</v>
      </c>
      <c r="G348">
        <v>0</v>
      </c>
      <c r="H348">
        <v>9.3283190739999995</v>
      </c>
    </row>
    <row r="349" spans="1:8" x14ac:dyDescent="0.35">
      <c r="A349" t="s">
        <v>356</v>
      </c>
      <c r="B349">
        <f t="shared" si="24"/>
        <v>9.2651082870000003</v>
      </c>
      <c r="C349">
        <f t="shared" si="21"/>
        <v>9.4373824239180042</v>
      </c>
      <c r="D349">
        <v>38.743127479999998</v>
      </c>
      <c r="E349">
        <f t="shared" si="22"/>
        <v>43.858097570900107</v>
      </c>
      <c r="F349">
        <f t="shared" si="23"/>
        <v>40.875225961987212</v>
      </c>
      <c r="G349">
        <v>0</v>
      </c>
      <c r="H349">
        <v>9.2651082870000003</v>
      </c>
    </row>
    <row r="350" spans="1:8" x14ac:dyDescent="0.35">
      <c r="A350" t="s">
        <v>357</v>
      </c>
      <c r="B350">
        <f t="shared" si="24"/>
        <v>9.2040567129999999</v>
      </c>
      <c r="C350">
        <f t="shared" si="21"/>
        <v>9.4393664881591022</v>
      </c>
      <c r="D350">
        <v>38.719025619999996</v>
      </c>
      <c r="E350">
        <f t="shared" si="22"/>
        <v>44.61089133168926</v>
      </c>
      <c r="F350">
        <f t="shared" si="23"/>
        <v>41.649966554312286</v>
      </c>
      <c r="G350">
        <v>0</v>
      </c>
      <c r="H350">
        <v>9.2040567129999999</v>
      </c>
    </row>
    <row r="351" spans="1:8" x14ac:dyDescent="0.35">
      <c r="A351" t="s">
        <v>358</v>
      </c>
      <c r="B351">
        <f t="shared" si="24"/>
        <v>9.1970843749999993</v>
      </c>
      <c r="C351">
        <f t="shared" si="21"/>
        <v>9.4413513868134977</v>
      </c>
      <c r="D351">
        <v>38.694923760000002</v>
      </c>
      <c r="E351">
        <f t="shared" si="22"/>
        <v>44.696863440197284</v>
      </c>
      <c r="F351">
        <f t="shared" si="23"/>
        <v>41.739099489295398</v>
      </c>
      <c r="G351">
        <v>0</v>
      </c>
      <c r="H351">
        <v>9.1970843749999993</v>
      </c>
    </row>
    <row r="352" spans="1:8" x14ac:dyDescent="0.35">
      <c r="A352" t="s">
        <v>359</v>
      </c>
      <c r="B352">
        <f t="shared" si="24"/>
        <v>9.2343562499999994</v>
      </c>
      <c r="C352">
        <f t="shared" si="21"/>
        <v>9.443337120407671</v>
      </c>
      <c r="D352">
        <v>38.6708219</v>
      </c>
      <c r="E352">
        <f t="shared" si="22"/>
        <v>44.237284217016025</v>
      </c>
      <c r="F352">
        <f t="shared" si="23"/>
        <v>41.264186906036592</v>
      </c>
      <c r="G352">
        <v>0</v>
      </c>
      <c r="H352">
        <v>9.2343562499999994</v>
      </c>
    </row>
    <row r="353" spans="1:8" x14ac:dyDescent="0.35">
      <c r="A353" t="s">
        <v>360</v>
      </c>
      <c r="B353">
        <f t="shared" si="24"/>
        <v>9.2882301869999999</v>
      </c>
      <c r="C353">
        <f t="shared" si="21"/>
        <v>9.4453236894685659</v>
      </c>
      <c r="D353">
        <v>38.646720039999998</v>
      </c>
      <c r="E353">
        <f t="shared" si="22"/>
        <v>43.572993995067804</v>
      </c>
      <c r="F353">
        <f t="shared" si="23"/>
        <v>40.584469563409016</v>
      </c>
      <c r="G353">
        <v>0</v>
      </c>
      <c r="H353">
        <v>9.2882301869999999</v>
      </c>
    </row>
    <row r="354" spans="1:8" x14ac:dyDescent="0.35">
      <c r="A354" t="s">
        <v>361</v>
      </c>
      <c r="B354">
        <f t="shared" si="24"/>
        <v>9.3421041240000005</v>
      </c>
      <c r="C354">
        <f t="shared" si="21"/>
        <v>9.4473110945235472</v>
      </c>
      <c r="D354">
        <v>38.622618180000003</v>
      </c>
      <c r="E354">
        <f t="shared" si="22"/>
        <v>42.908703773119584</v>
      </c>
      <c r="F354">
        <f t="shared" si="23"/>
        <v>39.912591792853938</v>
      </c>
      <c r="G354">
        <v>0</v>
      </c>
      <c r="H354">
        <v>9.3421041240000005</v>
      </c>
    </row>
    <row r="355" spans="1:8" x14ac:dyDescent="0.35">
      <c r="A355" t="s">
        <v>362</v>
      </c>
      <c r="B355">
        <f t="shared" si="24"/>
        <v>9.3959780609999992</v>
      </c>
      <c r="C355">
        <f t="shared" si="21"/>
        <v>9.449299336100438</v>
      </c>
      <c r="D355">
        <v>38.598516320000002</v>
      </c>
      <c r="E355">
        <f t="shared" si="22"/>
        <v>42.244413551171391</v>
      </c>
      <c r="F355">
        <f t="shared" si="23"/>
        <v>39.248418744563587</v>
      </c>
      <c r="G355">
        <v>0</v>
      </c>
      <c r="H355">
        <v>9.3959780609999992</v>
      </c>
    </row>
    <row r="356" spans="1:8" x14ac:dyDescent="0.35">
      <c r="A356" t="s">
        <v>363</v>
      </c>
      <c r="B356">
        <f t="shared" si="24"/>
        <v>9.4498519979999998</v>
      </c>
      <c r="C356">
        <f t="shared" si="21"/>
        <v>9.4512884147275056</v>
      </c>
      <c r="D356">
        <v>38.57441446</v>
      </c>
      <c r="E356">
        <f t="shared" si="22"/>
        <v>41.58012332922317</v>
      </c>
      <c r="F356">
        <f t="shared" si="23"/>
        <v>38.591818643863988</v>
      </c>
      <c r="G356">
        <v>0</v>
      </c>
      <c r="H356">
        <v>9.4498519979999998</v>
      </c>
    </row>
    <row r="357" spans="1:8" x14ac:dyDescent="0.35">
      <c r="A357" t="s">
        <v>364</v>
      </c>
      <c r="B357">
        <f t="shared" si="24"/>
        <v>9.5037259350000003</v>
      </c>
      <c r="C357">
        <f t="shared" si="21"/>
        <v>9.453278330933454</v>
      </c>
      <c r="D357">
        <v>38.550312599999998</v>
      </c>
      <c r="E357">
        <f t="shared" si="22"/>
        <v>40.915833107274956</v>
      </c>
      <c r="F357">
        <f t="shared" si="23"/>
        <v>37.942662704054797</v>
      </c>
      <c r="G357">
        <v>0</v>
      </c>
      <c r="H357">
        <v>9.5037259350000003</v>
      </c>
    </row>
    <row r="358" spans="1:8" x14ac:dyDescent="0.35">
      <c r="A358" t="s">
        <v>365</v>
      </c>
      <c r="B358">
        <f t="shared" si="24"/>
        <v>9.5575998720000008</v>
      </c>
      <c r="C358">
        <f t="shared" si="21"/>
        <v>9.4552690852474388</v>
      </c>
      <c r="D358">
        <v>38.526210740000003</v>
      </c>
      <c r="E358">
        <f t="shared" si="22"/>
        <v>40.251542885326735</v>
      </c>
      <c r="F358">
        <f t="shared" si="23"/>
        <v>37.300825042196742</v>
      </c>
      <c r="G358">
        <v>0</v>
      </c>
      <c r="H358">
        <v>9.5575998720000008</v>
      </c>
    </row>
    <row r="359" spans="1:8" x14ac:dyDescent="0.35">
      <c r="A359" t="s">
        <v>366</v>
      </c>
      <c r="B359">
        <f t="shared" si="24"/>
        <v>9.6114738099999997</v>
      </c>
      <c r="C359">
        <f t="shared" si="21"/>
        <v>9.4572606781990611</v>
      </c>
      <c r="D359">
        <v>38.502108880000002</v>
      </c>
      <c r="E359">
        <f t="shared" si="22"/>
        <v>39.587252651048082</v>
      </c>
      <c r="F359">
        <f t="shared" si="23"/>
        <v>36.666182586017115</v>
      </c>
      <c r="G359">
        <v>0</v>
      </c>
      <c r="H359">
        <v>9.6114738099999997</v>
      </c>
    </row>
    <row r="360" spans="1:8" x14ac:dyDescent="0.35">
      <c r="A360" t="s">
        <v>367</v>
      </c>
      <c r="B360">
        <f t="shared" si="24"/>
        <v>9.5860261409999996</v>
      </c>
      <c r="C360">
        <f t="shared" si="21"/>
        <v>9.4824817935575911</v>
      </c>
      <c r="D360">
        <v>38.197763899999998</v>
      </c>
      <c r="E360">
        <f t="shared" si="22"/>
        <v>39.901034019728719</v>
      </c>
      <c r="F360">
        <f t="shared" si="23"/>
        <v>36.965070698940842</v>
      </c>
      <c r="G360">
        <v>0</v>
      </c>
      <c r="H360">
        <v>9.5860261409999996</v>
      </c>
    </row>
    <row r="361" spans="1:8" x14ac:dyDescent="0.35">
      <c r="A361" t="s">
        <v>368</v>
      </c>
      <c r="B361">
        <f t="shared" si="24"/>
        <v>9.5667299270000008</v>
      </c>
      <c r="C361">
        <f t="shared" si="21"/>
        <v>9.4990358698871393</v>
      </c>
      <c r="D361">
        <v>37.998883200000002</v>
      </c>
      <c r="E361">
        <f t="shared" si="22"/>
        <v>40.138965141800227</v>
      </c>
      <c r="F361">
        <f t="shared" si="23"/>
        <v>37.192768698862729</v>
      </c>
      <c r="G361">
        <v>0</v>
      </c>
      <c r="H361">
        <v>9.5667299270000008</v>
      </c>
    </row>
    <row r="362" spans="1:8" x14ac:dyDescent="0.35">
      <c r="A362" t="s">
        <v>369</v>
      </c>
      <c r="B362">
        <f t="shared" si="24"/>
        <v>9.5536247690000007</v>
      </c>
      <c r="C362">
        <f t="shared" si="21"/>
        <v>9.5358738800361955</v>
      </c>
      <c r="D362">
        <v>37.558789279999999</v>
      </c>
      <c r="E362">
        <f t="shared" si="22"/>
        <v>40.300557718865576</v>
      </c>
      <c r="F362">
        <f t="shared" si="23"/>
        <v>37.347935854576093</v>
      </c>
      <c r="G362">
        <v>0</v>
      </c>
      <c r="H362">
        <v>9.5536247690000007</v>
      </c>
    </row>
    <row r="363" spans="1:8" x14ac:dyDescent="0.35">
      <c r="A363" t="s">
        <v>370</v>
      </c>
      <c r="B363">
        <f t="shared" si="24"/>
        <v>9.5391393519999994</v>
      </c>
      <c r="C363">
        <f t="shared" si="21"/>
        <v>9.4796793258489416</v>
      </c>
      <c r="D363">
        <v>38.2315015</v>
      </c>
      <c r="E363">
        <f t="shared" si="22"/>
        <v>40.479169519112205</v>
      </c>
      <c r="F363">
        <f t="shared" si="23"/>
        <v>37.519941563171791</v>
      </c>
      <c r="G363">
        <v>0</v>
      </c>
      <c r="H363">
        <v>9.5391393519999994</v>
      </c>
    </row>
    <row r="364" spans="1:8" x14ac:dyDescent="0.35">
      <c r="A364" t="s">
        <v>371</v>
      </c>
      <c r="B364">
        <f t="shared" si="24"/>
        <v>9.5765539349999997</v>
      </c>
      <c r="C364">
        <f t="shared" si="21"/>
        <v>9.5047333334729913</v>
      </c>
      <c r="D364">
        <v>37.930594110000001</v>
      </c>
      <c r="E364">
        <f t="shared" si="22"/>
        <v>40.017830641183714</v>
      </c>
      <c r="F364">
        <f t="shared" si="23"/>
        <v>37.076729381200224</v>
      </c>
      <c r="G364">
        <v>0</v>
      </c>
      <c r="H364">
        <v>9.5765539349999997</v>
      </c>
    </row>
    <row r="365" spans="1:8" x14ac:dyDescent="0.35">
      <c r="A365" t="s">
        <v>372</v>
      </c>
      <c r="B365">
        <f t="shared" si="24"/>
        <v>9.6263328700000006</v>
      </c>
      <c r="C365">
        <f t="shared" si="21"/>
        <v>9.5658375690228503</v>
      </c>
      <c r="D365">
        <v>37.203320869999999</v>
      </c>
      <c r="E365">
        <f t="shared" si="22"/>
        <v>39.40403366214548</v>
      </c>
      <c r="F365">
        <f t="shared" si="23"/>
        <v>36.492390616055381</v>
      </c>
      <c r="G365">
        <v>0</v>
      </c>
      <c r="H365">
        <v>9.6263328700000006</v>
      </c>
    </row>
    <row r="366" spans="1:8" x14ac:dyDescent="0.35">
      <c r="A366" t="s">
        <v>373</v>
      </c>
      <c r="B366">
        <f t="shared" si="24"/>
        <v>9.6990097219999996</v>
      </c>
      <c r="C366">
        <f t="shared" si="21"/>
        <v>9.5945052532016799</v>
      </c>
      <c r="D366">
        <v>36.865305650000003</v>
      </c>
      <c r="E366">
        <f t="shared" si="22"/>
        <v>38.507894919852028</v>
      </c>
      <c r="F366">
        <f t="shared" si="23"/>
        <v>35.650031908674407</v>
      </c>
      <c r="G366">
        <v>0</v>
      </c>
      <c r="H366">
        <v>9.6990097219999996</v>
      </c>
    </row>
    <row r="367" spans="1:8" x14ac:dyDescent="0.35">
      <c r="A367" t="s">
        <v>374</v>
      </c>
      <c r="B367">
        <f t="shared" si="24"/>
        <v>9.709380093</v>
      </c>
      <c r="C367">
        <f t="shared" si="21"/>
        <v>9.614384786041823</v>
      </c>
      <c r="D367">
        <v>36.632093419999997</v>
      </c>
      <c r="E367">
        <f t="shared" si="22"/>
        <v>38.38002351418001</v>
      </c>
      <c r="F367">
        <f t="shared" si="23"/>
        <v>35.530862542946423</v>
      </c>
      <c r="G367">
        <v>0</v>
      </c>
      <c r="H367">
        <v>9.709380093</v>
      </c>
    </row>
    <row r="368" spans="1:8" x14ac:dyDescent="0.35">
      <c r="A368" t="s">
        <v>375</v>
      </c>
      <c r="B368">
        <f t="shared" si="24"/>
        <v>9.6727689810000008</v>
      </c>
      <c r="C368">
        <f t="shared" si="21"/>
        <v>9.641375925399247</v>
      </c>
      <c r="D368">
        <v>36.316992310000003</v>
      </c>
      <c r="E368">
        <f t="shared" si="22"/>
        <v>38.83145522811342</v>
      </c>
      <c r="F368">
        <f t="shared" si="23"/>
        <v>35.952714272031535</v>
      </c>
      <c r="G368">
        <v>0</v>
      </c>
      <c r="H368">
        <v>9.6727689810000008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CE2F-1FAA-474A-9C53-F2D5911EFD4B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selhausen_SM_Kdose_daily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2023-09-04T15:01:05Z</dcterms:created>
  <dcterms:modified xsi:type="dcterms:W3CDTF">2026-10-26T14:31:17Z</dcterms:modified>
</cp:coreProperties>
</file>