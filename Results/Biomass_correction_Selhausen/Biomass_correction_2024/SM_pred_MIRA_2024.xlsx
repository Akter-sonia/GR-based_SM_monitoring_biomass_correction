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3rd_paper_cleaned\Biomass_correction_Selhausen\Biomass_correction_2024\"/>
    </mc:Choice>
  </mc:AlternateContent>
  <xr:revisionPtr revIDLastSave="0" documentId="13_ncr:1_{4186D7CA-44E1-4CA5-8311-1FD7F8494233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elhausen_SM_EGR_daily" sheetId="1" r:id="rId1"/>
    <sheet name="Sheet1" sheetId="2" r:id="rId2"/>
    <sheet name="Sheet2" sheetId="3" r:id="rId3"/>
  </sheets>
  <definedNames>
    <definedName name="solver_adj" localSheetId="0" hidden="1">selhausen_SM_EGR_daily!$B$2</definedName>
    <definedName name="solver_cvg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selhausen_SM_EGR_daily!$K$6</definedName>
    <definedName name="solver_pre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9" i="1" l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E210" i="1" s="1"/>
  <c r="C210" i="1"/>
  <c r="B211" i="1"/>
  <c r="C211" i="1"/>
  <c r="B212" i="1"/>
  <c r="C212" i="1"/>
  <c r="B213" i="1"/>
  <c r="C213" i="1"/>
  <c r="F213" i="1"/>
  <c r="B214" i="1"/>
  <c r="C214" i="1"/>
  <c r="B215" i="1"/>
  <c r="C215" i="1"/>
  <c r="B216" i="1"/>
  <c r="C216" i="1"/>
  <c r="B217" i="1"/>
  <c r="C217" i="1"/>
  <c r="B110" i="1"/>
  <c r="C110" i="1"/>
  <c r="B111" i="1"/>
  <c r="C111" i="1"/>
  <c r="B112" i="1"/>
  <c r="C112" i="1"/>
  <c r="B113" i="1"/>
  <c r="C113" i="1"/>
  <c r="B114" i="1"/>
  <c r="F114" i="1" s="1"/>
  <c r="C114" i="1"/>
  <c r="B115" i="1"/>
  <c r="C115" i="1"/>
  <c r="B116" i="1"/>
  <c r="C116" i="1"/>
  <c r="B117" i="1"/>
  <c r="C117" i="1"/>
  <c r="B118" i="1"/>
  <c r="C118" i="1"/>
  <c r="B119" i="1"/>
  <c r="C119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E115" i="1" l="1"/>
  <c r="F115" i="1"/>
  <c r="F201" i="1"/>
  <c r="F204" i="1"/>
  <c r="E213" i="1"/>
  <c r="F119" i="1"/>
  <c r="F210" i="1"/>
  <c r="F217" i="1"/>
  <c r="F110" i="1"/>
  <c r="F215" i="1"/>
  <c r="F200" i="1"/>
  <c r="E208" i="1"/>
  <c r="F112" i="1"/>
  <c r="E119" i="1"/>
  <c r="E200" i="1"/>
  <c r="E204" i="1"/>
  <c r="F207" i="1"/>
  <c r="E110" i="1"/>
  <c r="F199" i="1"/>
  <c r="E201" i="1"/>
  <c r="F214" i="1"/>
  <c r="E214" i="1"/>
  <c r="E112" i="1"/>
  <c r="E199" i="1"/>
  <c r="E111" i="1"/>
  <c r="F111" i="1"/>
  <c r="E202" i="1"/>
  <c r="F202" i="1"/>
  <c r="F205" i="1"/>
  <c r="F211" i="1"/>
  <c r="E212" i="1"/>
  <c r="E216" i="1"/>
  <c r="F216" i="1"/>
  <c r="E113" i="1"/>
  <c r="F113" i="1"/>
  <c r="F116" i="1"/>
  <c r="E118" i="1"/>
  <c r="F118" i="1"/>
  <c r="F212" i="1"/>
  <c r="F208" i="1"/>
  <c r="F206" i="1"/>
  <c r="E209" i="1"/>
  <c r="F209" i="1"/>
  <c r="F203" i="1"/>
  <c r="E205" i="1"/>
  <c r="E206" i="1"/>
  <c r="E207" i="1"/>
  <c r="E203" i="1"/>
  <c r="E211" i="1"/>
  <c r="E215" i="1"/>
  <c r="E217" i="1"/>
  <c r="E114" i="1"/>
  <c r="F117" i="1"/>
  <c r="E116" i="1"/>
  <c r="E11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2" i="1"/>
  <c r="E103" i="1"/>
  <c r="E104" i="1"/>
  <c r="E105" i="1"/>
  <c r="E106" i="1"/>
  <c r="E107" i="1"/>
  <c r="E108" i="1"/>
  <c r="E10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6" i="1"/>
  <c r="E147" i="1"/>
  <c r="E148" i="1"/>
  <c r="E149" i="1"/>
  <c r="E150" i="1"/>
  <c r="E151" i="1"/>
  <c r="E8" i="1"/>
  <c r="E175" i="1"/>
  <c r="E191" i="1"/>
  <c r="E195" i="1"/>
  <c r="E174" i="1"/>
  <c r="E190" i="1"/>
  <c r="E194" i="1"/>
  <c r="E197" i="1"/>
  <c r="E101" i="1"/>
  <c r="E145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2" i="1"/>
  <c r="E193" i="1"/>
  <c r="E196" i="1"/>
  <c r="E198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50" i="1"/>
  <c r="E49" i="1"/>
  <c r="E48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8" i="1"/>
  <c r="F8" i="1"/>
  <c r="O6" i="1" l="1" a="1"/>
  <c r="P6" i="1" a="1"/>
  <c r="K5" i="1"/>
  <c r="K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<sst xmlns="http://schemas.openxmlformats.org/spreadsheetml/2006/main" count="279" uniqueCount="278">
  <si>
    <t>Timestamp GMT</t>
  </si>
  <si>
    <t>Parameters</t>
  </si>
  <si>
    <t>Estimates</t>
  </si>
  <si>
    <t>BD</t>
  </si>
  <si>
    <t>ratio</t>
  </si>
  <si>
    <t>R-squared</t>
  </si>
  <si>
    <t>RMSE</t>
  </si>
  <si>
    <t>SM_predicted_empirical</t>
  </si>
  <si>
    <t>K-dose prediction</t>
  </si>
  <si>
    <t xml:space="preserve">Empirical </t>
  </si>
  <si>
    <t>SM prediction</t>
  </si>
  <si>
    <t>SM_ref</t>
  </si>
  <si>
    <t>SM_predicted_theory</t>
  </si>
  <si>
    <t>beta</t>
  </si>
  <si>
    <t>Corrected_MIRA_EGR</t>
  </si>
  <si>
    <t>Predicted_MIRA_EGR</t>
  </si>
  <si>
    <t>MIRA_EGR</t>
  </si>
  <si>
    <t>2024-02-02 00:00:00+00:00</t>
  </si>
  <si>
    <t>2024-02-03 00:00:00+00:00</t>
  </si>
  <si>
    <t>2024-02-04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</si>
  <si>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</si>
  <si>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</si>
  <si>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</si>
  <si>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</si>
  <si>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</si>
  <si>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2024-02-10 00:00:00+00:00</t>
  </si>
  <si>
    <t>2024-02-11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</si>
  <si>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</si>
  <si>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</si>
  <si>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</si>
  <si>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</si>
  <si>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</si>
  <si>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2024-02-17 00:00:00+00:00</t>
  </si>
  <si>
    <t>2024-02-18 00:00:00+00:00</t>
  </si>
  <si>
    <t>2024-02-19 00:00:00+00:00</t>
  </si>
  <si>
    <t>2024-02-20 00:00:00+00:00</t>
  </si>
  <si>
    <t>2024-02-21 00:00:00+00:00</t>
  </si>
  <si>
    <t>2024-02-22 00:00:00+00:00</t>
  </si>
  <si>
    <t>2024-02-23 00:00:00+00:00</t>
  </si>
  <si>
    <t>2024-02-24 00:00:00+00:00</t>
  </si>
  <si>
    <t>2024-02-25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</si>
  <si>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</si>
  <si>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</si>
  <si>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</si>
  <si>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</si>
  <si>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</si>
  <si>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2024-03-02 00:00:00+00:00</t>
  </si>
  <si>
    <t>2024-03-12 00:00:00+00:00</t>
  </si>
  <si>
    <t>2024-03-13 00:00:00+00:00</t>
  </si>
  <si>
    <t>2024-03-14 00:00:00+00:00</t>
  </si>
  <si>
    <t>2024-03-15 00:00:00+00:00</t>
  </si>
  <si>
    <t>2024-03-16 00:00:00+00:00</t>
  </si>
  <si>
    <t>2024-03-17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</si>
  <si>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</si>
  <si>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</si>
  <si>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</si>
  <si>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</si>
  <si>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</si>
  <si>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2024-03-23 00:00:00+00:00</t>
  </si>
  <si>
    <t>2024-03-24 00:00:00+00:00</t>
  </si>
  <si>
    <t>2024-03-25 00:00:00+00:00</t>
  </si>
  <si>
    <t>2024-03-26 00:00:00+00:00</t>
  </si>
  <si>
    <t>2024-03-27 00:00:00+00:00</t>
  </si>
  <si>
    <t>2024-03-28 00:00:00+00:00</t>
  </si>
  <si>
    <t>2024-03-29 00:00:00+00:00</t>
  </si>
  <si>
    <t>2024-03-30 00:00:00+00:00</t>
  </si>
  <si>
    <t>2024-03-31 00:00:00+00:00</t>
  </si>
  <si>
    <t>2024-04-03 00:00:00+00:00</t>
  </si>
  <si>
    <t>2024-04-04 00:00:00+00:00</t>
  </si>
  <si>
    <t>2024-04-05 00:00:00+00:00</t>
  </si>
  <si>
    <t>2024-04-06 00:00:00+00:00</t>
  </si>
  <si>
    <t>2024-04-07 00:00:00+00:00</t>
  </si>
  <si>
    <t>2024-04-08 00:00:00+00:00</t>
  </si>
  <si>
    <t>2024-04-09 00:00:00+00:00</t>
  </si>
  <si>
    <t>2024-04-10 00:00:00+00:00</t>
  </si>
  <si>
    <t>2024-04-11 00:00:00+00:00</t>
  </si>
  <si>
    <t>2024-04-12 00:00:00+00:00</t>
  </si>
  <si>
    <t>2024-04-13 00:00:00+00:00</t>
  </si>
  <si>
    <t>2024-04-14 00:00:00+00:00</t>
  </si>
  <si>
    <t>2024-04-15 00:00:00+00:00</t>
  </si>
  <si>
    <t>2024-05-02 00:00:00+00:00</t>
  </si>
  <si>
    <t>2024-05-03 00:00:00+00:00</t>
  </si>
  <si>
    <t>2024-05-04 00:00:00+00:00</t>
  </si>
  <si>
    <t>2024-05-05 00:00:00+00:00</t>
  </si>
  <si>
    <t>2024-05-06 00:00:00+00:00</t>
  </si>
  <si>
    <t>2024-05-07 00:00:00+00:00</t>
  </si>
  <si>
    <t>2024-05-08 00:00:00+00:00</t>
  </si>
  <si>
    <t>2024-05-09 00:00:00+00:00</t>
  </si>
  <si>
    <t>2024-05-10 00:00:00+00:00</t>
  </si>
  <si>
    <t>2024-05-11 00:00:00+00:00</t>
  </si>
  <si>
    <t>2024-05-12 00:00:00+00:00</t>
  </si>
  <si>
    <t>2024-05-13 00:00:00+00:00</t>
  </si>
  <si>
    <t>2024-05-14 00:00:00+00:00</t>
  </si>
  <si>
    <t>2024-05-15 00:00:00+00:00</t>
  </si>
  <si>
    <t>2024-05-16 00:00:00+00:00</t>
  </si>
  <si>
    <t>2024-05-17 00:00:00+00:00</t>
  </si>
  <si>
    <t>2024-05-18 00:00:00+00:00</t>
  </si>
  <si>
    <t>2024-05-19 00:00:00+00:00</t>
  </si>
  <si>
    <t>2024-05-21 00:00:00+00:00</t>
  </si>
  <si>
    <t>2024-05-22 00:00:00+00:00</t>
  </si>
  <si>
    <t>2024-05-23 00:00:00+00:00</t>
  </si>
  <si>
    <t>2024-05-24 00:00:00+00:00</t>
  </si>
  <si>
    <t>2024-05-25 00:00:00+00:00</t>
  </si>
  <si>
    <t>2024-05-26 00:00:00+00:00</t>
  </si>
  <si>
    <t>2024-05-27 00:00:00+00:00</t>
  </si>
  <si>
    <t>2024-05-28 00:00:00+00:00</t>
  </si>
  <si>
    <t>2024-05-29 00:00:00+00:00</t>
  </si>
  <si>
    <t>2024-05-30 00:00:00+00:00</t>
  </si>
  <si>
    <t>2024-05-31 00:00:00+00:00</t>
  </si>
  <si>
    <t>2024-06-01 00:00:00+00:00</t>
  </si>
  <si>
    <t>2024-06-02 00:00:00+00:00</t>
  </si>
  <si>
    <t>2024-06-03 00:00:00+00:00</t>
  </si>
  <si>
    <t>2024-06-04 00:00:00+00:00</t>
  </si>
  <si>
    <t>2024-06-05 00:00:00+00:00</t>
  </si>
  <si>
    <t>2024-06-06 00:00:00+00:00</t>
  </si>
  <si>
    <t>2024-06-07 00:00:00+00:00</t>
  </si>
  <si>
    <t>2024-06-08 00:00:00+00:00</t>
  </si>
  <si>
    <t>2024-06-09 00:00:00+00:00</t>
  </si>
  <si>
    <t>2024-06-10 00:00:00+00:00</t>
  </si>
  <si>
    <t>2024-06-11 00:00:00+00:00</t>
  </si>
  <si>
    <t>2024-06-12 00:00:00+00:00</t>
  </si>
  <si>
    <t>2024-06-13 00:00:00+00:00</t>
  </si>
  <si>
    <t>2024-06-14 00:00:00+00:00</t>
  </si>
  <si>
    <t>2024-06-15 00:00:00+00:00</t>
  </si>
  <si>
    <t>2024-06-16 00:00:00+00:00</t>
  </si>
  <si>
    <t>2024-06-17 00:00:00+00:00</t>
  </si>
  <si>
    <t>2024-06-18 00:00:00+00:00</t>
  </si>
  <si>
    <t>2024-06-21 00:00:00+00:00</t>
  </si>
  <si>
    <t>2024-06-22 00:00:00+00:00</t>
  </si>
  <si>
    <t>2024-06-23 00:00:00+00:00</t>
  </si>
  <si>
    <t>2024-06-24 00:00:00+00:00</t>
  </si>
  <si>
    <t>2024-06-25 00:00:00+00:00</t>
  </si>
  <si>
    <t>2024-06-26 00:00:00+00:00</t>
  </si>
  <si>
    <t>2024-06-27 00:00:00+00:00</t>
  </si>
  <si>
    <t>2024-06-28 00:00:00+00:00</t>
  </si>
  <si>
    <t>2024-06-29 00:00:00+00:00</t>
  </si>
  <si>
    <t>2024-06-30 00:00:00+00:00</t>
  </si>
  <si>
    <t>2024-07-01 00:00:00+00:00</t>
  </si>
  <si>
    <t>2024-07-02 00:00:00+00:00</t>
  </si>
  <si>
    <t>2024-07-03 00:00:00+00:00</t>
  </si>
  <si>
    <t>2024-07-04 00:00:00+00:00</t>
  </si>
  <si>
    <t>2024-07-05 00:00:00+00:00</t>
  </si>
  <si>
    <t>2024-07-06 00:00:00+00:00</t>
  </si>
  <si>
    <t>2024-07-07 00:00:00+00:00</t>
  </si>
  <si>
    <t>2024-07-08 00:00:00+00:00</t>
  </si>
  <si>
    <t>2024-07-09 00:00:00+00:00</t>
  </si>
  <si>
    <t>2024-07-10 00:00:00+00:00</t>
  </si>
  <si>
    <t>2024-07-12 00:00:00+00:00</t>
  </si>
  <si>
    <t>2024-07-13 00:00:00+00:00</t>
  </si>
  <si>
    <t>2024-07-14 00:00:00+00:00</t>
  </si>
  <si>
    <t>2024-07-15 00:00:00+00:00</t>
  </si>
  <si>
    <t>2024-07-16 00:00:00+00:00</t>
  </si>
  <si>
    <t>2024-07-17 00:00:00+00:00</t>
  </si>
  <si>
    <t>2024-07-18 00:00:00+00:00</t>
  </si>
  <si>
    <t>2024-07-19 00:00:00+00:00</t>
  </si>
  <si>
    <t>2024-07-20 00:00:00+00:00</t>
  </si>
  <si>
    <t>2024-07-21 00:00:00+00:00</t>
  </si>
  <si>
    <t>2024-07-22 00:00:00+00:00</t>
  </si>
  <si>
    <t>2024-07-23 00:00:00+00:00</t>
  </si>
  <si>
    <t>2024-07-24 00:00:00+00:00</t>
  </si>
  <si>
    <t>2024-07-25 00:00:00+00:00</t>
  </si>
  <si>
    <t>2024-07-26 00:00:00+00:00</t>
  </si>
  <si>
    <t>2024-07-27 00:00:00+00:00</t>
  </si>
  <si>
    <t>2024-07-28 00:00:00+00:00</t>
  </si>
  <si>
    <t>2024-07-29 00:00:00+00:00</t>
  </si>
  <si>
    <t>2024-07-30 00:00:00+00:00</t>
  </si>
  <si>
    <t>2024-07-31 00:00:00+00:00</t>
  </si>
  <si>
    <t>2024-08-01 00:00:00+00:00</t>
  </si>
  <si>
    <t>2024-08-02 00:00:00+00:00</t>
  </si>
  <si>
    <t>2024-08-03 00:00:00+00:00</t>
  </si>
  <si>
    <t>2024-08-04 00:00:00+00:00</t>
  </si>
  <si>
    <t>2024-08-05 00:00:00+00:00</t>
  </si>
  <si>
    <t>2024-08-06 00:00:00+00:00</t>
  </si>
  <si>
    <t>2024-08-07 00:00:00+00:00</t>
  </si>
  <si>
    <t>2024-08-08 00:00:00+00:00</t>
  </si>
  <si>
    <t>2024-08-09 00:00:00+00:00</t>
  </si>
  <si>
    <t>2024-08-10 00:00:00+00:00</t>
  </si>
  <si>
    <t>2024-08-11 00:00:00+00:00</t>
  </si>
  <si>
    <t>2024-08-12 00:00:00+00:00</t>
  </si>
  <si>
    <t>2024-08-13 00:00:00+00:00</t>
  </si>
  <si>
    <t>2024-08-14 00:00:00+00:00</t>
  </si>
  <si>
    <t>2024-08-15 00:00:00+00:00</t>
  </si>
  <si>
    <t>2024-08-16 00:00:00+00:00</t>
  </si>
  <si>
    <t>2024-08-17 00:00:00+00:00</t>
  </si>
  <si>
    <t>2024-08-18 00:00:00+00:00</t>
  </si>
  <si>
    <t>2024-08-19 00:00:00+00:00</t>
  </si>
  <si>
    <t>2024-08-20 00:00:00+00:00</t>
  </si>
  <si>
    <t>2024-08-21 00:00:00+00:00</t>
  </si>
  <si>
    <t>2024-08-22 00:00:00+00:00</t>
  </si>
  <si>
    <t>2024-08-23 00:00:00+00:00</t>
  </si>
  <si>
    <t>2024-08-24 00:00:00+00:00</t>
  </si>
  <si>
    <t>2024-08-25 00:00:00+00:00</t>
  </si>
  <si>
    <t>2024-08-26 00:00:00+00:00</t>
  </si>
  <si>
    <t>2024-08-27 00:00:00+00:00</t>
  </si>
  <si>
    <t>2024-08-28 00:00:00+00:00</t>
  </si>
  <si>
    <t>2024-08-29 00:00:00+00:00</t>
  </si>
  <si>
    <t>2024-08-30 00:00:00+00:00</t>
  </si>
  <si>
    <t>2024-08-31 00:00:00+00:00</t>
  </si>
  <si>
    <t>2024-09-01 00:00:00+00:00</t>
  </si>
  <si>
    <t>2024-09-02 00:00:00+00:00</t>
  </si>
  <si>
    <t>2024-09-03 00:00:00+00:00</t>
  </si>
  <si>
    <t>2024-09-04 00:00:00+00:00</t>
  </si>
  <si>
    <t>2024-09-05 00:00:00+00:00</t>
  </si>
  <si>
    <t>2024-09-06 00:00:00+00:00</t>
  </si>
  <si>
    <t>2024-09-07 00:00:00+00:00</t>
  </si>
  <si>
    <t>2024-09-08 00:00:00+00:00</t>
  </si>
  <si>
    <t>2024-09-09 00:00:00+00:00</t>
  </si>
  <si>
    <t>2024-09-10 00:00:00+00:00</t>
  </si>
  <si>
    <t>2024-09-11 00:00:00+00:00</t>
  </si>
  <si>
    <t>2024-09-12 00:00:00+00:00</t>
  </si>
  <si>
    <t>2024-09-13 00:00:00+00:00</t>
  </si>
  <si>
    <t>2024-09-14 00:00:00+00:00</t>
  </si>
  <si>
    <t>2024-09-15 00:00:00+00:00</t>
  </si>
  <si>
    <t>2024-09-16 00:00:00+00:00</t>
  </si>
  <si>
    <t>2024-09-17 00:00:00+00:00</t>
  </si>
  <si>
    <t>2024-10-31 00:00:00+00:00</t>
  </si>
  <si>
    <t>2024-11-01 00:00:00+00:00</t>
  </si>
  <si>
    <t>2024-11-02 00:00:00+00:00</t>
  </si>
  <si>
    <t>2024-11-03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</si>
  <si>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</si>
  <si>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</si>
  <si>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</si>
  <si>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</si>
  <si>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</si>
  <si>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2024-11-09 00:00:00+00:00</t>
  </si>
  <si>
    <t>2024-11-10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</si>
  <si>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</si>
  <si>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</si>
  <si>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</si>
  <si>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</si>
  <si>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</si>
  <si>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2024-11-16 00:00:00+00:00</t>
  </si>
  <si>
    <t>2024-11-17 00:00:00+00:00</t>
  </si>
  <si>
    <t>2024-11-18 00:00:00+00:00</t>
  </si>
  <si>
    <t>2024-11-19 00:00:00+00:00</t>
  </si>
  <si>
    <t>2024-11-20 00:00:00+00:00</t>
  </si>
  <si>
    <t>2024-11-21 00:00:00+00:00</t>
  </si>
  <si>
    <t>2024-11-22 00:00:00+00:00</t>
  </si>
  <si>
    <t>2024-11-23 00:00:00+00:00</t>
  </si>
  <si>
    <t>2024-11-24 00:00:00+00:00</t>
  </si>
  <si>
    <t>2024-11-25 00:00:00+00:00</t>
  </si>
  <si>
    <t>2024-11-26 00:00:00+00:00</t>
  </si>
  <si>
    <t>2024-11-27 00:00:00+00:00</t>
  </si>
  <si>
    <t>2024-11-28 00:00:00+00:00</t>
  </si>
  <si>
    <t>2024-11-29 00:00:00+00:00</t>
  </si>
  <si>
    <t>2024-11-30 00:00:00+00:00</t>
  </si>
  <si>
    <t>2024-12-01 00:00:00+00:00</t>
  </si>
  <si>
    <t>2024-12-02 00:00:00+00:00</t>
  </si>
  <si>
    <t>2024-12-03 00:00:00+00:00</t>
  </si>
  <si>
    <t>2024-12-04 00:00:00+00:00</t>
  </si>
  <si>
    <t>2024-12-05 00:00:00+00:00</t>
  </si>
  <si>
    <t>2024-12-06 00:00:00+00:00</t>
  </si>
  <si>
    <t>2024-12-07 00:00:00+00:00</t>
  </si>
  <si>
    <t>2024-12-08 00:00:00+00:00</t>
  </si>
  <si>
    <t>2024-12-09 00:00:00+00:00</t>
  </si>
  <si>
    <t>2024-12-10 00:00:00+00:00</t>
  </si>
  <si>
    <t>2024-12-11 00:00:00+00:00</t>
  </si>
  <si>
    <t>2024-12-12 00:00:00+00:00</t>
  </si>
  <si>
    <t>2024-12-13 00:00:00+00:00</t>
  </si>
  <si>
    <t>2024-12-14 00:00:00+00:00</t>
  </si>
  <si>
    <t>2024-12-15 00:00:00+00:00</t>
  </si>
  <si>
    <t>2024-12-16 00:00:00+00:00</t>
  </si>
  <si>
    <t>2024-12-17 00:00:00+00:00</t>
  </si>
  <si>
    <t>2024-12-18 00:00:00+00:00</t>
  </si>
  <si>
    <t>2024-12-19 00:00:00+00:00</t>
  </si>
  <si>
    <t>2024-12-20 00:00:00+00:00</t>
  </si>
  <si>
    <t>2024-12-21 00:00:00+00:00</t>
  </si>
  <si>
    <t>2024-12-22 00:00:00+00:00</t>
  </si>
  <si>
    <t>2024-12-23 00:00:00+00:00</t>
  </si>
  <si>
    <t>2024-12-24 00:00:00+00:00</t>
  </si>
  <si>
    <t>2024-12-25 00:00:00+00:00</t>
  </si>
  <si>
    <t>2024-12-26 00:00:00+00:00</t>
  </si>
  <si>
    <t>2024-12-27 00:00:00+00:00</t>
  </si>
  <si>
    <t>2024-12-28 00:00:00+00:00</t>
  </si>
  <si>
    <t>2024-12-29 00:00:00+00:00</t>
  </si>
  <si>
    <t>2024-12-30 00:00:00+00:00</t>
  </si>
  <si>
    <t>Biomass</t>
  </si>
  <si>
    <t>GRdry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</si>
</sst>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Kdose_SM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630197645748827"/>
                  <c:y val="-0.519484126984126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selhausen_SM_EGR_daily!$D$8:$D$400</c:f>
              <c:numCache>
                <c:formatCode>General</c:formatCode>
                <c:ptCount val="393"/>
                <c:pt idx="0">
                  <c:v>36.827739288057799</c:v>
                </c:pt>
                <c:pt idx="1">
                  <c:v>36.502086615008203</c:v>
                </c:pt>
                <c:pt idx="2">
                  <c:v>37.820905597170601</c:v>
                </c:pt>
                <c:pt idx="3">
                  <c:v>37.385703514750197</c:v>
                </c:pt>
                <c:pt idx="4">
                  <c:v>36.330821405988701</c:v>
                </c:pt>
                <c:pt idx="5">
                  <c:v>38.522220074486697</c:v>
                </c:pt>
                <c:pt idx="6">
                  <c:v>39.199029022511397</c:v>
                </c:pt>
                <c:pt idx="7">
                  <c:v>38.994992077880099</c:v>
                </c:pt>
                <c:pt idx="8">
                  <c:v>38.558119855760197</c:v>
                </c:pt>
                <c:pt idx="9">
                  <c:v>38.523438943215801</c:v>
                </c:pt>
                <c:pt idx="10">
                  <c:v>37.951135763560401</c:v>
                </c:pt>
                <c:pt idx="11">
                  <c:v>37.3219873750744</c:v>
                </c:pt>
                <c:pt idx="12">
                  <c:v>36.929590288939401</c:v>
                </c:pt>
                <c:pt idx="13">
                  <c:v>37.077414175641501</c:v>
                </c:pt>
                <c:pt idx="14">
                  <c:v>36.905670172037802</c:v>
                </c:pt>
                <c:pt idx="15">
                  <c:v>37.364110724335703</c:v>
                </c:pt>
                <c:pt idx="16">
                  <c:v>37.744059991978702</c:v>
                </c:pt>
                <c:pt idx="17">
                  <c:v>38.451154163460501</c:v>
                </c:pt>
                <c:pt idx="18">
                  <c:v>38.264715277809898</c:v>
                </c:pt>
                <c:pt idx="19">
                  <c:v>37.437937154580602</c:v>
                </c:pt>
                <c:pt idx="20">
                  <c:v>38.649393085200501</c:v>
                </c:pt>
                <c:pt idx="21">
                  <c:v>38.492626629082899</c:v>
                </c:pt>
                <c:pt idx="22">
                  <c:v>37.409015079073001</c:v>
                </c:pt>
                <c:pt idx="23">
                  <c:v>36.832495049798197</c:v>
                </c:pt>
                <c:pt idx="24">
                  <c:v>38.891737159288901</c:v>
                </c:pt>
                <c:pt idx="25">
                  <c:v>38.694481583835099</c:v>
                </c:pt>
                <c:pt idx="26">
                  <c:v>37.887614657947402</c:v>
                </c:pt>
                <c:pt idx="27">
                  <c:v>37.644267541068402</c:v>
                </c:pt>
                <c:pt idx="28">
                  <c:v>37.714892073714701</c:v>
                </c:pt>
                <c:pt idx="29">
                  <c:v>37.785516606361</c:v>
                </c:pt>
                <c:pt idx="30">
                  <c:v>38.3216019609401</c:v>
                </c:pt>
                <c:pt idx="31">
                  <c:v>38.709285472713503</c:v>
                </c:pt>
                <c:pt idx="32">
                  <c:v>37.456798997182503</c:v>
                </c:pt>
                <c:pt idx="33">
                  <c:v>36.844163778936199</c:v>
                </c:pt>
                <c:pt idx="34">
                  <c:v>38.224117367542597</c:v>
                </c:pt>
                <c:pt idx="35">
                  <c:v>37.1468579436063</c:v>
                </c:pt>
                <c:pt idx="36">
                  <c:v>36.717923589951901</c:v>
                </c:pt>
                <c:pt idx="37">
                  <c:v>36.1140824782252</c:v>
                </c:pt>
                <c:pt idx="38">
                  <c:v>35.4904756034882</c:v>
                </c:pt>
                <c:pt idx="39">
                  <c:v>34.9526329184134</c:v>
                </c:pt>
                <c:pt idx="40">
                  <c:v>34.733795326231601</c:v>
                </c:pt>
                <c:pt idx="41">
                  <c:v>36.320441281008002</c:v>
                </c:pt>
                <c:pt idx="42">
                  <c:v>37.5800935134939</c:v>
                </c:pt>
                <c:pt idx="43">
                  <c:v>37.006157454053998</c:v>
                </c:pt>
                <c:pt idx="44">
                  <c:v>35.932403876890902</c:v>
                </c:pt>
                <c:pt idx="45">
                  <c:v>36.254133463046898</c:v>
                </c:pt>
                <c:pt idx="46">
                  <c:v>36.390973332691502</c:v>
                </c:pt>
                <c:pt idx="47">
                  <c:v>36.008973915065198</c:v>
                </c:pt>
                <c:pt idx="48">
                  <c:v>35.9239697832028</c:v>
                </c:pt>
                <c:pt idx="49">
                  <c:v>35.838965651340402</c:v>
                </c:pt>
                <c:pt idx="50">
                  <c:v>35.502528596995298</c:v>
                </c:pt>
                <c:pt idx="51">
                  <c:v>36.699949187168897</c:v>
                </c:pt>
                <c:pt idx="52">
                  <c:v>36.536614010711297</c:v>
                </c:pt>
                <c:pt idx="53">
                  <c:v>35.3305826550299</c:v>
                </c:pt>
                <c:pt idx="54">
                  <c:v>34.201074692677899</c:v>
                </c:pt>
                <c:pt idx="55">
                  <c:v>34.403486905825503</c:v>
                </c:pt>
                <c:pt idx="56">
                  <c:v>33.855690507900697</c:v>
                </c:pt>
                <c:pt idx="57">
                  <c:v>33.351948487343698</c:v>
                </c:pt>
                <c:pt idx="58">
                  <c:v>32.841713263601797</c:v>
                </c:pt>
                <c:pt idx="59">
                  <c:v>32.4797632307071</c:v>
                </c:pt>
                <c:pt idx="60">
                  <c:v>32.103782964479898</c:v>
                </c:pt>
                <c:pt idx="61">
                  <c:v>31.742797573479098</c:v>
                </c:pt>
                <c:pt idx="62">
                  <c:v>31.381812182478299</c:v>
                </c:pt>
                <c:pt idx="63">
                  <c:v>26.831183762971801</c:v>
                </c:pt>
                <c:pt idx="64">
                  <c:v>34.518864171282701</c:v>
                </c:pt>
                <c:pt idx="65">
                  <c:v>35.2391245748125</c:v>
                </c:pt>
                <c:pt idx="66">
                  <c:v>35.778244035441197</c:v>
                </c:pt>
                <c:pt idx="67">
                  <c:v>35.945191989545997</c:v>
                </c:pt>
                <c:pt idx="68">
                  <c:v>38.786420794270299</c:v>
                </c:pt>
                <c:pt idx="69">
                  <c:v>37.327950427753798</c:v>
                </c:pt>
                <c:pt idx="70">
                  <c:v>36.144562939614701</c:v>
                </c:pt>
                <c:pt idx="71">
                  <c:v>34.735708502413402</c:v>
                </c:pt>
                <c:pt idx="72">
                  <c:v>33.465459648726799</c:v>
                </c:pt>
                <c:pt idx="73">
                  <c:v>32.308438444707399</c:v>
                </c:pt>
                <c:pt idx="74">
                  <c:v>31.300998297678699</c:v>
                </c:pt>
                <c:pt idx="75">
                  <c:v>30.469237327995899</c:v>
                </c:pt>
                <c:pt idx="76">
                  <c:v>30.168969211969401</c:v>
                </c:pt>
                <c:pt idx="77">
                  <c:v>32.0910279215949</c:v>
                </c:pt>
                <c:pt idx="78">
                  <c:v>31.8625926649677</c:v>
                </c:pt>
                <c:pt idx="79">
                  <c:v>31.4583462654731</c:v>
                </c:pt>
                <c:pt idx="80">
                  <c:v>31.062609024766999</c:v>
                </c:pt>
                <c:pt idx="81">
                  <c:v>30.994080608836001</c:v>
                </c:pt>
                <c:pt idx="82">
                  <c:v>32.7750177828378</c:v>
                </c:pt>
                <c:pt idx="83">
                  <c:v>32.065218593262003</c:v>
                </c:pt>
                <c:pt idx="84">
                  <c:v>34.802265302004301</c:v>
                </c:pt>
                <c:pt idx="85">
                  <c:v>36.065530825288597</c:v>
                </c:pt>
                <c:pt idx="86">
                  <c:v>34.739342932042398</c:v>
                </c:pt>
                <c:pt idx="87">
                  <c:v>34.122340470902699</c:v>
                </c:pt>
                <c:pt idx="88">
                  <c:v>34.492350777914901</c:v>
                </c:pt>
                <c:pt idx="89">
                  <c:v>34.037416416620601</c:v>
                </c:pt>
                <c:pt idx="90">
                  <c:v>37.0387419568141</c:v>
                </c:pt>
                <c:pt idx="91">
                  <c:v>36.461872022930798</c:v>
                </c:pt>
                <c:pt idx="92">
                  <c:v>35.498626930236597</c:v>
                </c:pt>
                <c:pt idx="93">
                  <c:v>35.928328229430001</c:v>
                </c:pt>
                <c:pt idx="94">
                  <c:v>35.126552158502001</c:v>
                </c:pt>
                <c:pt idx="95">
                  <c:v>34.1167529843746</c:v>
                </c:pt>
                <c:pt idx="96">
                  <c:v>33.224320606064701</c:v>
                </c:pt>
                <c:pt idx="97">
                  <c:v>32.518967356221502</c:v>
                </c:pt>
                <c:pt idx="98">
                  <c:v>31.557899166655702</c:v>
                </c:pt>
                <c:pt idx="99">
                  <c:v>30.590635727977698</c:v>
                </c:pt>
                <c:pt idx="100">
                  <c:v>29.7898125302466</c:v>
                </c:pt>
                <c:pt idx="101">
                  <c:v>29.1723054063017</c:v>
                </c:pt>
                <c:pt idx="102">
                  <c:v>28.944480207266501</c:v>
                </c:pt>
                <c:pt idx="103">
                  <c:v>28.5637140906992</c:v>
                </c:pt>
                <c:pt idx="104">
                  <c:v>28.3356722144595</c:v>
                </c:pt>
                <c:pt idx="105">
                  <c:v>27.8769048488621</c:v>
                </c:pt>
                <c:pt idx="106">
                  <c:v>27.662044485460701</c:v>
                </c:pt>
                <c:pt idx="107">
                  <c:v>27.326281992673099</c:v>
                </c:pt>
                <c:pt idx="108">
                  <c:v>27.385899725779801</c:v>
                </c:pt>
                <c:pt idx="109">
                  <c:v>29.5353925470143</c:v>
                </c:pt>
                <c:pt idx="110">
                  <c:v>34.350204460009799</c:v>
                </c:pt>
                <c:pt idx="111">
                  <c:v>34.704479509313899</c:v>
                </c:pt>
                <c:pt idx="112">
                  <c:v>32.800289756108803</c:v>
                </c:pt>
                <c:pt idx="113">
                  <c:v>31.089399471392699</c:v>
                </c:pt>
                <c:pt idx="114">
                  <c:v>29.9702984372367</c:v>
                </c:pt>
                <c:pt idx="115">
                  <c:v>28.691059373047299</c:v>
                </c:pt>
                <c:pt idx="116">
                  <c:v>27.514715455931601</c:v>
                </c:pt>
                <c:pt idx="117">
                  <c:v>26.410903294059999</c:v>
                </c:pt>
                <c:pt idx="118">
                  <c:v>25.604857856382001</c:v>
                </c:pt>
                <c:pt idx="119">
                  <c:v>28.841639944837699</c:v>
                </c:pt>
                <c:pt idx="120">
                  <c:v>29.3518320031645</c:v>
                </c:pt>
                <c:pt idx="121">
                  <c:v>28.854311144908898</c:v>
                </c:pt>
                <c:pt idx="122">
                  <c:v>29.666233086137201</c:v>
                </c:pt>
                <c:pt idx="123">
                  <c:v>29.744670155080001</c:v>
                </c:pt>
                <c:pt idx="124">
                  <c:v>28.8535390682712</c:v>
                </c:pt>
                <c:pt idx="125">
                  <c:v>28.2819044092087</c:v>
                </c:pt>
                <c:pt idx="126">
                  <c:v>27.424085288877698</c:v>
                </c:pt>
                <c:pt idx="127">
                  <c:v>26.727154814310602</c:v>
                </c:pt>
                <c:pt idx="128">
                  <c:v>26.027524408369398</c:v>
                </c:pt>
                <c:pt idx="129">
                  <c:v>25.440451593334501</c:v>
                </c:pt>
                <c:pt idx="130">
                  <c:v>25.712586211417499</c:v>
                </c:pt>
                <c:pt idx="131">
                  <c:v>26.437861032954299</c:v>
                </c:pt>
                <c:pt idx="132">
                  <c:v>26.087997906156001</c:v>
                </c:pt>
                <c:pt idx="133">
                  <c:v>25.513276632695799</c:v>
                </c:pt>
                <c:pt idx="134">
                  <c:v>25.914890595067799</c:v>
                </c:pt>
                <c:pt idx="135">
                  <c:v>25.9158394677854</c:v>
                </c:pt>
                <c:pt idx="136">
                  <c:v>25.3708727642762</c:v>
                </c:pt>
                <c:pt idx="137">
                  <c:v>24.8338779968458</c:v>
                </c:pt>
                <c:pt idx="138">
                  <c:v>24.299296530074201</c:v>
                </c:pt>
                <c:pt idx="139">
                  <c:v>23.750477163263898</c:v>
                </c:pt>
                <c:pt idx="140">
                  <c:v>23.195336762997801</c:v>
                </c:pt>
                <c:pt idx="141">
                  <c:v>22.635391489016101</c:v>
                </c:pt>
                <c:pt idx="142">
                  <c:v>22.120319355160198</c:v>
                </c:pt>
                <c:pt idx="143">
                  <c:v>21.5973188839817</c:v>
                </c:pt>
                <c:pt idx="144">
                  <c:v>21.3124737883434</c:v>
                </c:pt>
                <c:pt idx="145">
                  <c:v>21.575686653563299</c:v>
                </c:pt>
                <c:pt idx="146">
                  <c:v>22.244678813829701</c:v>
                </c:pt>
                <c:pt idx="147">
                  <c:v>22.027363091010798</c:v>
                </c:pt>
                <c:pt idx="148">
                  <c:v>21.6544476691009</c:v>
                </c:pt>
                <c:pt idx="149">
                  <c:v>21.513752830932201</c:v>
                </c:pt>
                <c:pt idx="150">
                  <c:v>24.6118377153112</c:v>
                </c:pt>
                <c:pt idx="151">
                  <c:v>27.4123628501798</c:v>
                </c:pt>
                <c:pt idx="152">
                  <c:v>26.619561403858999</c:v>
                </c:pt>
                <c:pt idx="153">
                  <c:v>26.2570879465536</c:v>
                </c:pt>
                <c:pt idx="154">
                  <c:v>25.8560284487071</c:v>
                </c:pt>
                <c:pt idx="155">
                  <c:v>25.185677922551498</c:v>
                </c:pt>
                <c:pt idx="156">
                  <c:v>24.623303080301401</c:v>
                </c:pt>
                <c:pt idx="157">
                  <c:v>24.089274968471202</c:v>
                </c:pt>
                <c:pt idx="158">
                  <c:v>23.491583158278601</c:v>
                </c:pt>
                <c:pt idx="159">
                  <c:v>22.877364054672199</c:v>
                </c:pt>
                <c:pt idx="160">
                  <c:v>22.237042792502098</c:v>
                </c:pt>
                <c:pt idx="161">
                  <c:v>21.679799730906002</c:v>
                </c:pt>
                <c:pt idx="162">
                  <c:v>21.2349274359131</c:v>
                </c:pt>
                <c:pt idx="163">
                  <c:v>21.8247498689128</c:v>
                </c:pt>
                <c:pt idx="164">
                  <c:v>23.337708645983401</c:v>
                </c:pt>
                <c:pt idx="165">
                  <c:v>23.135983922345801</c:v>
                </c:pt>
                <c:pt idx="166">
                  <c:v>23.118803399419299</c:v>
                </c:pt>
                <c:pt idx="167">
                  <c:v>27.614442763423298</c:v>
                </c:pt>
                <c:pt idx="168">
                  <c:v>27.5440769662486</c:v>
                </c:pt>
                <c:pt idx="169">
                  <c:v>26.821684772831698</c:v>
                </c:pt>
                <c:pt idx="170">
                  <c:v>26.1351897451278</c:v>
                </c:pt>
                <c:pt idx="171">
                  <c:v>25.4505323469667</c:v>
                </c:pt>
                <c:pt idx="172">
                  <c:v>24.793314049097098</c:v>
                </c:pt>
                <c:pt idx="173">
                  <c:v>24.3096319265604</c:v>
                </c:pt>
                <c:pt idx="174">
                  <c:v>24.3268247743984</c:v>
                </c:pt>
                <c:pt idx="175">
                  <c:v>24.0051686188731</c:v>
                </c:pt>
                <c:pt idx="176">
                  <c:v>23.627942478906299</c:v>
                </c:pt>
                <c:pt idx="177">
                  <c:v>23.1530056648289</c:v>
                </c:pt>
                <c:pt idx="178">
                  <c:v>22.660155192081699</c:v>
                </c:pt>
                <c:pt idx="179">
                  <c:v>22.2784080340722</c:v>
                </c:pt>
                <c:pt idx="180">
                  <c:v>21.957655008774601</c:v>
                </c:pt>
                <c:pt idx="181">
                  <c:v>21.582620299742899</c:v>
                </c:pt>
                <c:pt idx="182">
                  <c:v>21.211010863218998</c:v>
                </c:pt>
                <c:pt idx="183">
                  <c:v>20.990415747282899</c:v>
                </c:pt>
                <c:pt idx="184">
                  <c:v>21.462831797925801</c:v>
                </c:pt>
                <c:pt idx="185">
                  <c:v>21.7790332899547</c:v>
                </c:pt>
                <c:pt idx="186">
                  <c:v>21.784289907736799</c:v>
                </c:pt>
                <c:pt idx="187">
                  <c:v>21.722882064640402</c:v>
                </c:pt>
                <c:pt idx="188">
                  <c:v>21.614901421455698</c:v>
                </c:pt>
                <c:pt idx="189">
                  <c:v>21.7006987993243</c:v>
                </c:pt>
                <c:pt idx="190">
                  <c:v>22.111257364107701</c:v>
                </c:pt>
                <c:pt idx="191">
                  <c:v>23.433497740271601</c:v>
                </c:pt>
                <c:pt idx="192">
                  <c:v>24.165199178723402</c:v>
                </c:pt>
                <c:pt idx="193">
                  <c:v>25.888808864436701</c:v>
                </c:pt>
                <c:pt idx="194">
                  <c:v>25.7275854757075</c:v>
                </c:pt>
                <c:pt idx="195">
                  <c:v>25.659038787390799</c:v>
                </c:pt>
                <c:pt idx="196">
                  <c:v>25.651812184132002</c:v>
                </c:pt>
                <c:pt idx="197">
                  <c:v>25.644585580873201</c:v>
                </c:pt>
                <c:pt idx="198">
                  <c:v>25.704669784903</c:v>
                </c:pt>
                <c:pt idx="199">
                  <c:v>25.524946577219801</c:v>
                </c:pt>
                <c:pt idx="200">
                  <c:v>25.378913774904198</c:v>
                </c:pt>
                <c:pt idx="201">
                  <c:v>25.242158586146701</c:v>
                </c:pt>
                <c:pt idx="202">
                  <c:v>25.067398879416999</c:v>
                </c:pt>
                <c:pt idx="203">
                  <c:v>24.907534436572998</c:v>
                </c:pt>
                <c:pt idx="204">
                  <c:v>24.8047357611104</c:v>
                </c:pt>
                <c:pt idx="205">
                  <c:v>24.830965556009001</c:v>
                </c:pt>
                <c:pt idx="206">
                  <c:v>24.7153816619062</c:v>
                </c:pt>
                <c:pt idx="207">
                  <c:v>24.609987020952701</c:v>
                </c:pt>
                <c:pt idx="208">
                  <c:v>24.548865205684098</c:v>
                </c:pt>
                <c:pt idx="209">
                  <c:v>25.092118600356699</c:v>
                </c:pt>
                <c:pt idx="210">
                  <c:v>30.494581167153999</c:v>
                </c:pt>
                <c:pt idx="211">
                  <c:v>29.756301592032699</c:v>
                </c:pt>
                <c:pt idx="212">
                  <c:v>31.0129393030074</c:v>
                </c:pt>
                <c:pt idx="213">
                  <c:v>31.105628316753201</c:v>
                </c:pt>
                <c:pt idx="214">
                  <c:v>30.582460661745898</c:v>
                </c:pt>
                <c:pt idx="215">
                  <c:v>31.868333880808699</c:v>
                </c:pt>
                <c:pt idx="216">
                  <c:v>34.478083042584601</c:v>
                </c:pt>
                <c:pt idx="217">
                  <c:v>36.670393613875802</c:v>
                </c:pt>
                <c:pt idx="218">
                  <c:v>36.752385835974501</c:v>
                </c:pt>
                <c:pt idx="219">
                  <c:v>36.363554659059503</c:v>
                </c:pt>
                <c:pt idx="220">
                  <c:v>35.408974394312402</c:v>
                </c:pt>
                <c:pt idx="221">
                  <c:v>36.0267540933433</c:v>
                </c:pt>
                <c:pt idx="222">
                  <c:v>35.202150482981899</c:v>
                </c:pt>
                <c:pt idx="223">
                  <c:v>33.978632949764602</c:v>
                </c:pt>
                <c:pt idx="224">
                  <c:v>33.881251988418803</c:v>
                </c:pt>
                <c:pt idx="225">
                  <c:v>33.680472559087697</c:v>
                </c:pt>
                <c:pt idx="226">
                  <c:v>33.522864355579301</c:v>
                </c:pt>
                <c:pt idx="227">
                  <c:v>33.250008972594699</c:v>
                </c:pt>
                <c:pt idx="228">
                  <c:v>32.920701844085499</c:v>
                </c:pt>
                <c:pt idx="229">
                  <c:v>32.6365692391377</c:v>
                </c:pt>
                <c:pt idx="230">
                  <c:v>32.901828619733003</c:v>
                </c:pt>
                <c:pt idx="231">
                  <c:v>33.843721689773297</c:v>
                </c:pt>
                <c:pt idx="232">
                  <c:v>33.8397785579551</c:v>
                </c:pt>
                <c:pt idx="233">
                  <c:v>34.362193350928102</c:v>
                </c:pt>
                <c:pt idx="234">
                  <c:v>36.151065321793602</c:v>
                </c:pt>
                <c:pt idx="235">
                  <c:v>35.102276247107497</c:v>
                </c:pt>
                <c:pt idx="236">
                  <c:v>34.589577186762</c:v>
                </c:pt>
                <c:pt idx="237">
                  <c:v>34.597926126721703</c:v>
                </c:pt>
                <c:pt idx="238">
                  <c:v>35.034692047449397</c:v>
                </c:pt>
                <c:pt idx="239">
                  <c:v>34.742557310828197</c:v>
                </c:pt>
                <c:pt idx="240">
                  <c:v>34.420257618638402</c:v>
                </c:pt>
                <c:pt idx="241">
                  <c:v>34.0611903858197</c:v>
                </c:pt>
                <c:pt idx="242">
                  <c:v>33.7256732440419</c:v>
                </c:pt>
                <c:pt idx="243">
                  <c:v>34.601165085075202</c:v>
                </c:pt>
                <c:pt idx="244">
                  <c:v>34.394010868605399</c:v>
                </c:pt>
                <c:pt idx="245">
                  <c:v>34.345618963715999</c:v>
                </c:pt>
                <c:pt idx="246">
                  <c:v>34.162326743897999</c:v>
                </c:pt>
                <c:pt idx="247">
                  <c:v>35.386895205924603</c:v>
                </c:pt>
                <c:pt idx="248">
                  <c:v>36.190954837889102</c:v>
                </c:pt>
                <c:pt idx="249">
                  <c:v>35.532295356270701</c:v>
                </c:pt>
                <c:pt idx="250">
                  <c:v>35.965496698396599</c:v>
                </c:pt>
                <c:pt idx="251">
                  <c:v>36.421937693637197</c:v>
                </c:pt>
                <c:pt idx="252">
                  <c:v>36.6232731391963</c:v>
                </c:pt>
                <c:pt idx="253">
                  <c:v>37.1175765465319</c:v>
                </c:pt>
                <c:pt idx="254">
                  <c:v>36.470756992747397</c:v>
                </c:pt>
                <c:pt idx="255">
                  <c:v>35.934010319308598</c:v>
                </c:pt>
                <c:pt idx="256">
                  <c:v>35.145805287817602</c:v>
                </c:pt>
                <c:pt idx="257">
                  <c:v>34.756747050838399</c:v>
                </c:pt>
                <c:pt idx="258">
                  <c:v>35.058540679219703</c:v>
                </c:pt>
              </c:numCache>
            </c:numRef>
          </c:xVal>
          <c:yVal>
            <c:numRef>
              <c:f>selhausen_SM_EGR_daily!$B$8:$B$400</c:f>
              <c:numCache>
                <c:formatCode>General</c:formatCode>
                <c:ptCount val="393"/>
                <c:pt idx="0">
                  <c:v>89.281321664405397</c:v>
                </c:pt>
                <c:pt idx="1">
                  <c:v>89.521427103680907</c:v>
                </c:pt>
                <c:pt idx="2">
                  <c:v>89.502896545914993</c:v>
                </c:pt>
                <c:pt idx="3">
                  <c:v>90.059741818036102</c:v>
                </c:pt>
                <c:pt idx="4">
                  <c:v>90.059741818036102</c:v>
                </c:pt>
                <c:pt idx="5">
                  <c:v>90.709972819651597</c:v>
                </c:pt>
                <c:pt idx="6">
                  <c:v>90.356960641679606</c:v>
                </c:pt>
                <c:pt idx="7">
                  <c:v>90.057227244527994</c:v>
                </c:pt>
                <c:pt idx="8">
                  <c:v>89.825665013673898</c:v>
                </c:pt>
                <c:pt idx="9">
                  <c:v>89.433297979471504</c:v>
                </c:pt>
                <c:pt idx="10">
                  <c:v>89.496133545653706</c:v>
                </c:pt>
                <c:pt idx="11">
                  <c:v>89.720651604362303</c:v>
                </c:pt>
                <c:pt idx="12">
                  <c:v>90.098453612144198</c:v>
                </c:pt>
                <c:pt idx="13">
                  <c:v>90.446205146677499</c:v>
                </c:pt>
                <c:pt idx="14">
                  <c:v>90.114887931038297</c:v>
                </c:pt>
                <c:pt idx="15">
                  <c:v>90.070618271689696</c:v>
                </c:pt>
                <c:pt idx="16">
                  <c:v>89.463335454123097</c:v>
                </c:pt>
                <c:pt idx="17">
                  <c:v>89.631989370360799</c:v>
                </c:pt>
                <c:pt idx="18">
                  <c:v>89.795270515933595</c:v>
                </c:pt>
                <c:pt idx="19">
                  <c:v>89.833458489198804</c:v>
                </c:pt>
                <c:pt idx="20">
                  <c:v>90.001204623518603</c:v>
                </c:pt>
                <c:pt idx="21">
                  <c:v>90.0070317651153</c:v>
                </c:pt>
                <c:pt idx="22">
                  <c:v>90.437945551226406</c:v>
                </c:pt>
                <c:pt idx="23">
                  <c:v>90.631246710416406</c:v>
                </c:pt>
                <c:pt idx="24">
                  <c:v>90.688919324485497</c:v>
                </c:pt>
                <c:pt idx="25">
                  <c:v>90.928206485659103</c:v>
                </c:pt>
                <c:pt idx="26">
                  <c:v>90.7645422264834</c:v>
                </c:pt>
                <c:pt idx="27">
                  <c:v>90.577651099456602</c:v>
                </c:pt>
                <c:pt idx="28">
                  <c:v>90.463398884952596</c:v>
                </c:pt>
                <c:pt idx="29">
                  <c:v>91.074468516370004</c:v>
                </c:pt>
                <c:pt idx="30">
                  <c:v>89.870070280543402</c:v>
                </c:pt>
                <c:pt idx="31">
                  <c:v>89.849894830224699</c:v>
                </c:pt>
                <c:pt idx="32">
                  <c:v>89.9068437250248</c:v>
                </c:pt>
                <c:pt idx="33">
                  <c:v>89.961072031735895</c:v>
                </c:pt>
                <c:pt idx="34">
                  <c:v>89.895657338113395</c:v>
                </c:pt>
                <c:pt idx="35">
                  <c:v>89.537278104543503</c:v>
                </c:pt>
                <c:pt idx="36">
                  <c:v>89.962449560611503</c:v>
                </c:pt>
                <c:pt idx="37">
                  <c:v>90.549199565392698</c:v>
                </c:pt>
                <c:pt idx="38">
                  <c:v>91.067559241439497</c:v>
                </c:pt>
                <c:pt idx="39">
                  <c:v>91.049587477553104</c:v>
                </c:pt>
                <c:pt idx="40">
                  <c:v>90.887606284797897</c:v>
                </c:pt>
                <c:pt idx="41">
                  <c:v>90.615072855974802</c:v>
                </c:pt>
                <c:pt idx="42">
                  <c:v>90.130195058455698</c:v>
                </c:pt>
                <c:pt idx="43">
                  <c:v>90.672428275688105</c:v>
                </c:pt>
                <c:pt idx="44">
                  <c:v>90.774401202780993</c:v>
                </c:pt>
                <c:pt idx="45">
                  <c:v>90.796243221333697</c:v>
                </c:pt>
                <c:pt idx="46">
                  <c:v>90.447412056783904</c:v>
                </c:pt>
                <c:pt idx="47">
                  <c:v>90.312861489919598</c:v>
                </c:pt>
                <c:pt idx="48">
                  <c:v>90.550146215194601</c:v>
                </c:pt>
                <c:pt idx="49">
                  <c:v>90.475090702500296</c:v>
                </c:pt>
                <c:pt idx="50">
                  <c:v>89.8197302030445</c:v>
                </c:pt>
                <c:pt idx="51">
                  <c:v>89.738089532620506</c:v>
                </c:pt>
                <c:pt idx="52">
                  <c:v>89.612485961067193</c:v>
                </c:pt>
                <c:pt idx="53">
                  <c:v>90.080584986495694</c:v>
                </c:pt>
                <c:pt idx="54">
                  <c:v>90.480009592237096</c:v>
                </c:pt>
                <c:pt idx="55">
                  <c:v>90.561156916424196</c:v>
                </c:pt>
                <c:pt idx="56">
                  <c:v>90.564777020323504</c:v>
                </c:pt>
                <c:pt idx="57">
                  <c:v>90.342717699030302</c:v>
                </c:pt>
                <c:pt idx="58">
                  <c:v>90.048105630418206</c:v>
                </c:pt>
                <c:pt idx="59">
                  <c:v>89.722116520992699</c:v>
                </c:pt>
                <c:pt idx="60">
                  <c:v>89.751224861728005</c:v>
                </c:pt>
                <c:pt idx="61">
                  <c:v>89.899557903191393</c:v>
                </c:pt>
                <c:pt idx="62">
                  <c:v>90.388702205323298</c:v>
                </c:pt>
                <c:pt idx="63">
                  <c:v>91.437635516391197</c:v>
                </c:pt>
                <c:pt idx="64">
                  <c:v>89.803152054952903</c:v>
                </c:pt>
                <c:pt idx="65">
                  <c:v>86.860509257952799</c:v>
                </c:pt>
                <c:pt idx="66">
                  <c:v>87.007552285003399</c:v>
                </c:pt>
                <c:pt idx="67">
                  <c:v>86.334039915870093</c:v>
                </c:pt>
                <c:pt idx="68">
                  <c:v>86.623050389057695</c:v>
                </c:pt>
                <c:pt idx="69">
                  <c:v>87.077584013442504</c:v>
                </c:pt>
                <c:pt idx="70">
                  <c:v>88.158722282920706</c:v>
                </c:pt>
                <c:pt idx="71">
                  <c:v>89.314101215929995</c:v>
                </c:pt>
                <c:pt idx="72">
                  <c:v>90.831437670124402</c:v>
                </c:pt>
                <c:pt idx="73">
                  <c:v>91.994349007718895</c:v>
                </c:pt>
                <c:pt idx="74">
                  <c:v>92.905637563827597</c:v>
                </c:pt>
                <c:pt idx="75">
                  <c:v>93.466027509616197</c:v>
                </c:pt>
                <c:pt idx="76">
                  <c:v>91.665399161967997</c:v>
                </c:pt>
                <c:pt idx="77">
                  <c:v>89.958823353056502</c:v>
                </c:pt>
                <c:pt idx="78">
                  <c:v>88.177280541414902</c:v>
                </c:pt>
                <c:pt idx="79">
                  <c:v>89.095482398248393</c:v>
                </c:pt>
                <c:pt idx="80">
                  <c:v>89.986502884175806</c:v>
                </c:pt>
                <c:pt idx="81">
                  <c:v>90.303669265259003</c:v>
                </c:pt>
                <c:pt idx="82">
                  <c:v>89.563480550436097</c:v>
                </c:pt>
                <c:pt idx="83">
                  <c:v>88.038139651378003</c:v>
                </c:pt>
                <c:pt idx="84">
                  <c:v>87.889780585003507</c:v>
                </c:pt>
                <c:pt idx="85">
                  <c:v>87.616971900883996</c:v>
                </c:pt>
                <c:pt idx="86">
                  <c:v>87.717039321251804</c:v>
                </c:pt>
                <c:pt idx="87">
                  <c:v>87.686486674955205</c:v>
                </c:pt>
                <c:pt idx="88">
                  <c:v>87.476956155188205</c:v>
                </c:pt>
                <c:pt idx="89">
                  <c:v>87.978055238440007</c:v>
                </c:pt>
                <c:pt idx="90">
                  <c:v>88.687524146795297</c:v>
                </c:pt>
                <c:pt idx="91">
                  <c:v>88.655823883556806</c:v>
                </c:pt>
                <c:pt idx="92">
                  <c:v>88.498225924719407</c:v>
                </c:pt>
                <c:pt idx="93">
                  <c:v>88.731055926016097</c:v>
                </c:pt>
                <c:pt idx="94">
                  <c:v>89.122158956828997</c:v>
                </c:pt>
                <c:pt idx="95">
                  <c:v>90.019176542797993</c:v>
                </c:pt>
                <c:pt idx="96">
                  <c:v>90.905842183238505</c:v>
                </c:pt>
                <c:pt idx="97">
                  <c:v>91.525410322728305</c:v>
                </c:pt>
                <c:pt idx="98">
                  <c:v>91.697303773784299</c:v>
                </c:pt>
                <c:pt idx="99">
                  <c:v>91.578184955813597</c:v>
                </c:pt>
                <c:pt idx="100">
                  <c:v>92.091797531248304</c:v>
                </c:pt>
                <c:pt idx="101">
                  <c:v>92.248662198188498</c:v>
                </c:pt>
                <c:pt idx="102">
                  <c:v>92.579203240048699</c:v>
                </c:pt>
                <c:pt idx="103">
                  <c:v>92.517183619141406</c:v>
                </c:pt>
                <c:pt idx="104">
                  <c:v>93.208079920369997</c:v>
                </c:pt>
                <c:pt idx="105">
                  <c:v>93.184259469806406</c:v>
                </c:pt>
                <c:pt idx="106">
                  <c:v>93.138041913362599</c:v>
                </c:pt>
                <c:pt idx="107">
                  <c:v>92.820813515024099</c:v>
                </c:pt>
                <c:pt idx="108">
                  <c:v>93.042736167391695</c:v>
                </c:pt>
                <c:pt idx="109">
                  <c:v>93.244909272545001</c:v>
                </c:pt>
                <c:pt idx="110">
                  <c:v>88.481953743391301</c:v>
                </c:pt>
                <c:pt idx="111">
                  <c:v>88.894600481385893</c:v>
                </c:pt>
                <c:pt idx="112">
                  <c:v>89.133575523998502</c:v>
                </c:pt>
                <c:pt idx="113">
                  <c:v>90.044216441129095</c:v>
                </c:pt>
                <c:pt idx="114">
                  <c:v>91.099302674558103</c:v>
                </c:pt>
                <c:pt idx="115">
                  <c:v>91.927876720529696</c:v>
                </c:pt>
                <c:pt idx="116">
                  <c:v>91.940446959713896</c:v>
                </c:pt>
                <c:pt idx="117">
                  <c:v>92.187072940145597</c:v>
                </c:pt>
                <c:pt idx="118">
                  <c:v>92.231985536649105</c:v>
                </c:pt>
                <c:pt idx="119">
                  <c:v>90.112860867325196</c:v>
                </c:pt>
                <c:pt idx="120">
                  <c:v>87.013337873687604</c:v>
                </c:pt>
                <c:pt idx="121">
                  <c:v>86.837841670614196</c:v>
                </c:pt>
                <c:pt idx="122">
                  <c:v>86.752535748203002</c:v>
                </c:pt>
                <c:pt idx="123">
                  <c:v>87.231906421482904</c:v>
                </c:pt>
                <c:pt idx="124">
                  <c:v>87.971651387351599</c:v>
                </c:pt>
                <c:pt idx="125">
                  <c:v>88.789273004463197</c:v>
                </c:pt>
                <c:pt idx="126">
                  <c:v>89.492276055912399</c:v>
                </c:pt>
                <c:pt idx="127">
                  <c:v>90.402698686650297</c:v>
                </c:pt>
                <c:pt idx="128">
                  <c:v>90.956252589875305</c:v>
                </c:pt>
                <c:pt idx="129">
                  <c:v>91.612848257360596</c:v>
                </c:pt>
                <c:pt idx="130">
                  <c:v>88.334576755239397</c:v>
                </c:pt>
                <c:pt idx="131">
                  <c:v>88.908337859060794</c:v>
                </c:pt>
                <c:pt idx="132">
                  <c:v>89.891544949521403</c:v>
                </c:pt>
                <c:pt idx="133">
                  <c:v>89.550705295511506</c:v>
                </c:pt>
                <c:pt idx="134">
                  <c:v>89.063378296752006</c:v>
                </c:pt>
                <c:pt idx="135">
                  <c:v>88.726851729137493</c:v>
                </c:pt>
                <c:pt idx="136">
                  <c:v>90.072484663602594</c:v>
                </c:pt>
                <c:pt idx="137">
                  <c:v>91.713766499315994</c:v>
                </c:pt>
                <c:pt idx="138">
                  <c:v>92.054298443616602</c:v>
                </c:pt>
                <c:pt idx="139">
                  <c:v>91.741190347697895</c:v>
                </c:pt>
                <c:pt idx="140">
                  <c:v>91.638206080146603</c:v>
                </c:pt>
                <c:pt idx="141">
                  <c:v>91.576338349586607</c:v>
                </c:pt>
                <c:pt idx="142">
                  <c:v>92.394076226238994</c:v>
                </c:pt>
                <c:pt idx="143">
                  <c:v>91.562329176007694</c:v>
                </c:pt>
                <c:pt idx="144">
                  <c:v>91.501307729600995</c:v>
                </c:pt>
                <c:pt idx="145">
                  <c:v>89.643334429200095</c:v>
                </c:pt>
                <c:pt idx="146">
                  <c:v>90.103736476572195</c:v>
                </c:pt>
                <c:pt idx="147">
                  <c:v>90.698510979166997</c:v>
                </c:pt>
                <c:pt idx="148">
                  <c:v>92.001157426312702</c:v>
                </c:pt>
                <c:pt idx="149">
                  <c:v>91.696942369305503</c:v>
                </c:pt>
                <c:pt idx="150">
                  <c:v>90.207543874952293</c:v>
                </c:pt>
                <c:pt idx="151">
                  <c:v>88.608874664205899</c:v>
                </c:pt>
                <c:pt idx="152">
                  <c:v>87.546769317869902</c:v>
                </c:pt>
                <c:pt idx="153">
                  <c:v>87.831231938640201</c:v>
                </c:pt>
                <c:pt idx="154">
                  <c:v>88.535672373436896</c:v>
                </c:pt>
                <c:pt idx="155">
                  <c:v>89.502308161120396</c:v>
                </c:pt>
                <c:pt idx="156">
                  <c:v>90.049705980255297</c:v>
                </c:pt>
                <c:pt idx="157">
                  <c:v>90.036004197478107</c:v>
                </c:pt>
                <c:pt idx="158">
                  <c:v>90.123246412136595</c:v>
                </c:pt>
                <c:pt idx="159">
                  <c:v>90.331047003260494</c:v>
                </c:pt>
                <c:pt idx="160">
                  <c:v>92.459093082175301</c:v>
                </c:pt>
                <c:pt idx="161">
                  <c:v>94.234624728216502</c:v>
                </c:pt>
                <c:pt idx="162">
                  <c:v>94.234624728216502</c:v>
                </c:pt>
                <c:pt idx="163">
                  <c:v>96.010156374257605</c:v>
                </c:pt>
                <c:pt idx="164">
                  <c:v>88.741117314330197</c:v>
                </c:pt>
                <c:pt idx="165">
                  <c:v>88.741117314330197</c:v>
                </c:pt>
                <c:pt idx="166">
                  <c:v>86.793522811572103</c:v>
                </c:pt>
                <c:pt idx="167">
                  <c:v>85.828213489021607</c:v>
                </c:pt>
                <c:pt idx="168">
                  <c:v>86.264689452031504</c:v>
                </c:pt>
                <c:pt idx="169">
                  <c:v>86.999898145345298</c:v>
                </c:pt>
                <c:pt idx="170">
                  <c:v>87.320217680919995</c:v>
                </c:pt>
                <c:pt idx="171">
                  <c:v>87.862928835161</c:v>
                </c:pt>
                <c:pt idx="172">
                  <c:v>88.465994334446094</c:v>
                </c:pt>
                <c:pt idx="173">
                  <c:v>88.695280017905503</c:v>
                </c:pt>
                <c:pt idx="174">
                  <c:v>88.856498777828804</c:v>
                </c:pt>
                <c:pt idx="175">
                  <c:v>89.705467575054698</c:v>
                </c:pt>
                <c:pt idx="176">
                  <c:v>91.246627509472106</c:v>
                </c:pt>
                <c:pt idx="177">
                  <c:v>92.289120470378606</c:v>
                </c:pt>
                <c:pt idx="178">
                  <c:v>91.778103726605593</c:v>
                </c:pt>
                <c:pt idx="179">
                  <c:v>91.111230412168595</c:v>
                </c:pt>
                <c:pt idx="180">
                  <c:v>91.336234976316106</c:v>
                </c:pt>
                <c:pt idx="181">
                  <c:v>92.991254348225198</c:v>
                </c:pt>
                <c:pt idx="182">
                  <c:v>93.910709160333298</c:v>
                </c:pt>
                <c:pt idx="183">
                  <c:v>94.340101892646899</c:v>
                </c:pt>
                <c:pt idx="184">
                  <c:v>91.905168559583899</c:v>
                </c:pt>
                <c:pt idx="185">
                  <c:v>90.692007240682003</c:v>
                </c:pt>
                <c:pt idx="186">
                  <c:v>91.127879384176097</c:v>
                </c:pt>
                <c:pt idx="187">
                  <c:v>90.832410203776504</c:v>
                </c:pt>
                <c:pt idx="188">
                  <c:v>90.541507313268198</c:v>
                </c:pt>
                <c:pt idx="189">
                  <c:v>89.139884377342099</c:v>
                </c:pt>
                <c:pt idx="190">
                  <c:v>89.196377799312003</c:v>
                </c:pt>
                <c:pt idx="191">
                  <c:v>88.246985573437101</c:v>
                </c:pt>
                <c:pt idx="192">
                  <c:v>87.394158129947201</c:v>
                </c:pt>
                <c:pt idx="193">
                  <c:v>88.170237930904094</c:v>
                </c:pt>
                <c:pt idx="194">
                  <c:v>90.209130002369093</c:v>
                </c:pt>
                <c:pt idx="195">
                  <c:v>92.157964273354395</c:v>
                </c:pt>
                <c:pt idx="196">
                  <c:v>93.544076112532593</c:v>
                </c:pt>
                <c:pt idx="197">
                  <c:v>94.665946814513205</c:v>
                </c:pt>
                <c:pt idx="198">
                  <c:v>92.197418722156996</c:v>
                </c:pt>
                <c:pt idx="199">
                  <c:v>92.733535645691902</c:v>
                </c:pt>
                <c:pt idx="200">
                  <c:v>93.299148177001399</c:v>
                </c:pt>
                <c:pt idx="201">
                  <c:v>94.536960736998296</c:v>
                </c:pt>
                <c:pt idx="202">
                  <c:v>96.189267560924506</c:v>
                </c:pt>
                <c:pt idx="203">
                  <c:v>98.206833102678402</c:v>
                </c:pt>
                <c:pt idx="204">
                  <c:v>97.368186090897893</c:v>
                </c:pt>
                <c:pt idx="205">
                  <c:v>97.058323360595594</c:v>
                </c:pt>
                <c:pt idx="206">
                  <c:v>95.755312777065797</c:v>
                </c:pt>
                <c:pt idx="207">
                  <c:v>96.855821210384605</c:v>
                </c:pt>
                <c:pt idx="208">
                  <c:v>95.565330515737003</c:v>
                </c:pt>
                <c:pt idx="209">
                  <c:v>94.332144972745795</c:v>
                </c:pt>
                <c:pt idx="210">
                  <c:v>92.654768622631806</c:v>
                </c:pt>
                <c:pt idx="211">
                  <c:v>92.809903337080101</c:v>
                </c:pt>
                <c:pt idx="212">
                  <c:v>91.932959796892405</c:v>
                </c:pt>
                <c:pt idx="213">
                  <c:v>91.187886603887804</c:v>
                </c:pt>
                <c:pt idx="214">
                  <c:v>91.187886603887804</c:v>
                </c:pt>
                <c:pt idx="215">
                  <c:v>90.930464249934701</c:v>
                </c:pt>
                <c:pt idx="216">
                  <c:v>90.540474481035204</c:v>
                </c:pt>
                <c:pt idx="217">
                  <c:v>90.540474481035204</c:v>
                </c:pt>
                <c:pt idx="218">
                  <c:v>91.700890388738401</c:v>
                </c:pt>
                <c:pt idx="219">
                  <c:v>91.279753308598998</c:v>
                </c:pt>
                <c:pt idx="220">
                  <c:v>90.857174218345804</c:v>
                </c:pt>
                <c:pt idx="221">
                  <c:v>90.536140475912205</c:v>
                </c:pt>
                <c:pt idx="222">
                  <c:v>90.259980389787899</c:v>
                </c:pt>
                <c:pt idx="223">
                  <c:v>90.106837566112006</c:v>
                </c:pt>
                <c:pt idx="224">
                  <c:v>90.285311021201693</c:v>
                </c:pt>
                <c:pt idx="225">
                  <c:v>90.132588170227095</c:v>
                </c:pt>
                <c:pt idx="226">
                  <c:v>91.224769878188795</c:v>
                </c:pt>
                <c:pt idx="227">
                  <c:v>91.567717665916106</c:v>
                </c:pt>
                <c:pt idx="228">
                  <c:v>93.226674705982802</c:v>
                </c:pt>
                <c:pt idx="229">
                  <c:v>93.024895916720297</c:v>
                </c:pt>
                <c:pt idx="230">
                  <c:v>92.556138660769903</c:v>
                </c:pt>
                <c:pt idx="231">
                  <c:v>91.452917344981898</c:v>
                </c:pt>
                <c:pt idx="232">
                  <c:v>91.437113142573196</c:v>
                </c:pt>
                <c:pt idx="233">
                  <c:v>91.403378970908193</c:v>
                </c:pt>
                <c:pt idx="234">
                  <c:v>90.909854744549804</c:v>
                </c:pt>
                <c:pt idx="235">
                  <c:v>90.862665955683795</c:v>
                </c:pt>
                <c:pt idx="236">
                  <c:v>91.821672151572102</c:v>
                </c:pt>
                <c:pt idx="237">
                  <c:v>92.880262641201796</c:v>
                </c:pt>
                <c:pt idx="238">
                  <c:v>93.075313683334798</c:v>
                </c:pt>
                <c:pt idx="239">
                  <c:v>92.678274802482306</c:v>
                </c:pt>
                <c:pt idx="240">
                  <c:v>93.078260606356906</c:v>
                </c:pt>
                <c:pt idx="241">
                  <c:v>93.3586230008803</c:v>
                </c:pt>
                <c:pt idx="242">
                  <c:v>92.825209211582404</c:v>
                </c:pt>
                <c:pt idx="243">
                  <c:v>91.657559153081095</c:v>
                </c:pt>
                <c:pt idx="244">
                  <c:v>90.958142906558507</c:v>
                </c:pt>
                <c:pt idx="245">
                  <c:v>91.158984657268704</c:v>
                </c:pt>
                <c:pt idx="246">
                  <c:v>91.422786677936799</c:v>
                </c:pt>
                <c:pt idx="247">
                  <c:v>91.028729533056904</c:v>
                </c:pt>
                <c:pt idx="248">
                  <c:v>90.675749900499895</c:v>
                </c:pt>
                <c:pt idx="249">
                  <c:v>90.518657433349205</c:v>
                </c:pt>
                <c:pt idx="250">
                  <c:v>90.430762862047402</c:v>
                </c:pt>
                <c:pt idx="251">
                  <c:v>90.257741707434604</c:v>
                </c:pt>
                <c:pt idx="252">
                  <c:v>91.302401394171895</c:v>
                </c:pt>
                <c:pt idx="253">
                  <c:v>92.431374885741803</c:v>
                </c:pt>
                <c:pt idx="254">
                  <c:v>93.039400042436299</c:v>
                </c:pt>
                <c:pt idx="255">
                  <c:v>94.4870980493818</c:v>
                </c:pt>
                <c:pt idx="256">
                  <c:v>95.283105547060401</c:v>
                </c:pt>
                <c:pt idx="257">
                  <c:v>94.769532488572096</c:v>
                </c:pt>
                <c:pt idx="258">
                  <c:v>93.584660215296296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1B-4835-B713-78E4F5BF7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887920"/>
        <c:axId val="1786283104"/>
      </c:scatterChart>
      <c:valAx>
        <c:axId val="850887920"/>
        <c:scaling>
          <c:orientation val="minMax"/>
          <c:max val="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3104"/>
        <c:crosses val="autoZero"/>
        <c:crossBetween val="midCat"/>
      </c:valAx>
      <c:valAx>
        <c:axId val="1786283104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MIRA_EGR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10936132983366"/>
                  <c:y val="0.160419947506561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selhausen_SM_EGR_daily!$D$8:$D$400</c:f>
              <c:numCache>
                <c:formatCode>General</c:formatCode>
                <c:ptCount val="393"/>
                <c:pt idx="0">
                  <c:v>36.827739288057799</c:v>
                </c:pt>
                <c:pt idx="1">
                  <c:v>36.502086615008203</c:v>
                </c:pt>
                <c:pt idx="2">
                  <c:v>37.820905597170601</c:v>
                </c:pt>
                <c:pt idx="3">
                  <c:v>37.385703514750197</c:v>
                </c:pt>
                <c:pt idx="4">
                  <c:v>36.330821405988701</c:v>
                </c:pt>
                <c:pt idx="5">
                  <c:v>38.522220074486697</c:v>
                </c:pt>
                <c:pt idx="6">
                  <c:v>39.199029022511397</c:v>
                </c:pt>
                <c:pt idx="7">
                  <c:v>38.994992077880099</c:v>
                </c:pt>
                <c:pt idx="8">
                  <c:v>38.558119855760197</c:v>
                </c:pt>
                <c:pt idx="9">
                  <c:v>38.523438943215801</c:v>
                </c:pt>
                <c:pt idx="10">
                  <c:v>37.951135763560401</c:v>
                </c:pt>
                <c:pt idx="11">
                  <c:v>37.3219873750744</c:v>
                </c:pt>
                <c:pt idx="12">
                  <c:v>36.929590288939401</c:v>
                </c:pt>
                <c:pt idx="13">
                  <c:v>37.077414175641501</c:v>
                </c:pt>
                <c:pt idx="14">
                  <c:v>36.905670172037802</c:v>
                </c:pt>
                <c:pt idx="15">
                  <c:v>37.364110724335703</c:v>
                </c:pt>
                <c:pt idx="16">
                  <c:v>37.744059991978702</c:v>
                </c:pt>
                <c:pt idx="17">
                  <c:v>38.451154163460501</c:v>
                </c:pt>
                <c:pt idx="18">
                  <c:v>38.264715277809898</c:v>
                </c:pt>
                <c:pt idx="19">
                  <c:v>37.437937154580602</c:v>
                </c:pt>
                <c:pt idx="20">
                  <c:v>38.649393085200501</c:v>
                </c:pt>
                <c:pt idx="21">
                  <c:v>38.492626629082899</c:v>
                </c:pt>
                <c:pt idx="22">
                  <c:v>37.409015079073001</c:v>
                </c:pt>
                <c:pt idx="23">
                  <c:v>36.832495049798197</c:v>
                </c:pt>
                <c:pt idx="24">
                  <c:v>38.891737159288901</c:v>
                </c:pt>
                <c:pt idx="25">
                  <c:v>38.694481583835099</c:v>
                </c:pt>
                <c:pt idx="26">
                  <c:v>37.887614657947402</c:v>
                </c:pt>
                <c:pt idx="27">
                  <c:v>37.644267541068402</c:v>
                </c:pt>
                <c:pt idx="28">
                  <c:v>37.714892073714701</c:v>
                </c:pt>
                <c:pt idx="29">
                  <c:v>37.785516606361</c:v>
                </c:pt>
                <c:pt idx="30">
                  <c:v>38.3216019609401</c:v>
                </c:pt>
                <c:pt idx="31">
                  <c:v>38.709285472713503</c:v>
                </c:pt>
                <c:pt idx="32">
                  <c:v>37.456798997182503</c:v>
                </c:pt>
                <c:pt idx="33">
                  <c:v>36.844163778936199</c:v>
                </c:pt>
                <c:pt idx="34">
                  <c:v>38.224117367542597</c:v>
                </c:pt>
                <c:pt idx="35">
                  <c:v>37.1468579436063</c:v>
                </c:pt>
                <c:pt idx="36">
                  <c:v>36.717923589951901</c:v>
                </c:pt>
                <c:pt idx="37">
                  <c:v>36.1140824782252</c:v>
                </c:pt>
                <c:pt idx="38">
                  <c:v>35.4904756034882</c:v>
                </c:pt>
                <c:pt idx="39">
                  <c:v>34.9526329184134</c:v>
                </c:pt>
                <c:pt idx="40">
                  <c:v>34.733795326231601</c:v>
                </c:pt>
                <c:pt idx="41">
                  <c:v>36.320441281008002</c:v>
                </c:pt>
                <c:pt idx="42">
                  <c:v>37.5800935134939</c:v>
                </c:pt>
                <c:pt idx="43">
                  <c:v>37.006157454053998</c:v>
                </c:pt>
                <c:pt idx="44">
                  <c:v>35.932403876890902</c:v>
                </c:pt>
                <c:pt idx="45">
                  <c:v>36.254133463046898</c:v>
                </c:pt>
                <c:pt idx="46">
                  <c:v>36.390973332691502</c:v>
                </c:pt>
                <c:pt idx="47">
                  <c:v>36.008973915065198</c:v>
                </c:pt>
                <c:pt idx="48">
                  <c:v>35.9239697832028</c:v>
                </c:pt>
                <c:pt idx="49">
                  <c:v>35.838965651340402</c:v>
                </c:pt>
                <c:pt idx="50">
                  <c:v>35.502528596995298</c:v>
                </c:pt>
                <c:pt idx="51">
                  <c:v>36.699949187168897</c:v>
                </c:pt>
                <c:pt idx="52">
                  <c:v>36.536614010711297</c:v>
                </c:pt>
                <c:pt idx="53">
                  <c:v>35.3305826550299</c:v>
                </c:pt>
                <c:pt idx="54">
                  <c:v>34.201074692677899</c:v>
                </c:pt>
                <c:pt idx="55">
                  <c:v>34.403486905825503</c:v>
                </c:pt>
                <c:pt idx="56">
                  <c:v>33.855690507900697</c:v>
                </c:pt>
                <c:pt idx="57">
                  <c:v>33.351948487343698</c:v>
                </c:pt>
                <c:pt idx="58">
                  <c:v>32.841713263601797</c:v>
                </c:pt>
                <c:pt idx="59">
                  <c:v>32.4797632307071</c:v>
                </c:pt>
                <c:pt idx="60">
                  <c:v>32.103782964479898</c:v>
                </c:pt>
                <c:pt idx="61">
                  <c:v>31.742797573479098</c:v>
                </c:pt>
                <c:pt idx="62">
                  <c:v>31.381812182478299</c:v>
                </c:pt>
                <c:pt idx="63">
                  <c:v>26.831183762971801</c:v>
                </c:pt>
                <c:pt idx="64">
                  <c:v>34.518864171282701</c:v>
                </c:pt>
                <c:pt idx="65">
                  <c:v>35.2391245748125</c:v>
                </c:pt>
                <c:pt idx="66">
                  <c:v>35.778244035441197</c:v>
                </c:pt>
                <c:pt idx="67">
                  <c:v>35.945191989545997</c:v>
                </c:pt>
                <c:pt idx="68">
                  <c:v>38.786420794270299</c:v>
                </c:pt>
                <c:pt idx="69">
                  <c:v>37.327950427753798</c:v>
                </c:pt>
                <c:pt idx="70">
                  <c:v>36.144562939614701</c:v>
                </c:pt>
                <c:pt idx="71">
                  <c:v>34.735708502413402</c:v>
                </c:pt>
                <c:pt idx="72">
                  <c:v>33.465459648726799</c:v>
                </c:pt>
                <c:pt idx="73">
                  <c:v>32.308438444707399</c:v>
                </c:pt>
                <c:pt idx="74">
                  <c:v>31.300998297678699</c:v>
                </c:pt>
                <c:pt idx="75">
                  <c:v>30.469237327995899</c:v>
                </c:pt>
                <c:pt idx="76">
                  <c:v>30.168969211969401</c:v>
                </c:pt>
                <c:pt idx="77">
                  <c:v>32.0910279215949</c:v>
                </c:pt>
                <c:pt idx="78">
                  <c:v>31.8625926649677</c:v>
                </c:pt>
                <c:pt idx="79">
                  <c:v>31.4583462654731</c:v>
                </c:pt>
                <c:pt idx="80">
                  <c:v>31.062609024766999</c:v>
                </c:pt>
                <c:pt idx="81">
                  <c:v>30.994080608836001</c:v>
                </c:pt>
                <c:pt idx="82">
                  <c:v>32.7750177828378</c:v>
                </c:pt>
                <c:pt idx="83">
                  <c:v>32.065218593262003</c:v>
                </c:pt>
                <c:pt idx="84">
                  <c:v>34.802265302004301</c:v>
                </c:pt>
                <c:pt idx="85">
                  <c:v>36.065530825288597</c:v>
                </c:pt>
                <c:pt idx="86">
                  <c:v>34.739342932042398</c:v>
                </c:pt>
                <c:pt idx="87">
                  <c:v>34.122340470902699</c:v>
                </c:pt>
                <c:pt idx="88">
                  <c:v>34.492350777914901</c:v>
                </c:pt>
                <c:pt idx="89">
                  <c:v>34.037416416620601</c:v>
                </c:pt>
                <c:pt idx="90">
                  <c:v>37.0387419568141</c:v>
                </c:pt>
                <c:pt idx="91">
                  <c:v>36.461872022930798</c:v>
                </c:pt>
                <c:pt idx="92">
                  <c:v>35.498626930236597</c:v>
                </c:pt>
                <c:pt idx="93">
                  <c:v>35.928328229430001</c:v>
                </c:pt>
                <c:pt idx="94">
                  <c:v>35.126552158502001</c:v>
                </c:pt>
                <c:pt idx="95">
                  <c:v>34.1167529843746</c:v>
                </c:pt>
                <c:pt idx="96">
                  <c:v>33.224320606064701</c:v>
                </c:pt>
                <c:pt idx="97">
                  <c:v>32.518967356221502</c:v>
                </c:pt>
                <c:pt idx="98">
                  <c:v>31.557899166655702</c:v>
                </c:pt>
                <c:pt idx="99">
                  <c:v>30.590635727977698</c:v>
                </c:pt>
                <c:pt idx="100">
                  <c:v>29.7898125302466</c:v>
                </c:pt>
                <c:pt idx="101">
                  <c:v>29.1723054063017</c:v>
                </c:pt>
                <c:pt idx="102">
                  <c:v>28.944480207266501</c:v>
                </c:pt>
                <c:pt idx="103">
                  <c:v>28.5637140906992</c:v>
                </c:pt>
                <c:pt idx="104">
                  <c:v>28.3356722144595</c:v>
                </c:pt>
                <c:pt idx="105">
                  <c:v>27.8769048488621</c:v>
                </c:pt>
                <c:pt idx="106">
                  <c:v>27.662044485460701</c:v>
                </c:pt>
                <c:pt idx="107">
                  <c:v>27.326281992673099</c:v>
                </c:pt>
                <c:pt idx="108">
                  <c:v>27.385899725779801</c:v>
                </c:pt>
                <c:pt idx="109">
                  <c:v>29.5353925470143</c:v>
                </c:pt>
                <c:pt idx="110">
                  <c:v>34.350204460009799</c:v>
                </c:pt>
                <c:pt idx="111">
                  <c:v>34.704479509313899</c:v>
                </c:pt>
                <c:pt idx="112">
                  <c:v>32.800289756108803</c:v>
                </c:pt>
                <c:pt idx="113">
                  <c:v>31.089399471392699</c:v>
                </c:pt>
                <c:pt idx="114">
                  <c:v>29.9702984372367</c:v>
                </c:pt>
                <c:pt idx="115">
                  <c:v>28.691059373047299</c:v>
                </c:pt>
                <c:pt idx="116">
                  <c:v>27.514715455931601</c:v>
                </c:pt>
                <c:pt idx="117">
                  <c:v>26.410903294059999</c:v>
                </c:pt>
                <c:pt idx="118">
                  <c:v>25.604857856382001</c:v>
                </c:pt>
                <c:pt idx="119">
                  <c:v>28.841639944837699</c:v>
                </c:pt>
                <c:pt idx="120">
                  <c:v>29.3518320031645</c:v>
                </c:pt>
                <c:pt idx="121">
                  <c:v>28.854311144908898</c:v>
                </c:pt>
                <c:pt idx="122">
                  <c:v>29.666233086137201</c:v>
                </c:pt>
                <c:pt idx="123">
                  <c:v>29.744670155080001</c:v>
                </c:pt>
                <c:pt idx="124">
                  <c:v>28.8535390682712</c:v>
                </c:pt>
                <c:pt idx="125">
                  <c:v>28.2819044092087</c:v>
                </c:pt>
                <c:pt idx="126">
                  <c:v>27.424085288877698</c:v>
                </c:pt>
                <c:pt idx="127">
                  <c:v>26.727154814310602</c:v>
                </c:pt>
                <c:pt idx="128">
                  <c:v>26.027524408369398</c:v>
                </c:pt>
                <c:pt idx="129">
                  <c:v>25.440451593334501</c:v>
                </c:pt>
                <c:pt idx="130">
                  <c:v>25.712586211417499</c:v>
                </c:pt>
                <c:pt idx="131">
                  <c:v>26.437861032954299</c:v>
                </c:pt>
                <c:pt idx="132">
                  <c:v>26.087997906156001</c:v>
                </c:pt>
                <c:pt idx="133">
                  <c:v>25.513276632695799</c:v>
                </c:pt>
                <c:pt idx="134">
                  <c:v>25.914890595067799</c:v>
                </c:pt>
                <c:pt idx="135">
                  <c:v>25.9158394677854</c:v>
                </c:pt>
                <c:pt idx="136">
                  <c:v>25.3708727642762</c:v>
                </c:pt>
                <c:pt idx="137">
                  <c:v>24.8338779968458</c:v>
                </c:pt>
                <c:pt idx="138">
                  <c:v>24.299296530074201</c:v>
                </c:pt>
                <c:pt idx="139">
                  <c:v>23.750477163263898</c:v>
                </c:pt>
                <c:pt idx="140">
                  <c:v>23.195336762997801</c:v>
                </c:pt>
                <c:pt idx="141">
                  <c:v>22.635391489016101</c:v>
                </c:pt>
                <c:pt idx="142">
                  <c:v>22.120319355160198</c:v>
                </c:pt>
                <c:pt idx="143">
                  <c:v>21.5973188839817</c:v>
                </c:pt>
                <c:pt idx="144">
                  <c:v>21.3124737883434</c:v>
                </c:pt>
                <c:pt idx="145">
                  <c:v>21.575686653563299</c:v>
                </c:pt>
                <c:pt idx="146">
                  <c:v>22.244678813829701</c:v>
                </c:pt>
                <c:pt idx="147">
                  <c:v>22.027363091010798</c:v>
                </c:pt>
                <c:pt idx="148">
                  <c:v>21.6544476691009</c:v>
                </c:pt>
                <c:pt idx="149">
                  <c:v>21.513752830932201</c:v>
                </c:pt>
                <c:pt idx="150">
                  <c:v>24.6118377153112</c:v>
                </c:pt>
                <c:pt idx="151">
                  <c:v>27.4123628501798</c:v>
                </c:pt>
                <c:pt idx="152">
                  <c:v>26.619561403858999</c:v>
                </c:pt>
                <c:pt idx="153">
                  <c:v>26.2570879465536</c:v>
                </c:pt>
                <c:pt idx="154">
                  <c:v>25.8560284487071</c:v>
                </c:pt>
                <c:pt idx="155">
                  <c:v>25.185677922551498</c:v>
                </c:pt>
                <c:pt idx="156">
                  <c:v>24.623303080301401</c:v>
                </c:pt>
                <c:pt idx="157">
                  <c:v>24.089274968471202</c:v>
                </c:pt>
                <c:pt idx="158">
                  <c:v>23.491583158278601</c:v>
                </c:pt>
                <c:pt idx="159">
                  <c:v>22.877364054672199</c:v>
                </c:pt>
                <c:pt idx="160">
                  <c:v>22.237042792502098</c:v>
                </c:pt>
                <c:pt idx="161">
                  <c:v>21.679799730906002</c:v>
                </c:pt>
                <c:pt idx="162">
                  <c:v>21.2349274359131</c:v>
                </c:pt>
                <c:pt idx="163">
                  <c:v>21.8247498689128</c:v>
                </c:pt>
                <c:pt idx="164">
                  <c:v>23.337708645983401</c:v>
                </c:pt>
                <c:pt idx="165">
                  <c:v>23.135983922345801</c:v>
                </c:pt>
                <c:pt idx="166">
                  <c:v>23.118803399419299</c:v>
                </c:pt>
                <c:pt idx="167">
                  <c:v>27.614442763423298</c:v>
                </c:pt>
                <c:pt idx="168">
                  <c:v>27.5440769662486</c:v>
                </c:pt>
                <c:pt idx="169">
                  <c:v>26.821684772831698</c:v>
                </c:pt>
                <c:pt idx="170">
                  <c:v>26.1351897451278</c:v>
                </c:pt>
                <c:pt idx="171">
                  <c:v>25.4505323469667</c:v>
                </c:pt>
                <c:pt idx="172">
                  <c:v>24.793314049097098</c:v>
                </c:pt>
                <c:pt idx="173">
                  <c:v>24.3096319265604</c:v>
                </c:pt>
                <c:pt idx="174">
                  <c:v>24.3268247743984</c:v>
                </c:pt>
                <c:pt idx="175">
                  <c:v>24.0051686188731</c:v>
                </c:pt>
                <c:pt idx="176">
                  <c:v>23.627942478906299</c:v>
                </c:pt>
                <c:pt idx="177">
                  <c:v>23.1530056648289</c:v>
                </c:pt>
                <c:pt idx="178">
                  <c:v>22.660155192081699</c:v>
                </c:pt>
                <c:pt idx="179">
                  <c:v>22.2784080340722</c:v>
                </c:pt>
                <c:pt idx="180">
                  <c:v>21.957655008774601</c:v>
                </c:pt>
                <c:pt idx="181">
                  <c:v>21.582620299742899</c:v>
                </c:pt>
                <c:pt idx="182">
                  <c:v>21.211010863218998</c:v>
                </c:pt>
                <c:pt idx="183">
                  <c:v>20.990415747282899</c:v>
                </c:pt>
                <c:pt idx="184">
                  <c:v>21.462831797925801</c:v>
                </c:pt>
                <c:pt idx="185">
                  <c:v>21.7790332899547</c:v>
                </c:pt>
                <c:pt idx="186">
                  <c:v>21.784289907736799</c:v>
                </c:pt>
                <c:pt idx="187">
                  <c:v>21.722882064640402</c:v>
                </c:pt>
                <c:pt idx="188">
                  <c:v>21.614901421455698</c:v>
                </c:pt>
                <c:pt idx="189">
                  <c:v>21.7006987993243</c:v>
                </c:pt>
                <c:pt idx="190">
                  <c:v>22.111257364107701</c:v>
                </c:pt>
                <c:pt idx="191">
                  <c:v>23.433497740271601</c:v>
                </c:pt>
                <c:pt idx="192">
                  <c:v>24.165199178723402</c:v>
                </c:pt>
                <c:pt idx="193">
                  <c:v>25.888808864436701</c:v>
                </c:pt>
                <c:pt idx="194">
                  <c:v>25.7275854757075</c:v>
                </c:pt>
                <c:pt idx="195">
                  <c:v>25.659038787390799</c:v>
                </c:pt>
                <c:pt idx="196">
                  <c:v>25.651812184132002</c:v>
                </c:pt>
                <c:pt idx="197">
                  <c:v>25.644585580873201</c:v>
                </c:pt>
                <c:pt idx="198">
                  <c:v>25.704669784903</c:v>
                </c:pt>
                <c:pt idx="199">
                  <c:v>25.524946577219801</c:v>
                </c:pt>
                <c:pt idx="200">
                  <c:v>25.378913774904198</c:v>
                </c:pt>
                <c:pt idx="201">
                  <c:v>25.242158586146701</c:v>
                </c:pt>
                <c:pt idx="202">
                  <c:v>25.067398879416999</c:v>
                </c:pt>
                <c:pt idx="203">
                  <c:v>24.907534436572998</c:v>
                </c:pt>
                <c:pt idx="204">
                  <c:v>24.8047357611104</c:v>
                </c:pt>
                <c:pt idx="205">
                  <c:v>24.830965556009001</c:v>
                </c:pt>
                <c:pt idx="206">
                  <c:v>24.7153816619062</c:v>
                </c:pt>
                <c:pt idx="207">
                  <c:v>24.609987020952701</c:v>
                </c:pt>
                <c:pt idx="208">
                  <c:v>24.548865205684098</c:v>
                </c:pt>
                <c:pt idx="209">
                  <c:v>25.092118600356699</c:v>
                </c:pt>
                <c:pt idx="210">
                  <c:v>30.494581167153999</c:v>
                </c:pt>
                <c:pt idx="211">
                  <c:v>29.756301592032699</c:v>
                </c:pt>
                <c:pt idx="212">
                  <c:v>31.0129393030074</c:v>
                </c:pt>
                <c:pt idx="213">
                  <c:v>31.105628316753201</c:v>
                </c:pt>
                <c:pt idx="214">
                  <c:v>30.582460661745898</c:v>
                </c:pt>
                <c:pt idx="215">
                  <c:v>31.868333880808699</c:v>
                </c:pt>
                <c:pt idx="216">
                  <c:v>34.478083042584601</c:v>
                </c:pt>
                <c:pt idx="217">
                  <c:v>36.670393613875802</c:v>
                </c:pt>
                <c:pt idx="218">
                  <c:v>36.752385835974501</c:v>
                </c:pt>
                <c:pt idx="219">
                  <c:v>36.363554659059503</c:v>
                </c:pt>
                <c:pt idx="220">
                  <c:v>35.408974394312402</c:v>
                </c:pt>
                <c:pt idx="221">
                  <c:v>36.0267540933433</c:v>
                </c:pt>
                <c:pt idx="222">
                  <c:v>35.202150482981899</c:v>
                </c:pt>
                <c:pt idx="223">
                  <c:v>33.978632949764602</c:v>
                </c:pt>
                <c:pt idx="224">
                  <c:v>33.881251988418803</c:v>
                </c:pt>
                <c:pt idx="225">
                  <c:v>33.680472559087697</c:v>
                </c:pt>
                <c:pt idx="226">
                  <c:v>33.522864355579301</c:v>
                </c:pt>
                <c:pt idx="227">
                  <c:v>33.250008972594699</c:v>
                </c:pt>
                <c:pt idx="228">
                  <c:v>32.920701844085499</c:v>
                </c:pt>
                <c:pt idx="229">
                  <c:v>32.6365692391377</c:v>
                </c:pt>
                <c:pt idx="230">
                  <c:v>32.901828619733003</c:v>
                </c:pt>
                <c:pt idx="231">
                  <c:v>33.843721689773297</c:v>
                </c:pt>
                <c:pt idx="232">
                  <c:v>33.8397785579551</c:v>
                </c:pt>
                <c:pt idx="233">
                  <c:v>34.362193350928102</c:v>
                </c:pt>
                <c:pt idx="234">
                  <c:v>36.151065321793602</c:v>
                </c:pt>
                <c:pt idx="235">
                  <c:v>35.102276247107497</c:v>
                </c:pt>
                <c:pt idx="236">
                  <c:v>34.589577186762</c:v>
                </c:pt>
                <c:pt idx="237">
                  <c:v>34.597926126721703</c:v>
                </c:pt>
                <c:pt idx="238">
                  <c:v>35.034692047449397</c:v>
                </c:pt>
                <c:pt idx="239">
                  <c:v>34.742557310828197</c:v>
                </c:pt>
                <c:pt idx="240">
                  <c:v>34.420257618638402</c:v>
                </c:pt>
                <c:pt idx="241">
                  <c:v>34.0611903858197</c:v>
                </c:pt>
                <c:pt idx="242">
                  <c:v>33.7256732440419</c:v>
                </c:pt>
                <c:pt idx="243">
                  <c:v>34.601165085075202</c:v>
                </c:pt>
                <c:pt idx="244">
                  <c:v>34.394010868605399</c:v>
                </c:pt>
                <c:pt idx="245">
                  <c:v>34.345618963715999</c:v>
                </c:pt>
                <c:pt idx="246">
                  <c:v>34.162326743897999</c:v>
                </c:pt>
                <c:pt idx="247">
                  <c:v>35.386895205924603</c:v>
                </c:pt>
                <c:pt idx="248">
                  <c:v>36.190954837889102</c:v>
                </c:pt>
                <c:pt idx="249">
                  <c:v>35.532295356270701</c:v>
                </c:pt>
                <c:pt idx="250">
                  <c:v>35.965496698396599</c:v>
                </c:pt>
                <c:pt idx="251">
                  <c:v>36.421937693637197</c:v>
                </c:pt>
                <c:pt idx="252">
                  <c:v>36.6232731391963</c:v>
                </c:pt>
                <c:pt idx="253">
                  <c:v>37.1175765465319</c:v>
                </c:pt>
                <c:pt idx="254">
                  <c:v>36.470756992747397</c:v>
                </c:pt>
                <c:pt idx="255">
                  <c:v>35.934010319308598</c:v>
                </c:pt>
                <c:pt idx="256">
                  <c:v>35.145805287817602</c:v>
                </c:pt>
                <c:pt idx="257">
                  <c:v>34.756747050838399</c:v>
                </c:pt>
                <c:pt idx="258">
                  <c:v>35.058540679219703</c:v>
                </c:pt>
              </c:numCache>
            </c:numRef>
          </c:xVal>
          <c:yVal>
            <c:numRef>
              <c:f>selhausen_SM_EGR_daily!$E$8:$E$400</c:f>
              <c:numCache>
                <c:formatCode>General</c:formatCode>
                <c:ptCount val="393"/>
                <c:pt idx="0">
                  <c:v>36.621678248256131</c:v>
                </c:pt>
                <c:pt idx="1">
                  <c:v>36.306950971712006</c:v>
                </c:pt>
                <c:pt idx="2">
                  <c:v>36.331240600452226</c:v>
                </c:pt>
                <c:pt idx="3">
                  <c:v>35.601334620479612</c:v>
                </c:pt>
                <c:pt idx="4">
                  <c:v>35.601334620479612</c:v>
                </c:pt>
                <c:pt idx="5">
                  <c:v>34.749019767136453</c:v>
                </c:pt>
                <c:pt idx="6">
                  <c:v>35.211743817433991</c:v>
                </c:pt>
                <c:pt idx="7">
                  <c:v>35.60463069271465</c:v>
                </c:pt>
                <c:pt idx="8">
                  <c:v>35.908159636028444</c:v>
                </c:pt>
                <c:pt idx="9">
                  <c:v>36.422469551092533</c:v>
                </c:pt>
                <c:pt idx="10">
                  <c:v>36.340105458574243</c:v>
                </c:pt>
                <c:pt idx="11">
                  <c:v>36.045809930053345</c:v>
                </c:pt>
                <c:pt idx="12">
                  <c:v>35.550591673686988</c:v>
                </c:pt>
                <c:pt idx="13">
                  <c:v>35.094763210542006</c:v>
                </c:pt>
                <c:pt idx="14">
                  <c:v>35.529049769251152</c:v>
                </c:pt>
                <c:pt idx="15">
                  <c:v>35.587077897903136</c:v>
                </c:pt>
                <c:pt idx="16">
                  <c:v>36.3830967962733</c:v>
                </c:pt>
                <c:pt idx="17">
                  <c:v>36.162027303236599</c:v>
                </c:pt>
                <c:pt idx="18">
                  <c:v>35.948000372350769</c:v>
                </c:pt>
                <c:pt idx="19">
                  <c:v>35.897944043519722</c:v>
                </c:pt>
                <c:pt idx="20">
                  <c:v>35.678064459931043</c:v>
                </c:pt>
                <c:pt idx="21">
                  <c:v>35.670426313913616</c:v>
                </c:pt>
                <c:pt idx="22">
                  <c:v>35.105589787355605</c:v>
                </c:pt>
                <c:pt idx="23">
                  <c:v>34.852212989361114</c:v>
                </c:pt>
                <c:pt idx="24">
                  <c:v>34.776616431399269</c:v>
                </c:pt>
                <c:pt idx="25">
                  <c:v>34.462961743794594</c:v>
                </c:pt>
                <c:pt idx="26">
                  <c:v>34.677490855310786</c:v>
                </c:pt>
                <c:pt idx="27">
                  <c:v>34.922465461454181</c:v>
                </c:pt>
                <c:pt idx="28">
                  <c:v>35.072225868459043</c:v>
                </c:pt>
                <c:pt idx="29">
                  <c:v>34.271243260755007</c:v>
                </c:pt>
                <c:pt idx="30">
                  <c:v>35.84995375469471</c:v>
                </c:pt>
                <c:pt idx="31">
                  <c:v>35.87639948849823</c:v>
                </c:pt>
                <c:pt idx="32">
                  <c:v>35.801751572912828</c:v>
                </c:pt>
                <c:pt idx="33">
                  <c:v>35.730669770958322</c:v>
                </c:pt>
                <c:pt idx="34">
                  <c:v>35.816414552217331</c:v>
                </c:pt>
                <c:pt idx="35">
                  <c:v>36.286173673425736</c:v>
                </c:pt>
                <c:pt idx="36">
                  <c:v>35.728864122936812</c:v>
                </c:pt>
                <c:pt idx="37">
                  <c:v>34.959759384725785</c:v>
                </c:pt>
                <c:pt idx="38">
                  <c:v>34.280299853926465</c:v>
                </c:pt>
                <c:pt idx="39">
                  <c:v>34.303857022475938</c:v>
                </c:pt>
                <c:pt idx="40">
                  <c:v>34.516179991089395</c:v>
                </c:pt>
                <c:pt idx="41">
                  <c:v>34.873413480174591</c:v>
                </c:pt>
                <c:pt idx="42">
                  <c:v>35.508985373632584</c:v>
                </c:pt>
                <c:pt idx="43">
                  <c:v>34.798232696699294</c:v>
                </c:pt>
                <c:pt idx="44">
                  <c:v>34.664567829622499</c:v>
                </c:pt>
                <c:pt idx="45">
                  <c:v>34.635937578537558</c:v>
                </c:pt>
                <c:pt idx="46">
                  <c:v>35.093181207518803</c:v>
                </c:pt>
                <c:pt idx="47">
                  <c:v>35.269548446821865</c:v>
                </c:pt>
                <c:pt idx="48">
                  <c:v>34.958518527730234</c:v>
                </c:pt>
                <c:pt idx="49">
                  <c:v>35.056900376851097</c:v>
                </c:pt>
                <c:pt idx="50">
                  <c:v>35.915938913298596</c:v>
                </c:pt>
                <c:pt idx="51">
                  <c:v>36.022952506723676</c:v>
                </c:pt>
                <c:pt idx="52">
                  <c:v>36.187592133874432</c:v>
                </c:pt>
                <c:pt idx="53">
                  <c:v>35.574013649894226</c:v>
                </c:pt>
                <c:pt idx="54">
                  <c:v>35.050452756275924</c:v>
                </c:pt>
                <c:pt idx="55">
                  <c:v>34.944085835071178</c:v>
                </c:pt>
                <c:pt idx="56">
                  <c:v>34.939340647105119</c:v>
                </c:pt>
                <c:pt idx="57">
                  <c:v>35.230413292659186</c:v>
                </c:pt>
                <c:pt idx="58">
                  <c:v>35.616587193055175</c:v>
                </c:pt>
                <c:pt idx="59">
                  <c:v>36.043889735230437</c:v>
                </c:pt>
                <c:pt idx="60">
                  <c:v>36.00573487779787</c:v>
                </c:pt>
                <c:pt idx="61">
                  <c:v>35.811301739164513</c:v>
                </c:pt>
                <c:pt idx="62">
                  <c:v>35.170137363581986</c:v>
                </c:pt>
                <c:pt idx="63">
                  <c:v>33.795208393772185</c:v>
                </c:pt>
                <c:pt idx="64">
                  <c:v>35.937669347289415</c:v>
                </c:pt>
                <c:pt idx="65">
                  <c:v>39.794849576677414</c:v>
                </c:pt>
                <c:pt idx="66">
                  <c:v>39.602107373176821</c:v>
                </c:pt>
                <c:pt idx="67">
                  <c:v>40.484939158644522</c:v>
                </c:pt>
                <c:pt idx="68">
                  <c:v>40.106107761098833</c:v>
                </c:pt>
                <c:pt idx="69">
                  <c:v>39.510310639084409</c:v>
                </c:pt>
                <c:pt idx="70">
                  <c:v>38.093167803223608</c:v>
                </c:pt>
                <c:pt idx="71">
                  <c:v>36.578711212570461</c:v>
                </c:pt>
                <c:pt idx="72">
                  <c:v>34.589805125017165</c:v>
                </c:pt>
                <c:pt idx="73">
                  <c:v>33.065475150453665</c:v>
                </c:pt>
                <c:pt idx="74">
                  <c:v>31.870969243901431</c:v>
                </c:pt>
                <c:pt idx="75">
                  <c:v>31.136416948989122</c:v>
                </c:pt>
                <c:pt idx="76">
                  <c:v>33.496658589634293</c:v>
                </c:pt>
                <c:pt idx="77">
                  <c:v>35.73361731150019</c:v>
                </c:pt>
                <c:pt idx="78">
                  <c:v>38.068841864707167</c:v>
                </c:pt>
                <c:pt idx="79">
                  <c:v>36.865274088021501</c:v>
                </c:pt>
                <c:pt idx="80">
                  <c:v>35.697335320257167</c:v>
                </c:pt>
                <c:pt idx="81">
                  <c:v>35.28159750260977</c:v>
                </c:pt>
                <c:pt idx="82">
                  <c:v>36.251827827453013</c:v>
                </c:pt>
                <c:pt idx="83">
                  <c:v>38.251226043546986</c:v>
                </c:pt>
                <c:pt idx="84">
                  <c:v>38.445693295315891</c:v>
                </c:pt>
                <c:pt idx="85">
                  <c:v>38.803287585680955</c:v>
                </c:pt>
                <c:pt idx="86">
                  <c:v>38.672120433540691</c:v>
                </c:pt>
                <c:pt idx="87">
                  <c:v>38.712168469058582</c:v>
                </c:pt>
                <c:pt idx="88">
                  <c:v>38.986818514630741</c:v>
                </c:pt>
                <c:pt idx="89">
                  <c:v>38.329983958002344</c:v>
                </c:pt>
                <c:pt idx="90">
                  <c:v>37.400020780187049</c:v>
                </c:pt>
                <c:pt idx="91">
                  <c:v>37.441573097972466</c:v>
                </c:pt>
                <c:pt idx="92">
                  <c:v>37.648150577114421</c:v>
                </c:pt>
                <c:pt idx="93">
                  <c:v>37.342959855792245</c:v>
                </c:pt>
                <c:pt idx="94">
                  <c:v>36.830306780929348</c:v>
                </c:pt>
                <c:pt idx="95">
                  <c:v>35.654507087694334</c:v>
                </c:pt>
                <c:pt idx="96">
                  <c:v>34.492276598193072</c:v>
                </c:pt>
                <c:pt idx="97">
                  <c:v>33.680154249930126</c:v>
                </c:pt>
                <c:pt idx="98">
                  <c:v>33.454838414229521</c:v>
                </c:pt>
                <c:pt idx="99">
                  <c:v>33.610977905605452</c:v>
                </c:pt>
                <c:pt idx="100">
                  <c:v>32.93774081629531</c:v>
                </c:pt>
                <c:pt idx="101">
                  <c:v>32.732124527213919</c:v>
                </c:pt>
                <c:pt idx="102">
                  <c:v>32.298855367612134</c:v>
                </c:pt>
                <c:pt idx="103">
                  <c:v>32.380149929032108</c:v>
                </c:pt>
                <c:pt idx="104">
                  <c:v>31.474531497745446</c:v>
                </c:pt>
                <c:pt idx="105">
                  <c:v>31.505755053340664</c:v>
                </c:pt>
                <c:pt idx="106">
                  <c:v>31.566336461708481</c:v>
                </c:pt>
                <c:pt idx="107">
                  <c:v>31.982155570816488</c:v>
                </c:pt>
                <c:pt idx="108">
                  <c:v>31.691262069220478</c:v>
                </c:pt>
                <c:pt idx="109">
                  <c:v>31.426256032841785</c:v>
                </c:pt>
                <c:pt idx="110">
                  <c:v>37.66947995360951</c:v>
                </c:pt>
                <c:pt idx="111">
                  <c:v>37.128587650562466</c:v>
                </c:pt>
                <c:pt idx="112">
                  <c:v>36.815342084154537</c:v>
                </c:pt>
                <c:pt idx="113">
                  <c:v>35.621685094862897</c:v>
                </c:pt>
                <c:pt idx="114">
                  <c:v>34.238690949589582</c:v>
                </c:pt>
                <c:pt idx="115">
                  <c:v>33.152606212439771</c:v>
                </c:pt>
                <c:pt idx="116">
                  <c:v>33.136129296481982</c:v>
                </c:pt>
                <c:pt idx="117">
                  <c:v>32.812854974248786</c:v>
                </c:pt>
                <c:pt idx="118">
                  <c:v>32.75398409142862</c:v>
                </c:pt>
                <c:pt idx="119">
                  <c:v>35.531706819602569</c:v>
                </c:pt>
                <c:pt idx="120">
                  <c:v>39.594523694209457</c:v>
                </c:pt>
                <c:pt idx="121">
                  <c:v>39.824561973241316</c:v>
                </c:pt>
                <c:pt idx="122">
                  <c:v>39.936379934194512</c:v>
                </c:pt>
                <c:pt idx="123">
                  <c:v>39.308026711911253</c:v>
                </c:pt>
                <c:pt idx="124">
                  <c:v>38.338378047776118</c:v>
                </c:pt>
                <c:pt idx="125">
                  <c:v>37.266649620575173</c:v>
                </c:pt>
                <c:pt idx="126">
                  <c:v>36.345161809001965</c:v>
                </c:pt>
                <c:pt idx="127">
                  <c:v>35.151790946847164</c:v>
                </c:pt>
                <c:pt idx="128">
                  <c:v>34.42619925301441</c:v>
                </c:pt>
                <c:pt idx="129">
                  <c:v>33.565541673403331</c:v>
                </c:pt>
                <c:pt idx="130">
                  <c:v>37.862659909241842</c:v>
                </c:pt>
                <c:pt idx="131">
                  <c:v>37.11058086372946</c:v>
                </c:pt>
                <c:pt idx="132">
                  <c:v>35.821805020944545</c:v>
                </c:pt>
                <c:pt idx="133">
                  <c:v>36.268573475538723</c:v>
                </c:pt>
                <c:pt idx="134">
                  <c:v>36.907355752061861</c:v>
                </c:pt>
                <c:pt idx="135">
                  <c:v>37.348470665699963</c:v>
                </c:pt>
                <c:pt idx="136">
                  <c:v>35.584631454184567</c:v>
                </c:pt>
                <c:pt idx="137">
                  <c:v>33.43325927472015</c:v>
                </c:pt>
                <c:pt idx="138">
                  <c:v>32.986894162253762</c:v>
                </c:pt>
                <c:pt idx="139">
                  <c:v>33.397312429285755</c:v>
                </c:pt>
                <c:pt idx="140">
                  <c:v>33.532302949080346</c:v>
                </c:pt>
                <c:pt idx="141">
                  <c:v>33.61339841448865</c:v>
                </c:pt>
                <c:pt idx="142">
                  <c:v>32.541517595701933</c:v>
                </c:pt>
                <c:pt idx="143">
                  <c:v>33.631761468072227</c:v>
                </c:pt>
                <c:pt idx="144">
                  <c:v>33.71174763455106</c:v>
                </c:pt>
                <c:pt idx="145">
                  <c:v>36.147156338707433</c:v>
                </c:pt>
                <c:pt idx="146">
                  <c:v>35.543666959533105</c:v>
                </c:pt>
                <c:pt idx="147">
                  <c:v>34.764043807619608</c:v>
                </c:pt>
                <c:pt idx="148">
                  <c:v>33.05655075853624</c:v>
                </c:pt>
                <c:pt idx="149">
                  <c:v>33.455312138805212</c:v>
                </c:pt>
                <c:pt idx="150">
                  <c:v>35.407597489903928</c:v>
                </c:pt>
                <c:pt idx="151">
                  <c:v>37.503113561140516</c:v>
                </c:pt>
                <c:pt idx="152">
                  <c:v>38.895308273863016</c:v>
                </c:pt>
                <c:pt idx="153">
                  <c:v>38.522438145706907</c:v>
                </c:pt>
                <c:pt idx="154">
                  <c:v>37.599066229601654</c:v>
                </c:pt>
                <c:pt idx="155">
                  <c:v>36.332011848052957</c:v>
                </c:pt>
                <c:pt idx="156">
                  <c:v>35.614489474039459</c:v>
                </c:pt>
                <c:pt idx="157">
                  <c:v>35.63244960351539</c:v>
                </c:pt>
                <c:pt idx="158">
                  <c:v>35.518093574339233</c:v>
                </c:pt>
                <c:pt idx="159">
                  <c:v>35.24571109809871</c:v>
                </c:pt>
                <c:pt idx="160">
                  <c:v>32.456294295221781</c:v>
                </c:pt>
                <c:pt idx="161">
                  <c:v>30.128949104448154</c:v>
                </c:pt>
                <c:pt idx="162">
                  <c:v>30.128949104448154</c:v>
                </c:pt>
                <c:pt idx="163">
                  <c:v>27.801603913674654</c:v>
                </c:pt>
                <c:pt idx="164">
                  <c:v>37.329771510905495</c:v>
                </c:pt>
                <c:pt idx="165">
                  <c:v>37.329771510905495</c:v>
                </c:pt>
                <c:pt idx="166">
                  <c:v>39.882654592250482</c:v>
                </c:pt>
                <c:pt idx="167">
                  <c:v>41.147970259507659</c:v>
                </c:pt>
                <c:pt idx="168">
                  <c:v>40.575842899421282</c:v>
                </c:pt>
                <c:pt idx="169">
                  <c:v>39.612140325933545</c:v>
                </c:pt>
                <c:pt idx="170">
                  <c:v>39.192269391899337</c:v>
                </c:pt>
                <c:pt idx="171">
                  <c:v>38.480890240973913</c:v>
                </c:pt>
                <c:pt idx="172">
                  <c:v>37.6903993518861</c:v>
                </c:pt>
                <c:pt idx="173">
                  <c:v>37.38985447908572</c:v>
                </c:pt>
                <c:pt idx="174">
                  <c:v>37.178530898114033</c:v>
                </c:pt>
                <c:pt idx="175">
                  <c:v>36.065712970173415</c:v>
                </c:pt>
                <c:pt idx="176">
                  <c:v>34.045579355784369</c:v>
                </c:pt>
                <c:pt idx="177">
                  <c:v>32.679092318287317</c:v>
                </c:pt>
                <c:pt idx="178">
                  <c:v>33.348926823167396</c:v>
                </c:pt>
                <c:pt idx="179">
                  <c:v>34.223056216845464</c:v>
                </c:pt>
                <c:pt idx="180">
                  <c:v>33.928122982938646</c:v>
                </c:pt>
                <c:pt idx="181">
                  <c:v>31.75874380885411</c:v>
                </c:pt>
                <c:pt idx="182">
                  <c:v>30.553533673701271</c:v>
                </c:pt>
                <c:pt idx="183">
                  <c:v>29.990690925879012</c:v>
                </c:pt>
                <c:pt idx="184">
                  <c:v>33.182371792392317</c:v>
                </c:pt>
                <c:pt idx="185">
                  <c:v>34.772568828572545</c:v>
                </c:pt>
                <c:pt idx="186">
                  <c:v>34.201232947730894</c:v>
                </c:pt>
                <c:pt idx="187">
                  <c:v>34.588530339786992</c:v>
                </c:pt>
                <c:pt idx="188">
                  <c:v>34.969842294837854</c:v>
                </c:pt>
                <c:pt idx="189">
                  <c:v>36.807072516264121</c:v>
                </c:pt>
                <c:pt idx="190">
                  <c:v>36.733021628900239</c:v>
                </c:pt>
                <c:pt idx="191">
                  <c:v>37.977473360286929</c:v>
                </c:pt>
                <c:pt idx="192">
                  <c:v>39.095349154611085</c:v>
                </c:pt>
                <c:pt idx="193">
                  <c:v>38.078073232528382</c:v>
                </c:pt>
                <c:pt idx="194">
                  <c:v>35.405518413462978</c:v>
                </c:pt>
                <c:pt idx="195">
                  <c:v>32.851010259071444</c:v>
                </c:pt>
                <c:pt idx="196">
                  <c:v>31.034111793770357</c:v>
                </c:pt>
                <c:pt idx="197">
                  <c:v>29.563577382994879</c:v>
                </c:pt>
                <c:pt idx="198">
                  <c:v>32.799293849577928</c:v>
                </c:pt>
                <c:pt idx="199">
                  <c:v>32.096558335703364</c:v>
                </c:pt>
                <c:pt idx="200">
                  <c:v>31.355160339492201</c:v>
                </c:pt>
                <c:pt idx="201">
                  <c:v>29.732650757637572</c:v>
                </c:pt>
                <c:pt idx="202">
                  <c:v>27.566827158311039</c:v>
                </c:pt>
                <c:pt idx="203">
                  <c:v>24.922226893854496</c:v>
                </c:pt>
                <c:pt idx="204">
                  <c:v>26.021515151529826</c:v>
                </c:pt>
                <c:pt idx="205">
                  <c:v>26.427679432958978</c:v>
                </c:pt>
                <c:pt idx="206">
                  <c:v>28.13564978756613</c:v>
                </c:pt>
                <c:pt idx="207">
                  <c:v>26.69311677757949</c:v>
                </c:pt>
                <c:pt idx="208">
                  <c:v>28.384676214789614</c:v>
                </c:pt>
                <c:pt idx="209">
                  <c:v>30.001120759279335</c:v>
                </c:pt>
                <c:pt idx="210">
                  <c:v>32.199805187269881</c:v>
                </c:pt>
                <c:pt idx="211">
                  <c:v>31.996456498780834</c:v>
                </c:pt>
                <c:pt idx="212">
                  <c:v>33.145943378041153</c:v>
                </c:pt>
                <c:pt idx="213">
                  <c:v>34.122576217213521</c:v>
                </c:pt>
                <c:pt idx="214">
                  <c:v>34.122576217213521</c:v>
                </c:pt>
                <c:pt idx="215">
                  <c:v>34.460002293964209</c:v>
                </c:pt>
                <c:pt idx="216">
                  <c:v>34.971196118711227</c:v>
                </c:pt>
                <c:pt idx="217">
                  <c:v>34.971196118711227</c:v>
                </c:pt>
                <c:pt idx="218">
                  <c:v>33.450137123163714</c:v>
                </c:pt>
                <c:pt idx="219">
                  <c:v>34.002158462971558</c:v>
                </c:pt>
                <c:pt idx="220">
                  <c:v>34.556069972020175</c:v>
                </c:pt>
                <c:pt idx="221">
                  <c:v>34.976877079679895</c:v>
                </c:pt>
                <c:pt idx="222">
                  <c:v>35.338864346850308</c:v>
                </c:pt>
                <c:pt idx="223">
                  <c:v>35.539602089248909</c:v>
                </c:pt>
                <c:pt idx="224">
                  <c:v>35.305661264645835</c:v>
                </c:pt>
                <c:pt idx="225">
                  <c:v>35.505848511958192</c:v>
                </c:pt>
                <c:pt idx="226">
                  <c:v>34.074230071845854</c:v>
                </c:pt>
                <c:pt idx="227">
                  <c:v>33.624698301328998</c:v>
                </c:pt>
                <c:pt idx="228">
                  <c:v>31.450157679928164</c:v>
                </c:pt>
                <c:pt idx="229">
                  <c:v>31.714646851854372</c:v>
                </c:pt>
                <c:pt idx="230">
                  <c:v>32.329088136361378</c:v>
                </c:pt>
                <c:pt idx="231">
                  <c:v>33.775177159546601</c:v>
                </c:pt>
                <c:pt idx="232">
                  <c:v>33.795893114991223</c:v>
                </c:pt>
                <c:pt idx="233">
                  <c:v>33.840111455094778</c:v>
                </c:pt>
                <c:pt idx="234">
                  <c:v>34.487016981845841</c:v>
                </c:pt>
                <c:pt idx="235">
                  <c:v>34.54887146980758</c:v>
                </c:pt>
                <c:pt idx="236">
                  <c:v>33.291817863976796</c:v>
                </c:pt>
                <c:pt idx="237">
                  <c:v>31.904230382485519</c:v>
                </c:pt>
                <c:pt idx="238">
                  <c:v>31.648559859306857</c:v>
                </c:pt>
                <c:pt idx="239">
                  <c:v>32.168993573886084</c:v>
                </c:pt>
                <c:pt idx="240">
                  <c:v>31.644697068610686</c:v>
                </c:pt>
                <c:pt idx="241">
                  <c:v>31.277201466928428</c:v>
                </c:pt>
                <c:pt idx="242">
                  <c:v>31.976393745468073</c:v>
                </c:pt>
                <c:pt idx="243">
                  <c:v>33.50693517750544</c:v>
                </c:pt>
                <c:pt idx="244">
                  <c:v>34.423721448999203</c:v>
                </c:pt>
                <c:pt idx="245">
                  <c:v>34.160460535759988</c:v>
                </c:pt>
                <c:pt idx="246">
                  <c:v>33.814672069816751</c:v>
                </c:pt>
                <c:pt idx="247">
                  <c:v>34.331197361309599</c:v>
                </c:pt>
                <c:pt idx="248">
                  <c:v>34.793878751474772</c:v>
                </c:pt>
                <c:pt idx="249">
                  <c:v>34.999793638289148</c:v>
                </c:pt>
                <c:pt idx="250">
                  <c:v>35.115004768583823</c:v>
                </c:pt>
                <c:pt idx="251">
                  <c:v>35.341798784330045</c:v>
                </c:pt>
                <c:pt idx="252">
                  <c:v>33.972471629083891</c:v>
                </c:pt>
                <c:pt idx="253">
                  <c:v>32.492626968486299</c:v>
                </c:pt>
                <c:pt idx="254">
                  <c:v>31.695635021056102</c:v>
                </c:pt>
                <c:pt idx="255">
                  <c:v>29.79801015941565</c:v>
                </c:pt>
                <c:pt idx="256">
                  <c:v>28.754613255917679</c:v>
                </c:pt>
                <c:pt idx="257">
                  <c:v>29.427798546897236</c:v>
                </c:pt>
                <c:pt idx="258">
                  <c:v>30.980914647665095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C-4371-AAB3-629E8476D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66592"/>
        <c:axId val="770694688"/>
      </c:scatterChart>
      <c:valAx>
        <c:axId val="85066659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94688"/>
        <c:crosses val="autoZero"/>
        <c:crossBetween val="midCat"/>
      </c:valAx>
      <c:valAx>
        <c:axId val="770694688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selhausen_SM_EGR_daily!$D$8:$D$400</c:f>
              <c:numCache>
                <c:formatCode>General</c:formatCode>
                <c:ptCount val="393"/>
                <c:pt idx="0">
                  <c:v>36.827739288057799</c:v>
                </c:pt>
                <c:pt idx="1">
                  <c:v>36.502086615008203</c:v>
                </c:pt>
                <c:pt idx="2">
                  <c:v>37.820905597170601</c:v>
                </c:pt>
                <c:pt idx="3">
                  <c:v>37.385703514750197</c:v>
                </c:pt>
                <c:pt idx="4">
                  <c:v>36.330821405988701</c:v>
                </c:pt>
                <c:pt idx="5">
                  <c:v>38.522220074486697</c:v>
                </c:pt>
                <c:pt idx="6">
                  <c:v>39.199029022511397</c:v>
                </c:pt>
                <c:pt idx="7">
                  <c:v>38.994992077880099</c:v>
                </c:pt>
                <c:pt idx="8">
                  <c:v>38.558119855760197</c:v>
                </c:pt>
                <c:pt idx="9">
                  <c:v>38.523438943215801</c:v>
                </c:pt>
                <c:pt idx="10">
                  <c:v>37.951135763560401</c:v>
                </c:pt>
                <c:pt idx="11">
                  <c:v>37.3219873750744</c:v>
                </c:pt>
                <c:pt idx="12">
                  <c:v>36.929590288939401</c:v>
                </c:pt>
                <c:pt idx="13">
                  <c:v>37.077414175641501</c:v>
                </c:pt>
                <c:pt idx="14">
                  <c:v>36.905670172037802</c:v>
                </c:pt>
                <c:pt idx="15">
                  <c:v>37.364110724335703</c:v>
                </c:pt>
                <c:pt idx="16">
                  <c:v>37.744059991978702</c:v>
                </c:pt>
                <c:pt idx="17">
                  <c:v>38.451154163460501</c:v>
                </c:pt>
                <c:pt idx="18">
                  <c:v>38.264715277809898</c:v>
                </c:pt>
                <c:pt idx="19">
                  <c:v>37.437937154580602</c:v>
                </c:pt>
                <c:pt idx="20">
                  <c:v>38.649393085200501</c:v>
                </c:pt>
                <c:pt idx="21">
                  <c:v>38.492626629082899</c:v>
                </c:pt>
                <c:pt idx="22">
                  <c:v>37.409015079073001</c:v>
                </c:pt>
                <c:pt idx="23">
                  <c:v>36.832495049798197</c:v>
                </c:pt>
                <c:pt idx="24">
                  <c:v>38.891737159288901</c:v>
                </c:pt>
                <c:pt idx="25">
                  <c:v>38.694481583835099</c:v>
                </c:pt>
                <c:pt idx="26">
                  <c:v>37.887614657947402</c:v>
                </c:pt>
                <c:pt idx="27">
                  <c:v>37.644267541068402</c:v>
                </c:pt>
                <c:pt idx="28">
                  <c:v>37.714892073714701</c:v>
                </c:pt>
                <c:pt idx="29">
                  <c:v>37.785516606361</c:v>
                </c:pt>
                <c:pt idx="30">
                  <c:v>38.3216019609401</c:v>
                </c:pt>
                <c:pt idx="31">
                  <c:v>38.709285472713503</c:v>
                </c:pt>
                <c:pt idx="32">
                  <c:v>37.456798997182503</c:v>
                </c:pt>
                <c:pt idx="33">
                  <c:v>36.844163778936199</c:v>
                </c:pt>
                <c:pt idx="34">
                  <c:v>38.224117367542597</c:v>
                </c:pt>
                <c:pt idx="35">
                  <c:v>37.1468579436063</c:v>
                </c:pt>
                <c:pt idx="36">
                  <c:v>36.717923589951901</c:v>
                </c:pt>
                <c:pt idx="37">
                  <c:v>36.1140824782252</c:v>
                </c:pt>
                <c:pt idx="38">
                  <c:v>35.4904756034882</c:v>
                </c:pt>
                <c:pt idx="39">
                  <c:v>34.9526329184134</c:v>
                </c:pt>
                <c:pt idx="40">
                  <c:v>34.733795326231601</c:v>
                </c:pt>
                <c:pt idx="41">
                  <c:v>36.320441281008002</c:v>
                </c:pt>
                <c:pt idx="42">
                  <c:v>37.5800935134939</c:v>
                </c:pt>
                <c:pt idx="43">
                  <c:v>37.006157454053998</c:v>
                </c:pt>
                <c:pt idx="44">
                  <c:v>35.932403876890902</c:v>
                </c:pt>
                <c:pt idx="45">
                  <c:v>36.254133463046898</c:v>
                </c:pt>
                <c:pt idx="46">
                  <c:v>36.390973332691502</c:v>
                </c:pt>
                <c:pt idx="47">
                  <c:v>36.008973915065198</c:v>
                </c:pt>
                <c:pt idx="48">
                  <c:v>35.9239697832028</c:v>
                </c:pt>
                <c:pt idx="49">
                  <c:v>35.838965651340402</c:v>
                </c:pt>
                <c:pt idx="50">
                  <c:v>35.502528596995298</c:v>
                </c:pt>
                <c:pt idx="51">
                  <c:v>36.699949187168897</c:v>
                </c:pt>
                <c:pt idx="52">
                  <c:v>36.536614010711297</c:v>
                </c:pt>
                <c:pt idx="53">
                  <c:v>35.3305826550299</c:v>
                </c:pt>
                <c:pt idx="54">
                  <c:v>34.201074692677899</c:v>
                </c:pt>
                <c:pt idx="55">
                  <c:v>34.403486905825503</c:v>
                </c:pt>
                <c:pt idx="56">
                  <c:v>33.855690507900697</c:v>
                </c:pt>
                <c:pt idx="57">
                  <c:v>33.351948487343698</c:v>
                </c:pt>
                <c:pt idx="58">
                  <c:v>32.841713263601797</c:v>
                </c:pt>
                <c:pt idx="59">
                  <c:v>32.4797632307071</c:v>
                </c:pt>
                <c:pt idx="60">
                  <c:v>32.103782964479898</c:v>
                </c:pt>
                <c:pt idx="61">
                  <c:v>31.742797573479098</c:v>
                </c:pt>
                <c:pt idx="62">
                  <c:v>31.381812182478299</c:v>
                </c:pt>
                <c:pt idx="63">
                  <c:v>26.831183762971801</c:v>
                </c:pt>
                <c:pt idx="64">
                  <c:v>34.518864171282701</c:v>
                </c:pt>
                <c:pt idx="65">
                  <c:v>35.2391245748125</c:v>
                </c:pt>
                <c:pt idx="66">
                  <c:v>35.778244035441197</c:v>
                </c:pt>
                <c:pt idx="67">
                  <c:v>35.945191989545997</c:v>
                </c:pt>
                <c:pt idx="68">
                  <c:v>38.786420794270299</c:v>
                </c:pt>
                <c:pt idx="69">
                  <c:v>37.327950427753798</c:v>
                </c:pt>
                <c:pt idx="70">
                  <c:v>36.144562939614701</c:v>
                </c:pt>
                <c:pt idx="71">
                  <c:v>34.735708502413402</c:v>
                </c:pt>
                <c:pt idx="72">
                  <c:v>33.465459648726799</c:v>
                </c:pt>
                <c:pt idx="73">
                  <c:v>32.308438444707399</c:v>
                </c:pt>
                <c:pt idx="74">
                  <c:v>31.300998297678699</c:v>
                </c:pt>
                <c:pt idx="75">
                  <c:v>30.469237327995899</c:v>
                </c:pt>
                <c:pt idx="76">
                  <c:v>30.168969211969401</c:v>
                </c:pt>
                <c:pt idx="77">
                  <c:v>32.0910279215949</c:v>
                </c:pt>
                <c:pt idx="78">
                  <c:v>31.8625926649677</c:v>
                </c:pt>
                <c:pt idx="79">
                  <c:v>31.4583462654731</c:v>
                </c:pt>
                <c:pt idx="80">
                  <c:v>31.062609024766999</c:v>
                </c:pt>
                <c:pt idx="81">
                  <c:v>30.994080608836001</c:v>
                </c:pt>
                <c:pt idx="82">
                  <c:v>32.7750177828378</c:v>
                </c:pt>
                <c:pt idx="83">
                  <c:v>32.065218593262003</c:v>
                </c:pt>
                <c:pt idx="84">
                  <c:v>34.802265302004301</c:v>
                </c:pt>
                <c:pt idx="85">
                  <c:v>36.065530825288597</c:v>
                </c:pt>
                <c:pt idx="86">
                  <c:v>34.739342932042398</c:v>
                </c:pt>
                <c:pt idx="87">
                  <c:v>34.122340470902699</c:v>
                </c:pt>
                <c:pt idx="88">
                  <c:v>34.492350777914901</c:v>
                </c:pt>
                <c:pt idx="89">
                  <c:v>34.037416416620601</c:v>
                </c:pt>
                <c:pt idx="90">
                  <c:v>37.0387419568141</c:v>
                </c:pt>
                <c:pt idx="91">
                  <c:v>36.461872022930798</c:v>
                </c:pt>
                <c:pt idx="92">
                  <c:v>35.498626930236597</c:v>
                </c:pt>
                <c:pt idx="93">
                  <c:v>35.928328229430001</c:v>
                </c:pt>
                <c:pt idx="94">
                  <c:v>35.126552158502001</c:v>
                </c:pt>
                <c:pt idx="95">
                  <c:v>34.1167529843746</c:v>
                </c:pt>
                <c:pt idx="96">
                  <c:v>33.224320606064701</c:v>
                </c:pt>
                <c:pt idx="97">
                  <c:v>32.518967356221502</c:v>
                </c:pt>
                <c:pt idx="98">
                  <c:v>31.557899166655702</c:v>
                </c:pt>
                <c:pt idx="99">
                  <c:v>30.590635727977698</c:v>
                </c:pt>
                <c:pt idx="100">
                  <c:v>29.7898125302466</c:v>
                </c:pt>
                <c:pt idx="101">
                  <c:v>29.1723054063017</c:v>
                </c:pt>
                <c:pt idx="102">
                  <c:v>28.944480207266501</c:v>
                </c:pt>
                <c:pt idx="103">
                  <c:v>28.5637140906992</c:v>
                </c:pt>
                <c:pt idx="104">
                  <c:v>28.3356722144595</c:v>
                </c:pt>
                <c:pt idx="105">
                  <c:v>27.8769048488621</c:v>
                </c:pt>
                <c:pt idx="106">
                  <c:v>27.662044485460701</c:v>
                </c:pt>
                <c:pt idx="107">
                  <c:v>27.326281992673099</c:v>
                </c:pt>
                <c:pt idx="108">
                  <c:v>27.385899725779801</c:v>
                </c:pt>
                <c:pt idx="109">
                  <c:v>29.5353925470143</c:v>
                </c:pt>
                <c:pt idx="110">
                  <c:v>34.350204460009799</c:v>
                </c:pt>
                <c:pt idx="111">
                  <c:v>34.704479509313899</c:v>
                </c:pt>
                <c:pt idx="112">
                  <c:v>32.800289756108803</c:v>
                </c:pt>
                <c:pt idx="113">
                  <c:v>31.089399471392699</c:v>
                </c:pt>
                <c:pt idx="114">
                  <c:v>29.9702984372367</c:v>
                </c:pt>
                <c:pt idx="115">
                  <c:v>28.691059373047299</c:v>
                </c:pt>
                <c:pt idx="116">
                  <c:v>27.514715455931601</c:v>
                </c:pt>
                <c:pt idx="117">
                  <c:v>26.410903294059999</c:v>
                </c:pt>
                <c:pt idx="118">
                  <c:v>25.604857856382001</c:v>
                </c:pt>
                <c:pt idx="119">
                  <c:v>28.841639944837699</c:v>
                </c:pt>
                <c:pt idx="120">
                  <c:v>29.3518320031645</c:v>
                </c:pt>
                <c:pt idx="121">
                  <c:v>28.854311144908898</c:v>
                </c:pt>
                <c:pt idx="122">
                  <c:v>29.666233086137201</c:v>
                </c:pt>
                <c:pt idx="123">
                  <c:v>29.744670155080001</c:v>
                </c:pt>
                <c:pt idx="124">
                  <c:v>28.8535390682712</c:v>
                </c:pt>
                <c:pt idx="125">
                  <c:v>28.2819044092087</c:v>
                </c:pt>
                <c:pt idx="126">
                  <c:v>27.424085288877698</c:v>
                </c:pt>
                <c:pt idx="127">
                  <c:v>26.727154814310602</c:v>
                </c:pt>
                <c:pt idx="128">
                  <c:v>26.027524408369398</c:v>
                </c:pt>
                <c:pt idx="129">
                  <c:v>25.440451593334501</c:v>
                </c:pt>
                <c:pt idx="130">
                  <c:v>25.712586211417499</c:v>
                </c:pt>
                <c:pt idx="131">
                  <c:v>26.437861032954299</c:v>
                </c:pt>
                <c:pt idx="132">
                  <c:v>26.087997906156001</c:v>
                </c:pt>
                <c:pt idx="133">
                  <c:v>25.513276632695799</c:v>
                </c:pt>
                <c:pt idx="134">
                  <c:v>25.914890595067799</c:v>
                </c:pt>
                <c:pt idx="135">
                  <c:v>25.9158394677854</c:v>
                </c:pt>
                <c:pt idx="136">
                  <c:v>25.3708727642762</c:v>
                </c:pt>
                <c:pt idx="137">
                  <c:v>24.8338779968458</c:v>
                </c:pt>
                <c:pt idx="138">
                  <c:v>24.299296530074201</c:v>
                </c:pt>
                <c:pt idx="139">
                  <c:v>23.750477163263898</c:v>
                </c:pt>
                <c:pt idx="140">
                  <c:v>23.195336762997801</c:v>
                </c:pt>
                <c:pt idx="141">
                  <c:v>22.635391489016101</c:v>
                </c:pt>
                <c:pt idx="142">
                  <c:v>22.120319355160198</c:v>
                </c:pt>
                <c:pt idx="143">
                  <c:v>21.5973188839817</c:v>
                </c:pt>
                <c:pt idx="144">
                  <c:v>21.3124737883434</c:v>
                </c:pt>
                <c:pt idx="145">
                  <c:v>21.575686653563299</c:v>
                </c:pt>
                <c:pt idx="146">
                  <c:v>22.244678813829701</c:v>
                </c:pt>
                <c:pt idx="147">
                  <c:v>22.027363091010798</c:v>
                </c:pt>
                <c:pt idx="148">
                  <c:v>21.6544476691009</c:v>
                </c:pt>
                <c:pt idx="149">
                  <c:v>21.513752830932201</c:v>
                </c:pt>
                <c:pt idx="150">
                  <c:v>24.6118377153112</c:v>
                </c:pt>
                <c:pt idx="151">
                  <c:v>27.4123628501798</c:v>
                </c:pt>
                <c:pt idx="152">
                  <c:v>26.619561403858999</c:v>
                </c:pt>
                <c:pt idx="153">
                  <c:v>26.2570879465536</c:v>
                </c:pt>
                <c:pt idx="154">
                  <c:v>25.8560284487071</c:v>
                </c:pt>
                <c:pt idx="155">
                  <c:v>25.185677922551498</c:v>
                </c:pt>
                <c:pt idx="156">
                  <c:v>24.623303080301401</c:v>
                </c:pt>
                <c:pt idx="157">
                  <c:v>24.089274968471202</c:v>
                </c:pt>
                <c:pt idx="158">
                  <c:v>23.491583158278601</c:v>
                </c:pt>
                <c:pt idx="159">
                  <c:v>22.877364054672199</c:v>
                </c:pt>
                <c:pt idx="160">
                  <c:v>22.237042792502098</c:v>
                </c:pt>
                <c:pt idx="161">
                  <c:v>21.679799730906002</c:v>
                </c:pt>
                <c:pt idx="162">
                  <c:v>21.2349274359131</c:v>
                </c:pt>
                <c:pt idx="163">
                  <c:v>21.8247498689128</c:v>
                </c:pt>
                <c:pt idx="164">
                  <c:v>23.337708645983401</c:v>
                </c:pt>
                <c:pt idx="165">
                  <c:v>23.135983922345801</c:v>
                </c:pt>
                <c:pt idx="166">
                  <c:v>23.118803399419299</c:v>
                </c:pt>
                <c:pt idx="167">
                  <c:v>27.614442763423298</c:v>
                </c:pt>
                <c:pt idx="168">
                  <c:v>27.5440769662486</c:v>
                </c:pt>
                <c:pt idx="169">
                  <c:v>26.821684772831698</c:v>
                </c:pt>
                <c:pt idx="170">
                  <c:v>26.1351897451278</c:v>
                </c:pt>
                <c:pt idx="171">
                  <c:v>25.4505323469667</c:v>
                </c:pt>
                <c:pt idx="172">
                  <c:v>24.793314049097098</c:v>
                </c:pt>
                <c:pt idx="173">
                  <c:v>24.3096319265604</c:v>
                </c:pt>
                <c:pt idx="174">
                  <c:v>24.3268247743984</c:v>
                </c:pt>
                <c:pt idx="175">
                  <c:v>24.0051686188731</c:v>
                </c:pt>
                <c:pt idx="176">
                  <c:v>23.627942478906299</c:v>
                </c:pt>
                <c:pt idx="177">
                  <c:v>23.1530056648289</c:v>
                </c:pt>
                <c:pt idx="178">
                  <c:v>22.660155192081699</c:v>
                </c:pt>
                <c:pt idx="179">
                  <c:v>22.2784080340722</c:v>
                </c:pt>
                <c:pt idx="180">
                  <c:v>21.957655008774601</c:v>
                </c:pt>
                <c:pt idx="181">
                  <c:v>21.582620299742899</c:v>
                </c:pt>
                <c:pt idx="182">
                  <c:v>21.211010863218998</c:v>
                </c:pt>
                <c:pt idx="183">
                  <c:v>20.990415747282899</c:v>
                </c:pt>
                <c:pt idx="184">
                  <c:v>21.462831797925801</c:v>
                </c:pt>
                <c:pt idx="185">
                  <c:v>21.7790332899547</c:v>
                </c:pt>
                <c:pt idx="186">
                  <c:v>21.784289907736799</c:v>
                </c:pt>
                <c:pt idx="187">
                  <c:v>21.722882064640402</c:v>
                </c:pt>
                <c:pt idx="188">
                  <c:v>21.614901421455698</c:v>
                </c:pt>
                <c:pt idx="189">
                  <c:v>21.7006987993243</c:v>
                </c:pt>
                <c:pt idx="190">
                  <c:v>22.111257364107701</c:v>
                </c:pt>
                <c:pt idx="191">
                  <c:v>23.433497740271601</c:v>
                </c:pt>
                <c:pt idx="192">
                  <c:v>24.165199178723402</c:v>
                </c:pt>
                <c:pt idx="193">
                  <c:v>25.888808864436701</c:v>
                </c:pt>
                <c:pt idx="194">
                  <c:v>25.7275854757075</c:v>
                </c:pt>
                <c:pt idx="195">
                  <c:v>25.659038787390799</c:v>
                </c:pt>
                <c:pt idx="196">
                  <c:v>25.651812184132002</c:v>
                </c:pt>
                <c:pt idx="197">
                  <c:v>25.644585580873201</c:v>
                </c:pt>
                <c:pt idx="198">
                  <c:v>25.704669784903</c:v>
                </c:pt>
                <c:pt idx="199">
                  <c:v>25.524946577219801</c:v>
                </c:pt>
                <c:pt idx="200">
                  <c:v>25.378913774904198</c:v>
                </c:pt>
                <c:pt idx="201">
                  <c:v>25.242158586146701</c:v>
                </c:pt>
                <c:pt idx="202">
                  <c:v>25.067398879416999</c:v>
                </c:pt>
                <c:pt idx="203">
                  <c:v>24.907534436572998</c:v>
                </c:pt>
                <c:pt idx="204">
                  <c:v>24.8047357611104</c:v>
                </c:pt>
                <c:pt idx="205">
                  <c:v>24.830965556009001</c:v>
                </c:pt>
                <c:pt idx="206">
                  <c:v>24.7153816619062</c:v>
                </c:pt>
                <c:pt idx="207">
                  <c:v>24.609987020952701</c:v>
                </c:pt>
                <c:pt idx="208">
                  <c:v>24.548865205684098</c:v>
                </c:pt>
                <c:pt idx="209">
                  <c:v>25.092118600356699</c:v>
                </c:pt>
                <c:pt idx="210">
                  <c:v>30.494581167153999</c:v>
                </c:pt>
                <c:pt idx="211">
                  <c:v>29.756301592032699</c:v>
                </c:pt>
                <c:pt idx="212">
                  <c:v>31.0129393030074</c:v>
                </c:pt>
                <c:pt idx="213">
                  <c:v>31.105628316753201</c:v>
                </c:pt>
                <c:pt idx="214">
                  <c:v>30.582460661745898</c:v>
                </c:pt>
                <c:pt idx="215">
                  <c:v>31.868333880808699</c:v>
                </c:pt>
                <c:pt idx="216">
                  <c:v>34.478083042584601</c:v>
                </c:pt>
                <c:pt idx="217">
                  <c:v>36.670393613875802</c:v>
                </c:pt>
                <c:pt idx="218">
                  <c:v>36.752385835974501</c:v>
                </c:pt>
                <c:pt idx="219">
                  <c:v>36.363554659059503</c:v>
                </c:pt>
                <c:pt idx="220">
                  <c:v>35.408974394312402</c:v>
                </c:pt>
                <c:pt idx="221">
                  <c:v>36.0267540933433</c:v>
                </c:pt>
                <c:pt idx="222">
                  <c:v>35.202150482981899</c:v>
                </c:pt>
                <c:pt idx="223">
                  <c:v>33.978632949764602</c:v>
                </c:pt>
                <c:pt idx="224">
                  <c:v>33.881251988418803</c:v>
                </c:pt>
                <c:pt idx="225">
                  <c:v>33.680472559087697</c:v>
                </c:pt>
                <c:pt idx="226">
                  <c:v>33.522864355579301</c:v>
                </c:pt>
                <c:pt idx="227">
                  <c:v>33.250008972594699</c:v>
                </c:pt>
                <c:pt idx="228">
                  <c:v>32.920701844085499</c:v>
                </c:pt>
                <c:pt idx="229">
                  <c:v>32.6365692391377</c:v>
                </c:pt>
                <c:pt idx="230">
                  <c:v>32.901828619733003</c:v>
                </c:pt>
                <c:pt idx="231">
                  <c:v>33.843721689773297</c:v>
                </c:pt>
                <c:pt idx="232">
                  <c:v>33.8397785579551</c:v>
                </c:pt>
                <c:pt idx="233">
                  <c:v>34.362193350928102</c:v>
                </c:pt>
                <c:pt idx="234">
                  <c:v>36.151065321793602</c:v>
                </c:pt>
                <c:pt idx="235">
                  <c:v>35.102276247107497</c:v>
                </c:pt>
                <c:pt idx="236">
                  <c:v>34.589577186762</c:v>
                </c:pt>
                <c:pt idx="237">
                  <c:v>34.597926126721703</c:v>
                </c:pt>
                <c:pt idx="238">
                  <c:v>35.034692047449397</c:v>
                </c:pt>
                <c:pt idx="239">
                  <c:v>34.742557310828197</c:v>
                </c:pt>
                <c:pt idx="240">
                  <c:v>34.420257618638402</c:v>
                </c:pt>
                <c:pt idx="241">
                  <c:v>34.0611903858197</c:v>
                </c:pt>
                <c:pt idx="242">
                  <c:v>33.7256732440419</c:v>
                </c:pt>
                <c:pt idx="243">
                  <c:v>34.601165085075202</c:v>
                </c:pt>
                <c:pt idx="244">
                  <c:v>34.394010868605399</c:v>
                </c:pt>
                <c:pt idx="245">
                  <c:v>34.345618963715999</c:v>
                </c:pt>
                <c:pt idx="246">
                  <c:v>34.162326743897999</c:v>
                </c:pt>
                <c:pt idx="247">
                  <c:v>35.386895205924603</c:v>
                </c:pt>
                <c:pt idx="248">
                  <c:v>36.190954837889102</c:v>
                </c:pt>
                <c:pt idx="249">
                  <c:v>35.532295356270701</c:v>
                </c:pt>
                <c:pt idx="250">
                  <c:v>35.965496698396599</c:v>
                </c:pt>
                <c:pt idx="251">
                  <c:v>36.421937693637197</c:v>
                </c:pt>
                <c:pt idx="252">
                  <c:v>36.6232731391963</c:v>
                </c:pt>
                <c:pt idx="253">
                  <c:v>37.1175765465319</c:v>
                </c:pt>
                <c:pt idx="254">
                  <c:v>36.470756992747397</c:v>
                </c:pt>
                <c:pt idx="255">
                  <c:v>35.934010319308598</c:v>
                </c:pt>
                <c:pt idx="256">
                  <c:v>35.145805287817602</c:v>
                </c:pt>
                <c:pt idx="257">
                  <c:v>34.756747050838399</c:v>
                </c:pt>
                <c:pt idx="258">
                  <c:v>35.058540679219703</c:v>
                </c:pt>
              </c:numCache>
            </c:numRef>
          </c:xVal>
          <c:yVal>
            <c:numRef>
              <c:f>selhausen_SM_EGR_daily!$B$8:$B$400</c:f>
              <c:numCache>
                <c:formatCode>General</c:formatCode>
                <c:ptCount val="393"/>
                <c:pt idx="0">
                  <c:v>89.281321664405397</c:v>
                </c:pt>
                <c:pt idx="1">
                  <c:v>89.521427103680907</c:v>
                </c:pt>
                <c:pt idx="2">
                  <c:v>89.502896545914993</c:v>
                </c:pt>
                <c:pt idx="3">
                  <c:v>90.059741818036102</c:v>
                </c:pt>
                <c:pt idx="4">
                  <c:v>90.059741818036102</c:v>
                </c:pt>
                <c:pt idx="5">
                  <c:v>90.709972819651597</c:v>
                </c:pt>
                <c:pt idx="6">
                  <c:v>90.356960641679606</c:v>
                </c:pt>
                <c:pt idx="7">
                  <c:v>90.057227244527994</c:v>
                </c:pt>
                <c:pt idx="8">
                  <c:v>89.825665013673898</c:v>
                </c:pt>
                <c:pt idx="9">
                  <c:v>89.433297979471504</c:v>
                </c:pt>
                <c:pt idx="10">
                  <c:v>89.496133545653706</c:v>
                </c:pt>
                <c:pt idx="11">
                  <c:v>89.720651604362303</c:v>
                </c:pt>
                <c:pt idx="12">
                  <c:v>90.098453612144198</c:v>
                </c:pt>
                <c:pt idx="13">
                  <c:v>90.446205146677499</c:v>
                </c:pt>
                <c:pt idx="14">
                  <c:v>90.114887931038297</c:v>
                </c:pt>
                <c:pt idx="15">
                  <c:v>90.070618271689696</c:v>
                </c:pt>
                <c:pt idx="16">
                  <c:v>89.463335454123097</c:v>
                </c:pt>
                <c:pt idx="17">
                  <c:v>89.631989370360799</c:v>
                </c:pt>
                <c:pt idx="18">
                  <c:v>89.795270515933595</c:v>
                </c:pt>
                <c:pt idx="19">
                  <c:v>89.833458489198804</c:v>
                </c:pt>
                <c:pt idx="20">
                  <c:v>90.001204623518603</c:v>
                </c:pt>
                <c:pt idx="21">
                  <c:v>90.0070317651153</c:v>
                </c:pt>
                <c:pt idx="22">
                  <c:v>90.437945551226406</c:v>
                </c:pt>
                <c:pt idx="23">
                  <c:v>90.631246710416406</c:v>
                </c:pt>
                <c:pt idx="24">
                  <c:v>90.688919324485497</c:v>
                </c:pt>
                <c:pt idx="25">
                  <c:v>90.928206485659103</c:v>
                </c:pt>
                <c:pt idx="26">
                  <c:v>90.7645422264834</c:v>
                </c:pt>
                <c:pt idx="27">
                  <c:v>90.577651099456602</c:v>
                </c:pt>
                <c:pt idx="28">
                  <c:v>90.463398884952596</c:v>
                </c:pt>
                <c:pt idx="29">
                  <c:v>91.074468516370004</c:v>
                </c:pt>
                <c:pt idx="30">
                  <c:v>89.870070280543402</c:v>
                </c:pt>
                <c:pt idx="31">
                  <c:v>89.849894830224699</c:v>
                </c:pt>
                <c:pt idx="32">
                  <c:v>89.9068437250248</c:v>
                </c:pt>
                <c:pt idx="33">
                  <c:v>89.961072031735895</c:v>
                </c:pt>
                <c:pt idx="34">
                  <c:v>89.895657338113395</c:v>
                </c:pt>
                <c:pt idx="35">
                  <c:v>89.537278104543503</c:v>
                </c:pt>
                <c:pt idx="36">
                  <c:v>89.962449560611503</c:v>
                </c:pt>
                <c:pt idx="37">
                  <c:v>90.549199565392698</c:v>
                </c:pt>
                <c:pt idx="38">
                  <c:v>91.067559241439497</c:v>
                </c:pt>
                <c:pt idx="39">
                  <c:v>91.049587477553104</c:v>
                </c:pt>
                <c:pt idx="40">
                  <c:v>90.887606284797897</c:v>
                </c:pt>
                <c:pt idx="41">
                  <c:v>90.615072855974802</c:v>
                </c:pt>
                <c:pt idx="42">
                  <c:v>90.130195058455698</c:v>
                </c:pt>
                <c:pt idx="43">
                  <c:v>90.672428275688105</c:v>
                </c:pt>
                <c:pt idx="44">
                  <c:v>90.774401202780993</c:v>
                </c:pt>
                <c:pt idx="45">
                  <c:v>90.796243221333697</c:v>
                </c:pt>
                <c:pt idx="46">
                  <c:v>90.447412056783904</c:v>
                </c:pt>
                <c:pt idx="47">
                  <c:v>90.312861489919598</c:v>
                </c:pt>
                <c:pt idx="48">
                  <c:v>90.550146215194601</c:v>
                </c:pt>
                <c:pt idx="49">
                  <c:v>90.475090702500296</c:v>
                </c:pt>
                <c:pt idx="50">
                  <c:v>89.8197302030445</c:v>
                </c:pt>
                <c:pt idx="51">
                  <c:v>89.738089532620506</c:v>
                </c:pt>
                <c:pt idx="52">
                  <c:v>89.612485961067193</c:v>
                </c:pt>
                <c:pt idx="53">
                  <c:v>90.080584986495694</c:v>
                </c:pt>
                <c:pt idx="54">
                  <c:v>90.480009592237096</c:v>
                </c:pt>
                <c:pt idx="55">
                  <c:v>90.561156916424196</c:v>
                </c:pt>
                <c:pt idx="56">
                  <c:v>90.564777020323504</c:v>
                </c:pt>
                <c:pt idx="57">
                  <c:v>90.342717699030302</c:v>
                </c:pt>
                <c:pt idx="58">
                  <c:v>90.048105630418206</c:v>
                </c:pt>
                <c:pt idx="59">
                  <c:v>89.722116520992699</c:v>
                </c:pt>
                <c:pt idx="60">
                  <c:v>89.751224861728005</c:v>
                </c:pt>
                <c:pt idx="61">
                  <c:v>89.899557903191393</c:v>
                </c:pt>
                <c:pt idx="62">
                  <c:v>90.388702205323298</c:v>
                </c:pt>
                <c:pt idx="63">
                  <c:v>91.437635516391197</c:v>
                </c:pt>
                <c:pt idx="64">
                  <c:v>89.803152054952903</c:v>
                </c:pt>
                <c:pt idx="65">
                  <c:v>86.860509257952799</c:v>
                </c:pt>
                <c:pt idx="66">
                  <c:v>87.007552285003399</c:v>
                </c:pt>
                <c:pt idx="67">
                  <c:v>86.334039915870093</c:v>
                </c:pt>
                <c:pt idx="68">
                  <c:v>86.623050389057695</c:v>
                </c:pt>
                <c:pt idx="69">
                  <c:v>87.077584013442504</c:v>
                </c:pt>
                <c:pt idx="70">
                  <c:v>88.158722282920706</c:v>
                </c:pt>
                <c:pt idx="71">
                  <c:v>89.314101215929995</c:v>
                </c:pt>
                <c:pt idx="72">
                  <c:v>90.831437670124402</c:v>
                </c:pt>
                <c:pt idx="73">
                  <c:v>91.994349007718895</c:v>
                </c:pt>
                <c:pt idx="74">
                  <c:v>92.905637563827597</c:v>
                </c:pt>
                <c:pt idx="75">
                  <c:v>93.466027509616197</c:v>
                </c:pt>
                <c:pt idx="76">
                  <c:v>91.665399161967997</c:v>
                </c:pt>
                <c:pt idx="77">
                  <c:v>89.958823353056502</c:v>
                </c:pt>
                <c:pt idx="78">
                  <c:v>88.177280541414902</c:v>
                </c:pt>
                <c:pt idx="79">
                  <c:v>89.095482398248393</c:v>
                </c:pt>
                <c:pt idx="80">
                  <c:v>89.986502884175806</c:v>
                </c:pt>
                <c:pt idx="81">
                  <c:v>90.303669265259003</c:v>
                </c:pt>
                <c:pt idx="82">
                  <c:v>89.563480550436097</c:v>
                </c:pt>
                <c:pt idx="83">
                  <c:v>88.038139651378003</c:v>
                </c:pt>
                <c:pt idx="84">
                  <c:v>87.889780585003507</c:v>
                </c:pt>
                <c:pt idx="85">
                  <c:v>87.616971900883996</c:v>
                </c:pt>
                <c:pt idx="86">
                  <c:v>87.717039321251804</c:v>
                </c:pt>
                <c:pt idx="87">
                  <c:v>87.686486674955205</c:v>
                </c:pt>
                <c:pt idx="88">
                  <c:v>87.476956155188205</c:v>
                </c:pt>
                <c:pt idx="89">
                  <c:v>87.978055238440007</c:v>
                </c:pt>
                <c:pt idx="90">
                  <c:v>88.687524146795297</c:v>
                </c:pt>
                <c:pt idx="91">
                  <c:v>88.655823883556806</c:v>
                </c:pt>
                <c:pt idx="92">
                  <c:v>88.498225924719407</c:v>
                </c:pt>
                <c:pt idx="93">
                  <c:v>88.731055926016097</c:v>
                </c:pt>
                <c:pt idx="94">
                  <c:v>89.122158956828997</c:v>
                </c:pt>
                <c:pt idx="95">
                  <c:v>90.019176542797993</c:v>
                </c:pt>
                <c:pt idx="96">
                  <c:v>90.905842183238505</c:v>
                </c:pt>
                <c:pt idx="97">
                  <c:v>91.525410322728305</c:v>
                </c:pt>
                <c:pt idx="98">
                  <c:v>91.697303773784299</c:v>
                </c:pt>
                <c:pt idx="99">
                  <c:v>91.578184955813597</c:v>
                </c:pt>
                <c:pt idx="100">
                  <c:v>92.091797531248304</c:v>
                </c:pt>
                <c:pt idx="101">
                  <c:v>92.248662198188498</c:v>
                </c:pt>
                <c:pt idx="102">
                  <c:v>92.579203240048699</c:v>
                </c:pt>
                <c:pt idx="103">
                  <c:v>92.517183619141406</c:v>
                </c:pt>
                <c:pt idx="104">
                  <c:v>93.208079920369997</c:v>
                </c:pt>
                <c:pt idx="105">
                  <c:v>93.184259469806406</c:v>
                </c:pt>
                <c:pt idx="106">
                  <c:v>93.138041913362599</c:v>
                </c:pt>
                <c:pt idx="107">
                  <c:v>92.820813515024099</c:v>
                </c:pt>
                <c:pt idx="108">
                  <c:v>93.042736167391695</c:v>
                </c:pt>
                <c:pt idx="109">
                  <c:v>93.244909272545001</c:v>
                </c:pt>
                <c:pt idx="110">
                  <c:v>88.481953743391301</c:v>
                </c:pt>
                <c:pt idx="111">
                  <c:v>88.894600481385893</c:v>
                </c:pt>
                <c:pt idx="112">
                  <c:v>89.133575523998502</c:v>
                </c:pt>
                <c:pt idx="113">
                  <c:v>90.044216441129095</c:v>
                </c:pt>
                <c:pt idx="114">
                  <c:v>91.099302674558103</c:v>
                </c:pt>
                <c:pt idx="115">
                  <c:v>91.927876720529696</c:v>
                </c:pt>
                <c:pt idx="116">
                  <c:v>91.940446959713896</c:v>
                </c:pt>
                <c:pt idx="117">
                  <c:v>92.187072940145597</c:v>
                </c:pt>
                <c:pt idx="118">
                  <c:v>92.231985536649105</c:v>
                </c:pt>
                <c:pt idx="119">
                  <c:v>90.112860867325196</c:v>
                </c:pt>
                <c:pt idx="120">
                  <c:v>87.013337873687604</c:v>
                </c:pt>
                <c:pt idx="121">
                  <c:v>86.837841670614196</c:v>
                </c:pt>
                <c:pt idx="122">
                  <c:v>86.752535748203002</c:v>
                </c:pt>
                <c:pt idx="123">
                  <c:v>87.231906421482904</c:v>
                </c:pt>
                <c:pt idx="124">
                  <c:v>87.971651387351599</c:v>
                </c:pt>
                <c:pt idx="125">
                  <c:v>88.789273004463197</c:v>
                </c:pt>
                <c:pt idx="126">
                  <c:v>89.492276055912399</c:v>
                </c:pt>
                <c:pt idx="127">
                  <c:v>90.402698686650297</c:v>
                </c:pt>
                <c:pt idx="128">
                  <c:v>90.956252589875305</c:v>
                </c:pt>
                <c:pt idx="129">
                  <c:v>91.612848257360596</c:v>
                </c:pt>
                <c:pt idx="130">
                  <c:v>88.334576755239397</c:v>
                </c:pt>
                <c:pt idx="131">
                  <c:v>88.908337859060794</c:v>
                </c:pt>
                <c:pt idx="132">
                  <c:v>89.891544949521403</c:v>
                </c:pt>
                <c:pt idx="133">
                  <c:v>89.550705295511506</c:v>
                </c:pt>
                <c:pt idx="134">
                  <c:v>89.063378296752006</c:v>
                </c:pt>
                <c:pt idx="135">
                  <c:v>88.726851729137493</c:v>
                </c:pt>
                <c:pt idx="136">
                  <c:v>90.072484663602594</c:v>
                </c:pt>
                <c:pt idx="137">
                  <c:v>91.713766499315994</c:v>
                </c:pt>
                <c:pt idx="138">
                  <c:v>92.054298443616602</c:v>
                </c:pt>
                <c:pt idx="139">
                  <c:v>91.741190347697895</c:v>
                </c:pt>
                <c:pt idx="140">
                  <c:v>91.638206080146603</c:v>
                </c:pt>
                <c:pt idx="141">
                  <c:v>91.576338349586607</c:v>
                </c:pt>
                <c:pt idx="142">
                  <c:v>92.394076226238994</c:v>
                </c:pt>
                <c:pt idx="143">
                  <c:v>91.562329176007694</c:v>
                </c:pt>
                <c:pt idx="144">
                  <c:v>91.501307729600995</c:v>
                </c:pt>
                <c:pt idx="145">
                  <c:v>89.643334429200095</c:v>
                </c:pt>
                <c:pt idx="146">
                  <c:v>90.103736476572195</c:v>
                </c:pt>
                <c:pt idx="147">
                  <c:v>90.698510979166997</c:v>
                </c:pt>
                <c:pt idx="148">
                  <c:v>92.001157426312702</c:v>
                </c:pt>
                <c:pt idx="149">
                  <c:v>91.696942369305503</c:v>
                </c:pt>
                <c:pt idx="150">
                  <c:v>90.207543874952293</c:v>
                </c:pt>
                <c:pt idx="151">
                  <c:v>88.608874664205899</c:v>
                </c:pt>
                <c:pt idx="152">
                  <c:v>87.546769317869902</c:v>
                </c:pt>
                <c:pt idx="153">
                  <c:v>87.831231938640201</c:v>
                </c:pt>
                <c:pt idx="154">
                  <c:v>88.535672373436896</c:v>
                </c:pt>
                <c:pt idx="155">
                  <c:v>89.502308161120396</c:v>
                </c:pt>
                <c:pt idx="156">
                  <c:v>90.049705980255297</c:v>
                </c:pt>
                <c:pt idx="157">
                  <c:v>90.036004197478107</c:v>
                </c:pt>
                <c:pt idx="158">
                  <c:v>90.123246412136595</c:v>
                </c:pt>
                <c:pt idx="159">
                  <c:v>90.331047003260494</c:v>
                </c:pt>
                <c:pt idx="160">
                  <c:v>92.459093082175301</c:v>
                </c:pt>
                <c:pt idx="161">
                  <c:v>94.234624728216502</c:v>
                </c:pt>
                <c:pt idx="162">
                  <c:v>94.234624728216502</c:v>
                </c:pt>
                <c:pt idx="163">
                  <c:v>96.010156374257605</c:v>
                </c:pt>
                <c:pt idx="164">
                  <c:v>88.741117314330197</c:v>
                </c:pt>
                <c:pt idx="165">
                  <c:v>88.741117314330197</c:v>
                </c:pt>
                <c:pt idx="166">
                  <c:v>86.793522811572103</c:v>
                </c:pt>
                <c:pt idx="167">
                  <c:v>85.828213489021607</c:v>
                </c:pt>
                <c:pt idx="168">
                  <c:v>86.264689452031504</c:v>
                </c:pt>
                <c:pt idx="169">
                  <c:v>86.999898145345298</c:v>
                </c:pt>
                <c:pt idx="170">
                  <c:v>87.320217680919995</c:v>
                </c:pt>
                <c:pt idx="171">
                  <c:v>87.862928835161</c:v>
                </c:pt>
                <c:pt idx="172">
                  <c:v>88.465994334446094</c:v>
                </c:pt>
                <c:pt idx="173">
                  <c:v>88.695280017905503</c:v>
                </c:pt>
                <c:pt idx="174">
                  <c:v>88.856498777828804</c:v>
                </c:pt>
                <c:pt idx="175">
                  <c:v>89.705467575054698</c:v>
                </c:pt>
                <c:pt idx="176">
                  <c:v>91.246627509472106</c:v>
                </c:pt>
                <c:pt idx="177">
                  <c:v>92.289120470378606</c:v>
                </c:pt>
                <c:pt idx="178">
                  <c:v>91.778103726605593</c:v>
                </c:pt>
                <c:pt idx="179">
                  <c:v>91.111230412168595</c:v>
                </c:pt>
                <c:pt idx="180">
                  <c:v>91.336234976316106</c:v>
                </c:pt>
                <c:pt idx="181">
                  <c:v>92.991254348225198</c:v>
                </c:pt>
                <c:pt idx="182">
                  <c:v>93.910709160333298</c:v>
                </c:pt>
                <c:pt idx="183">
                  <c:v>94.340101892646899</c:v>
                </c:pt>
                <c:pt idx="184">
                  <c:v>91.905168559583899</c:v>
                </c:pt>
                <c:pt idx="185">
                  <c:v>90.692007240682003</c:v>
                </c:pt>
                <c:pt idx="186">
                  <c:v>91.127879384176097</c:v>
                </c:pt>
                <c:pt idx="187">
                  <c:v>90.832410203776504</c:v>
                </c:pt>
                <c:pt idx="188">
                  <c:v>90.541507313268198</c:v>
                </c:pt>
                <c:pt idx="189">
                  <c:v>89.139884377342099</c:v>
                </c:pt>
                <c:pt idx="190">
                  <c:v>89.196377799312003</c:v>
                </c:pt>
                <c:pt idx="191">
                  <c:v>88.246985573437101</c:v>
                </c:pt>
                <c:pt idx="192">
                  <c:v>87.394158129947201</c:v>
                </c:pt>
                <c:pt idx="193">
                  <c:v>88.170237930904094</c:v>
                </c:pt>
                <c:pt idx="194">
                  <c:v>90.209130002369093</c:v>
                </c:pt>
                <c:pt idx="195">
                  <c:v>92.157964273354395</c:v>
                </c:pt>
                <c:pt idx="196">
                  <c:v>93.544076112532593</c:v>
                </c:pt>
                <c:pt idx="197">
                  <c:v>94.665946814513205</c:v>
                </c:pt>
                <c:pt idx="198">
                  <c:v>92.197418722156996</c:v>
                </c:pt>
                <c:pt idx="199">
                  <c:v>92.733535645691902</c:v>
                </c:pt>
                <c:pt idx="200">
                  <c:v>93.299148177001399</c:v>
                </c:pt>
                <c:pt idx="201">
                  <c:v>94.536960736998296</c:v>
                </c:pt>
                <c:pt idx="202">
                  <c:v>96.189267560924506</c:v>
                </c:pt>
                <c:pt idx="203">
                  <c:v>98.206833102678402</c:v>
                </c:pt>
                <c:pt idx="204">
                  <c:v>97.368186090897893</c:v>
                </c:pt>
                <c:pt idx="205">
                  <c:v>97.058323360595594</c:v>
                </c:pt>
                <c:pt idx="206">
                  <c:v>95.755312777065797</c:v>
                </c:pt>
                <c:pt idx="207">
                  <c:v>96.855821210384605</c:v>
                </c:pt>
                <c:pt idx="208">
                  <c:v>95.565330515737003</c:v>
                </c:pt>
                <c:pt idx="209">
                  <c:v>94.332144972745795</c:v>
                </c:pt>
                <c:pt idx="210">
                  <c:v>92.654768622631806</c:v>
                </c:pt>
                <c:pt idx="211">
                  <c:v>92.809903337080101</c:v>
                </c:pt>
                <c:pt idx="212">
                  <c:v>91.932959796892405</c:v>
                </c:pt>
                <c:pt idx="213">
                  <c:v>91.187886603887804</c:v>
                </c:pt>
                <c:pt idx="214">
                  <c:v>91.187886603887804</c:v>
                </c:pt>
                <c:pt idx="215">
                  <c:v>90.930464249934701</c:v>
                </c:pt>
                <c:pt idx="216">
                  <c:v>90.540474481035204</c:v>
                </c:pt>
                <c:pt idx="217">
                  <c:v>90.540474481035204</c:v>
                </c:pt>
                <c:pt idx="218">
                  <c:v>91.700890388738401</c:v>
                </c:pt>
                <c:pt idx="219">
                  <c:v>91.279753308598998</c:v>
                </c:pt>
                <c:pt idx="220">
                  <c:v>90.857174218345804</c:v>
                </c:pt>
                <c:pt idx="221">
                  <c:v>90.536140475912205</c:v>
                </c:pt>
                <c:pt idx="222">
                  <c:v>90.259980389787899</c:v>
                </c:pt>
                <c:pt idx="223">
                  <c:v>90.106837566112006</c:v>
                </c:pt>
                <c:pt idx="224">
                  <c:v>90.285311021201693</c:v>
                </c:pt>
                <c:pt idx="225">
                  <c:v>90.132588170227095</c:v>
                </c:pt>
                <c:pt idx="226">
                  <c:v>91.224769878188795</c:v>
                </c:pt>
                <c:pt idx="227">
                  <c:v>91.567717665916106</c:v>
                </c:pt>
                <c:pt idx="228">
                  <c:v>93.226674705982802</c:v>
                </c:pt>
                <c:pt idx="229">
                  <c:v>93.024895916720297</c:v>
                </c:pt>
                <c:pt idx="230">
                  <c:v>92.556138660769903</c:v>
                </c:pt>
                <c:pt idx="231">
                  <c:v>91.452917344981898</c:v>
                </c:pt>
                <c:pt idx="232">
                  <c:v>91.437113142573196</c:v>
                </c:pt>
                <c:pt idx="233">
                  <c:v>91.403378970908193</c:v>
                </c:pt>
                <c:pt idx="234">
                  <c:v>90.909854744549804</c:v>
                </c:pt>
                <c:pt idx="235">
                  <c:v>90.862665955683795</c:v>
                </c:pt>
                <c:pt idx="236">
                  <c:v>91.821672151572102</c:v>
                </c:pt>
                <c:pt idx="237">
                  <c:v>92.880262641201796</c:v>
                </c:pt>
                <c:pt idx="238">
                  <c:v>93.075313683334798</c:v>
                </c:pt>
                <c:pt idx="239">
                  <c:v>92.678274802482306</c:v>
                </c:pt>
                <c:pt idx="240">
                  <c:v>93.078260606356906</c:v>
                </c:pt>
                <c:pt idx="241">
                  <c:v>93.3586230008803</c:v>
                </c:pt>
                <c:pt idx="242">
                  <c:v>92.825209211582404</c:v>
                </c:pt>
                <c:pt idx="243">
                  <c:v>91.657559153081095</c:v>
                </c:pt>
                <c:pt idx="244">
                  <c:v>90.958142906558507</c:v>
                </c:pt>
                <c:pt idx="245">
                  <c:v>91.158984657268704</c:v>
                </c:pt>
                <c:pt idx="246">
                  <c:v>91.422786677936799</c:v>
                </c:pt>
                <c:pt idx="247">
                  <c:v>91.028729533056904</c:v>
                </c:pt>
                <c:pt idx="248">
                  <c:v>90.675749900499895</c:v>
                </c:pt>
                <c:pt idx="249">
                  <c:v>90.518657433349205</c:v>
                </c:pt>
                <c:pt idx="250">
                  <c:v>90.430762862047402</c:v>
                </c:pt>
                <c:pt idx="251">
                  <c:v>90.257741707434604</c:v>
                </c:pt>
                <c:pt idx="252">
                  <c:v>91.302401394171895</c:v>
                </c:pt>
                <c:pt idx="253">
                  <c:v>92.431374885741803</c:v>
                </c:pt>
                <c:pt idx="254">
                  <c:v>93.039400042436299</c:v>
                </c:pt>
                <c:pt idx="255">
                  <c:v>94.4870980493818</c:v>
                </c:pt>
                <c:pt idx="256">
                  <c:v>95.283105547060401</c:v>
                </c:pt>
                <c:pt idx="257">
                  <c:v>94.769532488572096</c:v>
                </c:pt>
                <c:pt idx="258">
                  <c:v>93.584660215296296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C3-4658-BD55-03C7F1D33A1A}"/>
            </c:ext>
          </c:extLst>
        </c:ser>
        <c:ser>
          <c:idx val="1"/>
          <c:order val="1"/>
          <c:tx>
            <c:v>parameter fitting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selhausen_SM_EGR_daily!$D$8:$D$400</c:f>
              <c:numCache>
                <c:formatCode>General</c:formatCode>
                <c:ptCount val="393"/>
                <c:pt idx="0">
                  <c:v>36.827739288057799</c:v>
                </c:pt>
                <c:pt idx="1">
                  <c:v>36.502086615008203</c:v>
                </c:pt>
                <c:pt idx="2">
                  <c:v>37.820905597170601</c:v>
                </c:pt>
                <c:pt idx="3">
                  <c:v>37.385703514750197</c:v>
                </c:pt>
                <c:pt idx="4">
                  <c:v>36.330821405988701</c:v>
                </c:pt>
                <c:pt idx="5">
                  <c:v>38.522220074486697</c:v>
                </c:pt>
                <c:pt idx="6">
                  <c:v>39.199029022511397</c:v>
                </c:pt>
                <c:pt idx="7">
                  <c:v>38.994992077880099</c:v>
                </c:pt>
                <c:pt idx="8">
                  <c:v>38.558119855760197</c:v>
                </c:pt>
                <c:pt idx="9">
                  <c:v>38.523438943215801</c:v>
                </c:pt>
                <c:pt idx="10">
                  <c:v>37.951135763560401</c:v>
                </c:pt>
                <c:pt idx="11">
                  <c:v>37.3219873750744</c:v>
                </c:pt>
                <c:pt idx="12">
                  <c:v>36.929590288939401</c:v>
                </c:pt>
                <c:pt idx="13">
                  <c:v>37.077414175641501</c:v>
                </c:pt>
                <c:pt idx="14">
                  <c:v>36.905670172037802</c:v>
                </c:pt>
                <c:pt idx="15">
                  <c:v>37.364110724335703</c:v>
                </c:pt>
                <c:pt idx="16">
                  <c:v>37.744059991978702</c:v>
                </c:pt>
                <c:pt idx="17">
                  <c:v>38.451154163460501</c:v>
                </c:pt>
                <c:pt idx="18">
                  <c:v>38.264715277809898</c:v>
                </c:pt>
                <c:pt idx="19">
                  <c:v>37.437937154580602</c:v>
                </c:pt>
                <c:pt idx="20">
                  <c:v>38.649393085200501</c:v>
                </c:pt>
                <c:pt idx="21">
                  <c:v>38.492626629082899</c:v>
                </c:pt>
                <c:pt idx="22">
                  <c:v>37.409015079073001</c:v>
                </c:pt>
                <c:pt idx="23">
                  <c:v>36.832495049798197</c:v>
                </c:pt>
                <c:pt idx="24">
                  <c:v>38.891737159288901</c:v>
                </c:pt>
                <c:pt idx="25">
                  <c:v>38.694481583835099</c:v>
                </c:pt>
                <c:pt idx="26">
                  <c:v>37.887614657947402</c:v>
                </c:pt>
                <c:pt idx="27">
                  <c:v>37.644267541068402</c:v>
                </c:pt>
                <c:pt idx="28">
                  <c:v>37.714892073714701</c:v>
                </c:pt>
                <c:pt idx="29">
                  <c:v>37.785516606361</c:v>
                </c:pt>
                <c:pt idx="30">
                  <c:v>38.3216019609401</c:v>
                </c:pt>
                <c:pt idx="31">
                  <c:v>38.709285472713503</c:v>
                </c:pt>
                <c:pt idx="32">
                  <c:v>37.456798997182503</c:v>
                </c:pt>
                <c:pt idx="33">
                  <c:v>36.844163778936199</c:v>
                </c:pt>
                <c:pt idx="34">
                  <c:v>38.224117367542597</c:v>
                </c:pt>
                <c:pt idx="35">
                  <c:v>37.1468579436063</c:v>
                </c:pt>
                <c:pt idx="36">
                  <c:v>36.717923589951901</c:v>
                </c:pt>
                <c:pt idx="37">
                  <c:v>36.1140824782252</c:v>
                </c:pt>
                <c:pt idx="38">
                  <c:v>35.4904756034882</c:v>
                </c:pt>
                <c:pt idx="39">
                  <c:v>34.9526329184134</c:v>
                </c:pt>
                <c:pt idx="40">
                  <c:v>34.733795326231601</c:v>
                </c:pt>
                <c:pt idx="41">
                  <c:v>36.320441281008002</c:v>
                </c:pt>
                <c:pt idx="42">
                  <c:v>37.5800935134939</c:v>
                </c:pt>
                <c:pt idx="43">
                  <c:v>37.006157454053998</c:v>
                </c:pt>
                <c:pt idx="44">
                  <c:v>35.932403876890902</c:v>
                </c:pt>
                <c:pt idx="45">
                  <c:v>36.254133463046898</c:v>
                </c:pt>
                <c:pt idx="46">
                  <c:v>36.390973332691502</c:v>
                </c:pt>
                <c:pt idx="47">
                  <c:v>36.008973915065198</c:v>
                </c:pt>
                <c:pt idx="48">
                  <c:v>35.9239697832028</c:v>
                </c:pt>
                <c:pt idx="49">
                  <c:v>35.838965651340402</c:v>
                </c:pt>
                <c:pt idx="50">
                  <c:v>35.502528596995298</c:v>
                </c:pt>
                <c:pt idx="51">
                  <c:v>36.699949187168897</c:v>
                </c:pt>
                <c:pt idx="52">
                  <c:v>36.536614010711297</c:v>
                </c:pt>
                <c:pt idx="53">
                  <c:v>35.3305826550299</c:v>
                </c:pt>
                <c:pt idx="54">
                  <c:v>34.201074692677899</c:v>
                </c:pt>
                <c:pt idx="55">
                  <c:v>34.403486905825503</c:v>
                </c:pt>
                <c:pt idx="56">
                  <c:v>33.855690507900697</c:v>
                </c:pt>
                <c:pt idx="57">
                  <c:v>33.351948487343698</c:v>
                </c:pt>
                <c:pt idx="58">
                  <c:v>32.841713263601797</c:v>
                </c:pt>
                <c:pt idx="59">
                  <c:v>32.4797632307071</c:v>
                </c:pt>
                <c:pt idx="60">
                  <c:v>32.103782964479898</c:v>
                </c:pt>
                <c:pt idx="61">
                  <c:v>31.742797573479098</c:v>
                </c:pt>
                <c:pt idx="62">
                  <c:v>31.381812182478299</c:v>
                </c:pt>
                <c:pt idx="63">
                  <c:v>26.831183762971801</c:v>
                </c:pt>
                <c:pt idx="64">
                  <c:v>34.518864171282701</c:v>
                </c:pt>
                <c:pt idx="65">
                  <c:v>35.2391245748125</c:v>
                </c:pt>
                <c:pt idx="66">
                  <c:v>35.778244035441197</c:v>
                </c:pt>
                <c:pt idx="67">
                  <c:v>35.945191989545997</c:v>
                </c:pt>
                <c:pt idx="68">
                  <c:v>38.786420794270299</c:v>
                </c:pt>
                <c:pt idx="69">
                  <c:v>37.327950427753798</c:v>
                </c:pt>
                <c:pt idx="70">
                  <c:v>36.144562939614701</c:v>
                </c:pt>
                <c:pt idx="71">
                  <c:v>34.735708502413402</c:v>
                </c:pt>
                <c:pt idx="72">
                  <c:v>33.465459648726799</c:v>
                </c:pt>
                <c:pt idx="73">
                  <c:v>32.308438444707399</c:v>
                </c:pt>
                <c:pt idx="74">
                  <c:v>31.300998297678699</c:v>
                </c:pt>
                <c:pt idx="75">
                  <c:v>30.469237327995899</c:v>
                </c:pt>
                <c:pt idx="76">
                  <c:v>30.168969211969401</c:v>
                </c:pt>
                <c:pt idx="77">
                  <c:v>32.0910279215949</c:v>
                </c:pt>
                <c:pt idx="78">
                  <c:v>31.8625926649677</c:v>
                </c:pt>
                <c:pt idx="79">
                  <c:v>31.4583462654731</c:v>
                </c:pt>
                <c:pt idx="80">
                  <c:v>31.062609024766999</c:v>
                </c:pt>
                <c:pt idx="81">
                  <c:v>30.994080608836001</c:v>
                </c:pt>
                <c:pt idx="82">
                  <c:v>32.7750177828378</c:v>
                </c:pt>
                <c:pt idx="83">
                  <c:v>32.065218593262003</c:v>
                </c:pt>
                <c:pt idx="84">
                  <c:v>34.802265302004301</c:v>
                </c:pt>
                <c:pt idx="85">
                  <c:v>36.065530825288597</c:v>
                </c:pt>
                <c:pt idx="86">
                  <c:v>34.739342932042398</c:v>
                </c:pt>
                <c:pt idx="87">
                  <c:v>34.122340470902699</c:v>
                </c:pt>
                <c:pt idx="88">
                  <c:v>34.492350777914901</c:v>
                </c:pt>
                <c:pt idx="89">
                  <c:v>34.037416416620601</c:v>
                </c:pt>
                <c:pt idx="90">
                  <c:v>37.0387419568141</c:v>
                </c:pt>
                <c:pt idx="91">
                  <c:v>36.461872022930798</c:v>
                </c:pt>
                <c:pt idx="92">
                  <c:v>35.498626930236597</c:v>
                </c:pt>
                <c:pt idx="93">
                  <c:v>35.928328229430001</c:v>
                </c:pt>
                <c:pt idx="94">
                  <c:v>35.126552158502001</c:v>
                </c:pt>
                <c:pt idx="95">
                  <c:v>34.1167529843746</c:v>
                </c:pt>
                <c:pt idx="96">
                  <c:v>33.224320606064701</c:v>
                </c:pt>
                <c:pt idx="97">
                  <c:v>32.518967356221502</c:v>
                </c:pt>
                <c:pt idx="98">
                  <c:v>31.557899166655702</c:v>
                </c:pt>
                <c:pt idx="99">
                  <c:v>30.590635727977698</c:v>
                </c:pt>
                <c:pt idx="100">
                  <c:v>29.7898125302466</c:v>
                </c:pt>
                <c:pt idx="101">
                  <c:v>29.1723054063017</c:v>
                </c:pt>
                <c:pt idx="102">
                  <c:v>28.944480207266501</c:v>
                </c:pt>
                <c:pt idx="103">
                  <c:v>28.5637140906992</c:v>
                </c:pt>
                <c:pt idx="104">
                  <c:v>28.3356722144595</c:v>
                </c:pt>
                <c:pt idx="105">
                  <c:v>27.8769048488621</c:v>
                </c:pt>
                <c:pt idx="106">
                  <c:v>27.662044485460701</c:v>
                </c:pt>
                <c:pt idx="107">
                  <c:v>27.326281992673099</c:v>
                </c:pt>
                <c:pt idx="108">
                  <c:v>27.385899725779801</c:v>
                </c:pt>
                <c:pt idx="109">
                  <c:v>29.5353925470143</c:v>
                </c:pt>
                <c:pt idx="110">
                  <c:v>34.350204460009799</c:v>
                </c:pt>
                <c:pt idx="111">
                  <c:v>34.704479509313899</c:v>
                </c:pt>
                <c:pt idx="112">
                  <c:v>32.800289756108803</c:v>
                </c:pt>
                <c:pt idx="113">
                  <c:v>31.089399471392699</c:v>
                </c:pt>
                <c:pt idx="114">
                  <c:v>29.9702984372367</c:v>
                </c:pt>
                <c:pt idx="115">
                  <c:v>28.691059373047299</c:v>
                </c:pt>
                <c:pt idx="116">
                  <c:v>27.514715455931601</c:v>
                </c:pt>
                <c:pt idx="117">
                  <c:v>26.410903294059999</c:v>
                </c:pt>
                <c:pt idx="118">
                  <c:v>25.604857856382001</c:v>
                </c:pt>
                <c:pt idx="119">
                  <c:v>28.841639944837699</c:v>
                </c:pt>
                <c:pt idx="120">
                  <c:v>29.3518320031645</c:v>
                </c:pt>
                <c:pt idx="121">
                  <c:v>28.854311144908898</c:v>
                </c:pt>
                <c:pt idx="122">
                  <c:v>29.666233086137201</c:v>
                </c:pt>
                <c:pt idx="123">
                  <c:v>29.744670155080001</c:v>
                </c:pt>
                <c:pt idx="124">
                  <c:v>28.8535390682712</c:v>
                </c:pt>
                <c:pt idx="125">
                  <c:v>28.2819044092087</c:v>
                </c:pt>
                <c:pt idx="126">
                  <c:v>27.424085288877698</c:v>
                </c:pt>
                <c:pt idx="127">
                  <c:v>26.727154814310602</c:v>
                </c:pt>
                <c:pt idx="128">
                  <c:v>26.027524408369398</c:v>
                </c:pt>
                <c:pt idx="129">
                  <c:v>25.440451593334501</c:v>
                </c:pt>
                <c:pt idx="130">
                  <c:v>25.712586211417499</c:v>
                </c:pt>
                <c:pt idx="131">
                  <c:v>26.437861032954299</c:v>
                </c:pt>
                <c:pt idx="132">
                  <c:v>26.087997906156001</c:v>
                </c:pt>
                <c:pt idx="133">
                  <c:v>25.513276632695799</c:v>
                </c:pt>
                <c:pt idx="134">
                  <c:v>25.914890595067799</c:v>
                </c:pt>
                <c:pt idx="135">
                  <c:v>25.9158394677854</c:v>
                </c:pt>
                <c:pt idx="136">
                  <c:v>25.3708727642762</c:v>
                </c:pt>
                <c:pt idx="137">
                  <c:v>24.8338779968458</c:v>
                </c:pt>
                <c:pt idx="138">
                  <c:v>24.299296530074201</c:v>
                </c:pt>
                <c:pt idx="139">
                  <c:v>23.750477163263898</c:v>
                </c:pt>
                <c:pt idx="140">
                  <c:v>23.195336762997801</c:v>
                </c:pt>
                <c:pt idx="141">
                  <c:v>22.635391489016101</c:v>
                </c:pt>
                <c:pt idx="142">
                  <c:v>22.120319355160198</c:v>
                </c:pt>
                <c:pt idx="143">
                  <c:v>21.5973188839817</c:v>
                </c:pt>
                <c:pt idx="144">
                  <c:v>21.3124737883434</c:v>
                </c:pt>
                <c:pt idx="145">
                  <c:v>21.575686653563299</c:v>
                </c:pt>
                <c:pt idx="146">
                  <c:v>22.244678813829701</c:v>
                </c:pt>
                <c:pt idx="147">
                  <c:v>22.027363091010798</c:v>
                </c:pt>
                <c:pt idx="148">
                  <c:v>21.6544476691009</c:v>
                </c:pt>
                <c:pt idx="149">
                  <c:v>21.513752830932201</c:v>
                </c:pt>
                <c:pt idx="150">
                  <c:v>24.6118377153112</c:v>
                </c:pt>
                <c:pt idx="151">
                  <c:v>27.4123628501798</c:v>
                </c:pt>
                <c:pt idx="152">
                  <c:v>26.619561403858999</c:v>
                </c:pt>
                <c:pt idx="153">
                  <c:v>26.2570879465536</c:v>
                </c:pt>
                <c:pt idx="154">
                  <c:v>25.8560284487071</c:v>
                </c:pt>
                <c:pt idx="155">
                  <c:v>25.185677922551498</c:v>
                </c:pt>
                <c:pt idx="156">
                  <c:v>24.623303080301401</c:v>
                </c:pt>
                <c:pt idx="157">
                  <c:v>24.089274968471202</c:v>
                </c:pt>
                <c:pt idx="158">
                  <c:v>23.491583158278601</c:v>
                </c:pt>
                <c:pt idx="159">
                  <c:v>22.877364054672199</c:v>
                </c:pt>
                <c:pt idx="160">
                  <c:v>22.237042792502098</c:v>
                </c:pt>
                <c:pt idx="161">
                  <c:v>21.679799730906002</c:v>
                </c:pt>
                <c:pt idx="162">
                  <c:v>21.2349274359131</c:v>
                </c:pt>
                <c:pt idx="163">
                  <c:v>21.8247498689128</c:v>
                </c:pt>
                <c:pt idx="164">
                  <c:v>23.337708645983401</c:v>
                </c:pt>
                <c:pt idx="165">
                  <c:v>23.135983922345801</c:v>
                </c:pt>
                <c:pt idx="166">
                  <c:v>23.118803399419299</c:v>
                </c:pt>
                <c:pt idx="167">
                  <c:v>27.614442763423298</c:v>
                </c:pt>
                <c:pt idx="168">
                  <c:v>27.5440769662486</c:v>
                </c:pt>
                <c:pt idx="169">
                  <c:v>26.821684772831698</c:v>
                </c:pt>
                <c:pt idx="170">
                  <c:v>26.1351897451278</c:v>
                </c:pt>
                <c:pt idx="171">
                  <c:v>25.4505323469667</c:v>
                </c:pt>
                <c:pt idx="172">
                  <c:v>24.793314049097098</c:v>
                </c:pt>
                <c:pt idx="173">
                  <c:v>24.3096319265604</c:v>
                </c:pt>
                <c:pt idx="174">
                  <c:v>24.3268247743984</c:v>
                </c:pt>
                <c:pt idx="175">
                  <c:v>24.0051686188731</c:v>
                </c:pt>
                <c:pt idx="176">
                  <c:v>23.627942478906299</c:v>
                </c:pt>
                <c:pt idx="177">
                  <c:v>23.1530056648289</c:v>
                </c:pt>
                <c:pt idx="178">
                  <c:v>22.660155192081699</c:v>
                </c:pt>
                <c:pt idx="179">
                  <c:v>22.2784080340722</c:v>
                </c:pt>
                <c:pt idx="180">
                  <c:v>21.957655008774601</c:v>
                </c:pt>
                <c:pt idx="181">
                  <c:v>21.582620299742899</c:v>
                </c:pt>
                <c:pt idx="182">
                  <c:v>21.211010863218998</c:v>
                </c:pt>
                <c:pt idx="183">
                  <c:v>20.990415747282899</c:v>
                </c:pt>
                <c:pt idx="184">
                  <c:v>21.462831797925801</c:v>
                </c:pt>
                <c:pt idx="185">
                  <c:v>21.7790332899547</c:v>
                </c:pt>
                <c:pt idx="186">
                  <c:v>21.784289907736799</c:v>
                </c:pt>
                <c:pt idx="187">
                  <c:v>21.722882064640402</c:v>
                </c:pt>
                <c:pt idx="188">
                  <c:v>21.614901421455698</c:v>
                </c:pt>
                <c:pt idx="189">
                  <c:v>21.7006987993243</c:v>
                </c:pt>
                <c:pt idx="190">
                  <c:v>22.111257364107701</c:v>
                </c:pt>
                <c:pt idx="191">
                  <c:v>23.433497740271601</c:v>
                </c:pt>
                <c:pt idx="192">
                  <c:v>24.165199178723402</c:v>
                </c:pt>
                <c:pt idx="193">
                  <c:v>25.888808864436701</c:v>
                </c:pt>
                <c:pt idx="194">
                  <c:v>25.7275854757075</c:v>
                </c:pt>
                <c:pt idx="195">
                  <c:v>25.659038787390799</c:v>
                </c:pt>
                <c:pt idx="196">
                  <c:v>25.651812184132002</c:v>
                </c:pt>
                <c:pt idx="197">
                  <c:v>25.644585580873201</c:v>
                </c:pt>
                <c:pt idx="198">
                  <c:v>25.704669784903</c:v>
                </c:pt>
                <c:pt idx="199">
                  <c:v>25.524946577219801</c:v>
                </c:pt>
                <c:pt idx="200">
                  <c:v>25.378913774904198</c:v>
                </c:pt>
                <c:pt idx="201">
                  <c:v>25.242158586146701</c:v>
                </c:pt>
                <c:pt idx="202">
                  <c:v>25.067398879416999</c:v>
                </c:pt>
                <c:pt idx="203">
                  <c:v>24.907534436572998</c:v>
                </c:pt>
                <c:pt idx="204">
                  <c:v>24.8047357611104</c:v>
                </c:pt>
                <c:pt idx="205">
                  <c:v>24.830965556009001</c:v>
                </c:pt>
                <c:pt idx="206">
                  <c:v>24.7153816619062</c:v>
                </c:pt>
                <c:pt idx="207">
                  <c:v>24.609987020952701</c:v>
                </c:pt>
                <c:pt idx="208">
                  <c:v>24.548865205684098</c:v>
                </c:pt>
                <c:pt idx="209">
                  <c:v>25.092118600356699</c:v>
                </c:pt>
                <c:pt idx="210">
                  <c:v>30.494581167153999</c:v>
                </c:pt>
                <c:pt idx="211">
                  <c:v>29.756301592032699</c:v>
                </c:pt>
                <c:pt idx="212">
                  <c:v>31.0129393030074</c:v>
                </c:pt>
                <c:pt idx="213">
                  <c:v>31.105628316753201</c:v>
                </c:pt>
                <c:pt idx="214">
                  <c:v>30.582460661745898</c:v>
                </c:pt>
                <c:pt idx="215">
                  <c:v>31.868333880808699</c:v>
                </c:pt>
                <c:pt idx="216">
                  <c:v>34.478083042584601</c:v>
                </c:pt>
                <c:pt idx="217">
                  <c:v>36.670393613875802</c:v>
                </c:pt>
                <c:pt idx="218">
                  <c:v>36.752385835974501</c:v>
                </c:pt>
                <c:pt idx="219">
                  <c:v>36.363554659059503</c:v>
                </c:pt>
                <c:pt idx="220">
                  <c:v>35.408974394312402</c:v>
                </c:pt>
                <c:pt idx="221">
                  <c:v>36.0267540933433</c:v>
                </c:pt>
                <c:pt idx="222">
                  <c:v>35.202150482981899</c:v>
                </c:pt>
                <c:pt idx="223">
                  <c:v>33.978632949764602</c:v>
                </c:pt>
                <c:pt idx="224">
                  <c:v>33.881251988418803</c:v>
                </c:pt>
                <c:pt idx="225">
                  <c:v>33.680472559087697</c:v>
                </c:pt>
                <c:pt idx="226">
                  <c:v>33.522864355579301</c:v>
                </c:pt>
                <c:pt idx="227">
                  <c:v>33.250008972594699</c:v>
                </c:pt>
                <c:pt idx="228">
                  <c:v>32.920701844085499</c:v>
                </c:pt>
                <c:pt idx="229">
                  <c:v>32.6365692391377</c:v>
                </c:pt>
                <c:pt idx="230">
                  <c:v>32.901828619733003</c:v>
                </c:pt>
                <c:pt idx="231">
                  <c:v>33.843721689773297</c:v>
                </c:pt>
                <c:pt idx="232">
                  <c:v>33.8397785579551</c:v>
                </c:pt>
                <c:pt idx="233">
                  <c:v>34.362193350928102</c:v>
                </c:pt>
                <c:pt idx="234">
                  <c:v>36.151065321793602</c:v>
                </c:pt>
                <c:pt idx="235">
                  <c:v>35.102276247107497</c:v>
                </c:pt>
                <c:pt idx="236">
                  <c:v>34.589577186762</c:v>
                </c:pt>
                <c:pt idx="237">
                  <c:v>34.597926126721703</c:v>
                </c:pt>
                <c:pt idx="238">
                  <c:v>35.034692047449397</c:v>
                </c:pt>
                <c:pt idx="239">
                  <c:v>34.742557310828197</c:v>
                </c:pt>
                <c:pt idx="240">
                  <c:v>34.420257618638402</c:v>
                </c:pt>
                <c:pt idx="241">
                  <c:v>34.0611903858197</c:v>
                </c:pt>
                <c:pt idx="242">
                  <c:v>33.7256732440419</c:v>
                </c:pt>
                <c:pt idx="243">
                  <c:v>34.601165085075202</c:v>
                </c:pt>
                <c:pt idx="244">
                  <c:v>34.394010868605399</c:v>
                </c:pt>
                <c:pt idx="245">
                  <c:v>34.345618963715999</c:v>
                </c:pt>
                <c:pt idx="246">
                  <c:v>34.162326743897999</c:v>
                </c:pt>
                <c:pt idx="247">
                  <c:v>35.386895205924603</c:v>
                </c:pt>
                <c:pt idx="248">
                  <c:v>36.190954837889102</c:v>
                </c:pt>
                <c:pt idx="249">
                  <c:v>35.532295356270701</c:v>
                </c:pt>
                <c:pt idx="250">
                  <c:v>35.965496698396599</c:v>
                </c:pt>
                <c:pt idx="251">
                  <c:v>36.421937693637197</c:v>
                </c:pt>
                <c:pt idx="252">
                  <c:v>36.6232731391963</c:v>
                </c:pt>
                <c:pt idx="253">
                  <c:v>37.1175765465319</c:v>
                </c:pt>
                <c:pt idx="254">
                  <c:v>36.470756992747397</c:v>
                </c:pt>
                <c:pt idx="255">
                  <c:v>35.934010319308598</c:v>
                </c:pt>
                <c:pt idx="256">
                  <c:v>35.145805287817602</c:v>
                </c:pt>
                <c:pt idx="257">
                  <c:v>34.756747050838399</c:v>
                </c:pt>
                <c:pt idx="258">
                  <c:v>35.058540679219703</c:v>
                </c:pt>
              </c:numCache>
            </c:numRef>
          </c:xVal>
          <c:yVal>
            <c:numRef>
              <c:f>selhausen_SM_EGR_daily!$C$8:$C$400</c:f>
              <c:numCache>
                <c:formatCode>General</c:formatCode>
                <c:ptCount val="393"/>
                <c:pt idx="0">
                  <c:v>88.367804627127754</c:v>
                </c:pt>
                <c:pt idx="1">
                  <c:v>88.489483096016684</c:v>
                </c:pt>
                <c:pt idx="2">
                  <c:v>87.998770937067789</c:v>
                </c:pt>
                <c:pt idx="3">
                  <c:v>88.160100148537637</c:v>
                </c:pt>
                <c:pt idx="4">
                  <c:v>88.553610025074434</c:v>
                </c:pt>
                <c:pt idx="5">
                  <c:v>87.740032728003172</c:v>
                </c:pt>
                <c:pt idx="6">
                  <c:v>87.491774031080524</c:v>
                </c:pt>
                <c:pt idx="7">
                  <c:v>87.566468291819916</c:v>
                </c:pt>
                <c:pt idx="8">
                  <c:v>87.726829035813736</c:v>
                </c:pt>
                <c:pt idx="9">
                  <c:v>87.739584371302229</c:v>
                </c:pt>
                <c:pt idx="10">
                  <c:v>87.950609391024059</c:v>
                </c:pt>
                <c:pt idx="11">
                  <c:v>88.183769347152676</c:v>
                </c:pt>
                <c:pt idx="12">
                  <c:v>88.329817183955257</c:v>
                </c:pt>
                <c:pt idx="13">
                  <c:v>88.274741263150148</c:v>
                </c:pt>
                <c:pt idx="14">
                  <c:v>88.338735752900462</c:v>
                </c:pt>
                <c:pt idx="15">
                  <c:v>88.168119990120331</c:v>
                </c:pt>
                <c:pt idx="16">
                  <c:v>88.027214629032287</c:v>
                </c:pt>
                <c:pt idx="17">
                  <c:v>87.766182005330677</c:v>
                </c:pt>
                <c:pt idx="18">
                  <c:v>87.834857844100185</c:v>
                </c:pt>
                <c:pt idx="19">
                  <c:v>88.140705931363428</c:v>
                </c:pt>
                <c:pt idx="20">
                  <c:v>87.693277259749522</c:v>
                </c:pt>
                <c:pt idx="21">
                  <c:v>87.750919982275832</c:v>
                </c:pt>
                <c:pt idx="22">
                  <c:v>88.151443569744146</c:v>
                </c:pt>
                <c:pt idx="23">
                  <c:v>88.366030139955967</c:v>
                </c:pt>
                <c:pt idx="24">
                  <c:v>87.604316685666873</c:v>
                </c:pt>
                <c:pt idx="25">
                  <c:v>87.676712326258993</c:v>
                </c:pt>
                <c:pt idx="26">
                  <c:v>87.974094093898955</c:v>
                </c:pt>
                <c:pt idx="27">
                  <c:v>88.064179339292437</c:v>
                </c:pt>
                <c:pt idx="28">
                  <c:v>88.038015679731757</c:v>
                </c:pt>
                <c:pt idx="29">
                  <c:v>88.011867561876528</c:v>
                </c:pt>
                <c:pt idx="30">
                  <c:v>87.81389191535159</c:v>
                </c:pt>
                <c:pt idx="31">
                  <c:v>87.671274932803911</c:v>
                </c:pt>
                <c:pt idx="32">
                  <c:v>88.133704674170033</c:v>
                </c:pt>
                <c:pt idx="33">
                  <c:v>88.361676563096594</c:v>
                </c:pt>
                <c:pt idx="34">
                  <c:v>87.849826570677919</c:v>
                </c:pt>
                <c:pt idx="35">
                  <c:v>88.248891750731616</c:v>
                </c:pt>
                <c:pt idx="36">
                  <c:v>88.408799292880317</c:v>
                </c:pt>
                <c:pt idx="37">
                  <c:v>88.634897063462731</c:v>
                </c:pt>
                <c:pt idx="38">
                  <c:v>88.869612845528778</c:v>
                </c:pt>
                <c:pt idx="39">
                  <c:v>89.073049047118374</c:v>
                </c:pt>
                <c:pt idx="40">
                  <c:v>89.156090057700922</c:v>
                </c:pt>
                <c:pt idx="41">
                  <c:v>88.55749964856436</c:v>
                </c:pt>
                <c:pt idx="42">
                  <c:v>88.087966824976377</c:v>
                </c:pt>
                <c:pt idx="43">
                  <c:v>88.301281369656095</c:v>
                </c:pt>
                <c:pt idx="44">
                  <c:v>88.703149935316233</c:v>
                </c:pt>
                <c:pt idx="45">
                  <c:v>88.58235447112223</c:v>
                </c:pt>
                <c:pt idx="46">
                  <c:v>88.53107671855939</c:v>
                </c:pt>
                <c:pt idx="47">
                  <c:v>88.674371353451065</c:v>
                </c:pt>
                <c:pt idx="48">
                  <c:v>88.706321002154723</c:v>
                </c:pt>
                <c:pt idx="49">
                  <c:v>88.73829368227004</c:v>
                </c:pt>
                <c:pt idx="50">
                  <c:v>88.865064508519467</c:v>
                </c:pt>
                <c:pt idx="51">
                  <c:v>88.415512836222888</c:v>
                </c:pt>
                <c:pt idx="52">
                  <c:v>88.476566231491503</c:v>
                </c:pt>
                <c:pt idx="53">
                  <c:v>88.92999439163259</c:v>
                </c:pt>
                <c:pt idx="54">
                  <c:v>89.358887115071511</c:v>
                </c:pt>
                <c:pt idx="55">
                  <c:v>89.281723885359696</c:v>
                </c:pt>
                <c:pt idx="56">
                  <c:v>89.49086229306188</c:v>
                </c:pt>
                <c:pt idx="57">
                  <c:v>89.684048199951107</c:v>
                </c:pt>
                <c:pt idx="58">
                  <c:v>89.88057638967274</c:v>
                </c:pt>
                <c:pt idx="59">
                  <c:v>90.020512344220975</c:v>
                </c:pt>
                <c:pt idx="60">
                  <c:v>90.166334767986768</c:v>
                </c:pt>
                <c:pt idx="61">
                  <c:v>90.306786725726724</c:v>
                </c:pt>
                <c:pt idx="62">
                  <c:v>90.447676929709147</c:v>
                </c:pt>
                <c:pt idx="63">
                  <c:v>92.262214782426838</c:v>
                </c:pt>
                <c:pt idx="64">
                  <c:v>89.237799567400884</c:v>
                </c:pt>
                <c:pt idx="65">
                  <c:v>88.964569280378271</c:v>
                </c:pt>
                <c:pt idx="66">
                  <c:v>88.761147074051664</c:v>
                </c:pt>
                <c:pt idx="67">
                  <c:v>88.698342268481952</c:v>
                </c:pt>
                <c:pt idx="68">
                  <c:v>87.642954427974772</c:v>
                </c:pt>
                <c:pt idx="69">
                  <c:v>88.181553660120699</c:v>
                </c:pt>
                <c:pt idx="70">
                  <c:v>88.623456475866405</c:v>
                </c:pt>
                <c:pt idx="71">
                  <c:v>89.155363405121932</c:v>
                </c:pt>
                <c:pt idx="72">
                  <c:v>89.640443717797581</c:v>
                </c:pt>
                <c:pt idx="73">
                  <c:v>90.086901430713965</c:v>
                </c:pt>
                <c:pt idx="74">
                  <c:v>90.479278298477908</c:v>
                </c:pt>
                <c:pt idx="75">
                  <c:v>90.805817029313559</c:v>
                </c:pt>
                <c:pt idx="76">
                  <c:v>90.92427822630718</c:v>
                </c:pt>
                <c:pt idx="77">
                  <c:v>90.171290045564916</c:v>
                </c:pt>
                <c:pt idx="78">
                  <c:v>90.260128445693255</c:v>
                </c:pt>
                <c:pt idx="79">
                  <c:v>90.417769474979096</c:v>
                </c:pt>
                <c:pt idx="80">
                  <c:v>90.572626544904239</c:v>
                </c:pt>
                <c:pt idx="81">
                  <c:v>90.599496491560316</c:v>
                </c:pt>
                <c:pt idx="82">
                  <c:v>89.906329274629016</c:v>
                </c:pt>
                <c:pt idx="83">
                  <c:v>90.181318521374848</c:v>
                </c:pt>
                <c:pt idx="84">
                  <c:v>89.13009152093899</c:v>
                </c:pt>
                <c:pt idx="85">
                  <c:v>88.653126623471991</c:v>
                </c:pt>
                <c:pt idx="86">
                  <c:v>89.153983027677342</c:v>
                </c:pt>
                <c:pt idx="87">
                  <c:v>89.388938080825383</c:v>
                </c:pt>
                <c:pt idx="88">
                  <c:v>89.247889435472743</c:v>
                </c:pt>
                <c:pt idx="89">
                  <c:v>89.421374223498731</c:v>
                </c:pt>
                <c:pt idx="90">
                  <c:v>88.289143044406998</c:v>
                </c:pt>
                <c:pt idx="91">
                  <c:v>88.504532323342005</c:v>
                </c:pt>
                <c:pt idx="92">
                  <c:v>88.866536796798698</c:v>
                </c:pt>
                <c:pt idx="93">
                  <c:v>88.704682276813841</c:v>
                </c:pt>
                <c:pt idx="94">
                  <c:v>89.007163179016985</c:v>
                </c:pt>
                <c:pt idx="95">
                  <c:v>89.391071458641875</c:v>
                </c:pt>
                <c:pt idx="96">
                  <c:v>89.733126207881583</c:v>
                </c:pt>
                <c:pt idx="97">
                  <c:v>90.00533433313251</c:v>
                </c:pt>
                <c:pt idx="98">
                  <c:v>90.378896470421324</c:v>
                </c:pt>
                <c:pt idx="99">
                  <c:v>90.758010747581437</c:v>
                </c:pt>
                <c:pt idx="100">
                  <c:v>91.074304666734292</c:v>
                </c:pt>
                <c:pt idx="101">
                  <c:v>91.319705313380197</c:v>
                </c:pt>
                <c:pt idx="102">
                  <c:v>91.410578567978973</c:v>
                </c:pt>
                <c:pt idx="103">
                  <c:v>91.562860180801749</c:v>
                </c:pt>
                <c:pt idx="104">
                  <c:v>91.654305228467763</c:v>
                </c:pt>
                <c:pt idx="105">
                  <c:v>91.838825920387876</c:v>
                </c:pt>
                <c:pt idx="106">
                  <c:v>91.925500550567065</c:v>
                </c:pt>
                <c:pt idx="107">
                  <c:v>92.061275151484523</c:v>
                </c:pt>
                <c:pt idx="108">
                  <c:v>92.037137838933205</c:v>
                </c:pt>
                <c:pt idx="109">
                  <c:v>91.175252598158238</c:v>
                </c:pt>
                <c:pt idx="110">
                  <c:v>89.302023200336677</c:v>
                </c:pt>
                <c:pt idx="111">
                  <c:v>89.16722611960607</c:v>
                </c:pt>
                <c:pt idx="112">
                  <c:v>89.896569362591507</c:v>
                </c:pt>
                <c:pt idx="113">
                  <c:v>90.562126361327003</c:v>
                </c:pt>
                <c:pt idx="114">
                  <c:v>91.002827486450713</c:v>
                </c:pt>
                <c:pt idx="115">
                  <c:v>91.511873936239809</c:v>
                </c:pt>
                <c:pt idx="116">
                  <c:v>91.985027666243724</c:v>
                </c:pt>
                <c:pt idx="117">
                  <c:v>92.433478649702877</c:v>
                </c:pt>
                <c:pt idx="118">
                  <c:v>92.763726785590677</c:v>
                </c:pt>
                <c:pt idx="119">
                  <c:v>91.451658014407357</c:v>
                </c:pt>
                <c:pt idx="120">
                  <c:v>91.248224236563701</c:v>
                </c:pt>
                <c:pt idx="121">
                  <c:v>91.446594521175598</c:v>
                </c:pt>
                <c:pt idx="122">
                  <c:v>91.123310181354924</c:v>
                </c:pt>
                <c:pt idx="123">
                  <c:v>91.092199795385284</c:v>
                </c:pt>
                <c:pt idx="124">
                  <c:v>91.44690303193542</c:v>
                </c:pt>
                <c:pt idx="125">
                  <c:v>91.675892795150617</c:v>
                </c:pt>
                <c:pt idx="126">
                  <c:v>92.021684374847212</c:v>
                </c:pt>
                <c:pt idx="127">
                  <c:v>92.304547343838962</c:v>
                </c:pt>
                <c:pt idx="128">
                  <c:v>92.590260635162338</c:v>
                </c:pt>
                <c:pt idx="129">
                  <c:v>92.83137630261119</c:v>
                </c:pt>
                <c:pt idx="130">
                  <c:v>92.719452410548897</c:v>
                </c:pt>
                <c:pt idx="131">
                  <c:v>92.422474316897564</c:v>
                </c:pt>
                <c:pt idx="132">
                  <c:v>92.565494805160583</c:v>
                </c:pt>
                <c:pt idx="133">
                  <c:v>92.801398251056327</c:v>
                </c:pt>
                <c:pt idx="134">
                  <c:v>92.63642312627772</c:v>
                </c:pt>
                <c:pt idx="135">
                  <c:v>92.636034042560652</c:v>
                </c:pt>
                <c:pt idx="136">
                  <c:v>92.860036166167575</c:v>
                </c:pt>
                <c:pt idx="137">
                  <c:v>93.081823709792701</c:v>
                </c:pt>
                <c:pt idx="138">
                  <c:v>93.303669335785926</c:v>
                </c:pt>
                <c:pt idx="139">
                  <c:v>93.5325263258364</c:v>
                </c:pt>
                <c:pt idx="140">
                  <c:v>93.765164179545522</c:v>
                </c:pt>
                <c:pt idx="141">
                  <c:v>94.000990838529532</c:v>
                </c:pt>
                <c:pt idx="142">
                  <c:v>94.218968604257284</c:v>
                </c:pt>
                <c:pt idx="143">
                  <c:v>94.44133846514795</c:v>
                </c:pt>
                <c:pt idx="144">
                  <c:v>94.562891270675948</c:v>
                </c:pt>
                <c:pt idx="145">
                  <c:v>94.450558686127778</c:v>
                </c:pt>
                <c:pt idx="146">
                  <c:v>94.166247342292493</c:v>
                </c:pt>
                <c:pt idx="147">
                  <c:v>94.258415288717842</c:v>
                </c:pt>
                <c:pt idx="148">
                  <c:v>94.416997338731221</c:v>
                </c:pt>
                <c:pt idx="149">
                  <c:v>94.476966455732665</c:v>
                </c:pt>
                <c:pt idx="150">
                  <c:v>93.173839849959236</c:v>
                </c:pt>
                <c:pt idx="151">
                  <c:v>92.026427822127047</c:v>
                </c:pt>
                <c:pt idx="152">
                  <c:v>92.348371279369474</c:v>
                </c:pt>
                <c:pt idx="153">
                  <c:v>92.496317289450104</c:v>
                </c:pt>
                <c:pt idx="154">
                  <c:v>92.660565845574794</c:v>
                </c:pt>
                <c:pt idx="155">
                  <c:v>92.936405142467478</c:v>
                </c:pt>
                <c:pt idx="156">
                  <c:v>93.16908401177696</c:v>
                </c:pt>
                <c:pt idx="157">
                  <c:v>93.391115655293845</c:v>
                </c:pt>
                <c:pt idx="158">
                  <c:v>93.640874971430534</c:v>
                </c:pt>
                <c:pt idx="159">
                  <c:v>93.898936235434746</c:v>
                </c:pt>
                <c:pt idx="160">
                  <c:v>94.169482876135149</c:v>
                </c:pt>
                <c:pt idx="161">
                  <c:v>94.406199487258561</c:v>
                </c:pt>
                <c:pt idx="162">
                  <c:v>94.596037064508295</c:v>
                </c:pt>
                <c:pt idx="163">
                  <c:v>94.344510285974835</c:v>
                </c:pt>
                <c:pt idx="164">
                  <c:v>93.705391367047213</c:v>
                </c:pt>
                <c:pt idx="165">
                  <c:v>93.79010515388066</c:v>
                </c:pt>
                <c:pt idx="166">
                  <c:v>93.797327149639557</c:v>
                </c:pt>
                <c:pt idx="167">
                  <c:v>91.944725218704249</c:v>
                </c:pt>
                <c:pt idx="168">
                  <c:v>91.973158232528561</c:v>
                </c:pt>
                <c:pt idx="169">
                  <c:v>92.266078601132719</c:v>
                </c:pt>
                <c:pt idx="170">
                  <c:v>92.546177440489856</c:v>
                </c:pt>
                <c:pt idx="171">
                  <c:v>92.827225457527334</c:v>
                </c:pt>
                <c:pt idx="172">
                  <c:v>93.098620322491286</c:v>
                </c:pt>
                <c:pt idx="173">
                  <c:v>93.299370231873525</c:v>
                </c:pt>
                <c:pt idx="174">
                  <c:v>93.292219585144636</c:v>
                </c:pt>
                <c:pt idx="175">
                  <c:v>93.426180854329615</c:v>
                </c:pt>
                <c:pt idx="176">
                  <c:v>93.583776533943052</c:v>
                </c:pt>
                <c:pt idx="177">
                  <c:v>93.782950999659732</c:v>
                </c:pt>
                <c:pt idx="178">
                  <c:v>93.990536284489593</c:v>
                </c:pt>
                <c:pt idx="179">
                  <c:v>94.151958261656588</c:v>
                </c:pt>
                <c:pt idx="180">
                  <c:v>94.288018112572416</c:v>
                </c:pt>
                <c:pt idx="181">
                  <c:v>94.447603189191653</c:v>
                </c:pt>
                <c:pt idx="182">
                  <c:v>94.60626446226847</c:v>
                </c:pt>
                <c:pt idx="183">
                  <c:v>94.700701498403106</c:v>
                </c:pt>
                <c:pt idx="184">
                  <c:v>94.498689580503452</c:v>
                </c:pt>
                <c:pt idx="185">
                  <c:v>94.363958058786224</c:v>
                </c:pt>
                <c:pt idx="186">
                  <c:v>94.361721492525689</c:v>
                </c:pt>
                <c:pt idx="187">
                  <c:v>94.38785569091678</c:v>
                </c:pt>
                <c:pt idx="188">
                  <c:v>94.433845655043555</c:v>
                </c:pt>
                <c:pt idx="189">
                  <c:v>94.397300094370379</c:v>
                </c:pt>
                <c:pt idx="190">
                  <c:v>94.222812675289958</c:v>
                </c:pt>
                <c:pt idx="191">
                  <c:v>93.665218543098476</c:v>
                </c:pt>
                <c:pt idx="192">
                  <c:v>93.359484310523655</c:v>
                </c:pt>
                <c:pt idx="193">
                  <c:v>92.647119177342631</c:v>
                </c:pt>
                <c:pt idx="194">
                  <c:v>92.713291340032868</c:v>
                </c:pt>
                <c:pt idx="195">
                  <c:v>92.741454134301804</c:v>
                </c:pt>
                <c:pt idx="196">
                  <c:v>92.744424222102964</c:v>
                </c:pt>
                <c:pt idx="197">
                  <c:v>92.747394500147038</c:v>
                </c:pt>
                <c:pt idx="198">
                  <c:v>92.72270447765132</c:v>
                </c:pt>
                <c:pt idx="199">
                  <c:v>92.796596178444076</c:v>
                </c:pt>
                <c:pt idx="200">
                  <c:v>92.856723129800415</c:v>
                </c:pt>
                <c:pt idx="201">
                  <c:v>92.913100846914872</c:v>
                </c:pt>
                <c:pt idx="202">
                  <c:v>92.985245752557347</c:v>
                </c:pt>
                <c:pt idx="203">
                  <c:v>93.051339734433867</c:v>
                </c:pt>
                <c:pt idx="204">
                  <c:v>93.093890236950358</c:v>
                </c:pt>
                <c:pt idx="205">
                  <c:v>93.083029483667588</c:v>
                </c:pt>
                <c:pt idx="206">
                  <c:v>93.130907376774147</c:v>
                </c:pt>
                <c:pt idx="207">
                  <c:v>93.174607564262843</c:v>
                </c:pt>
                <c:pt idx="208">
                  <c:v>93.199969532340717</c:v>
                </c:pt>
                <c:pt idx="209">
                  <c:v>92.975034069710304</c:v>
                </c:pt>
                <c:pt idx="210">
                  <c:v>90.795832551545118</c:v>
                </c:pt>
                <c:pt idx="211">
                  <c:v>91.087588243182097</c:v>
                </c:pt>
                <c:pt idx="212">
                  <c:v>90.59210042014729</c:v>
                </c:pt>
                <c:pt idx="213">
                  <c:v>90.555766850505307</c:v>
                </c:pt>
                <c:pt idx="214">
                  <c:v>90.761228480390784</c:v>
                </c:pt>
                <c:pt idx="215">
                  <c:v>90.257893544227542</c:v>
                </c:pt>
                <c:pt idx="216">
                  <c:v>89.253320072096557</c:v>
                </c:pt>
                <c:pt idx="217">
                  <c:v>88.426554230670149</c:v>
                </c:pt>
                <c:pt idx="218">
                  <c:v>88.395930295674518</c:v>
                </c:pt>
                <c:pt idx="219">
                  <c:v>88.541346511219842</c:v>
                </c:pt>
                <c:pt idx="220">
                  <c:v>88.900380495422041</c:v>
                </c:pt>
                <c:pt idx="221">
                  <c:v>88.667691406775447</c:v>
                </c:pt>
                <c:pt idx="222">
                  <c:v>88.978554629353553</c:v>
                </c:pt>
                <c:pt idx="223">
                  <c:v>89.443839943216886</c:v>
                </c:pt>
                <c:pt idx="224">
                  <c:v>89.481081607720043</c:v>
                </c:pt>
                <c:pt idx="225">
                  <c:v>89.557964200023875</c:v>
                </c:pt>
                <c:pt idx="226">
                  <c:v>89.618408259265735</c:v>
                </c:pt>
                <c:pt idx="227">
                  <c:v>89.723243689779792</c:v>
                </c:pt>
                <c:pt idx="228">
                  <c:v>89.850095891005736</c:v>
                </c:pt>
                <c:pt idx="229">
                  <c:v>89.959835051464538</c:v>
                </c:pt>
                <c:pt idx="230">
                  <c:v>89.857376903043701</c:v>
                </c:pt>
                <c:pt idx="231">
                  <c:v>89.495442701922585</c:v>
                </c:pt>
                <c:pt idx="232">
                  <c:v>89.496951822098268</c:v>
                </c:pt>
                <c:pt idx="233">
                  <c:v>89.297454919934339</c:v>
                </c:pt>
                <c:pt idx="234">
                  <c:v>88.6210162430297</c:v>
                </c:pt>
                <c:pt idx="235">
                  <c:v>89.016353774877231</c:v>
                </c:pt>
                <c:pt idx="236">
                  <c:v>89.210900359099213</c:v>
                </c:pt>
                <c:pt idx="237">
                  <c:v>89.207725495351923</c:v>
                </c:pt>
                <c:pt idx="238">
                  <c:v>89.041950417542836</c:v>
                </c:pt>
                <c:pt idx="239">
                  <c:v>89.152762223597335</c:v>
                </c:pt>
                <c:pt idx="240">
                  <c:v>89.275336561303604</c:v>
                </c:pt>
                <c:pt idx="241">
                  <c:v>89.412291551599878</c:v>
                </c:pt>
                <c:pt idx="242">
                  <c:v>89.540644402550384</c:v>
                </c:pt>
                <c:pt idx="243">
                  <c:v>89.206493872705963</c:v>
                </c:pt>
                <c:pt idx="244">
                  <c:v>89.285333350189788</c:v>
                </c:pt>
                <c:pt idx="245">
                  <c:v>89.303770594199747</c:v>
                </c:pt>
                <c:pt idx="246">
                  <c:v>89.373673753166173</c:v>
                </c:pt>
                <c:pt idx="247">
                  <c:v>88.90871931244493</c:v>
                </c:pt>
                <c:pt idx="248">
                  <c:v>88.606049330108533</c:v>
                </c:pt>
                <c:pt idx="249">
                  <c:v>88.853833670815376</c:v>
                </c:pt>
                <c:pt idx="250">
                  <c:v>88.690709822041725</c:v>
                </c:pt>
                <c:pt idx="251">
                  <c:v>88.519481736125996</c:v>
                </c:pt>
                <c:pt idx="252">
                  <c:v>88.444163239092447</c:v>
                </c:pt>
                <c:pt idx="253">
                  <c:v>88.259789512417441</c:v>
                </c:pt>
                <c:pt idx="254">
                  <c:v>88.501206922314296</c:v>
                </c:pt>
                <c:pt idx="255">
                  <c:v>88.702545967696437</c:v>
                </c:pt>
                <c:pt idx="256">
                  <c:v>88.999875503097783</c:v>
                </c:pt>
                <c:pt idx="257">
                  <c:v>89.147373434848831</c:v>
                </c:pt>
                <c:pt idx="258">
                  <c:v>89.032916375718699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C3-4658-BD55-03C7F1D33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887920"/>
        <c:axId val="1786283104"/>
      </c:scatterChart>
      <c:valAx>
        <c:axId val="850887920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3104"/>
        <c:crosses val="autoZero"/>
        <c:crossBetween val="midCat"/>
      </c:valAx>
      <c:valAx>
        <c:axId val="1786283104"/>
        <c:scaling>
          <c:orientation val="minMax"/>
          <c:max val="102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MIRA_EGR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10936132983366"/>
                  <c:y val="0.160419947506561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selhausen_SM_EGR_daily!$D$8:$D$400</c:f>
              <c:numCache>
                <c:formatCode>General</c:formatCode>
                <c:ptCount val="393"/>
                <c:pt idx="0">
                  <c:v>36.827739288057799</c:v>
                </c:pt>
                <c:pt idx="1">
                  <c:v>36.502086615008203</c:v>
                </c:pt>
                <c:pt idx="2">
                  <c:v>37.820905597170601</c:v>
                </c:pt>
                <c:pt idx="3">
                  <c:v>37.385703514750197</c:v>
                </c:pt>
                <c:pt idx="4">
                  <c:v>36.330821405988701</c:v>
                </c:pt>
                <c:pt idx="5">
                  <c:v>38.522220074486697</c:v>
                </c:pt>
                <c:pt idx="6">
                  <c:v>39.199029022511397</c:v>
                </c:pt>
                <c:pt idx="7">
                  <c:v>38.994992077880099</c:v>
                </c:pt>
                <c:pt idx="8">
                  <c:v>38.558119855760197</c:v>
                </c:pt>
                <c:pt idx="9">
                  <c:v>38.523438943215801</c:v>
                </c:pt>
                <c:pt idx="10">
                  <c:v>37.951135763560401</c:v>
                </c:pt>
                <c:pt idx="11">
                  <c:v>37.3219873750744</c:v>
                </c:pt>
                <c:pt idx="12">
                  <c:v>36.929590288939401</c:v>
                </c:pt>
                <c:pt idx="13">
                  <c:v>37.077414175641501</c:v>
                </c:pt>
                <c:pt idx="14">
                  <c:v>36.905670172037802</c:v>
                </c:pt>
                <c:pt idx="15">
                  <c:v>37.364110724335703</c:v>
                </c:pt>
                <c:pt idx="16">
                  <c:v>37.744059991978702</c:v>
                </c:pt>
                <c:pt idx="17">
                  <c:v>38.451154163460501</c:v>
                </c:pt>
                <c:pt idx="18">
                  <c:v>38.264715277809898</c:v>
                </c:pt>
                <c:pt idx="19">
                  <c:v>37.437937154580602</c:v>
                </c:pt>
                <c:pt idx="20">
                  <c:v>38.649393085200501</c:v>
                </c:pt>
                <c:pt idx="21">
                  <c:v>38.492626629082899</c:v>
                </c:pt>
                <c:pt idx="22">
                  <c:v>37.409015079073001</c:v>
                </c:pt>
                <c:pt idx="23">
                  <c:v>36.832495049798197</c:v>
                </c:pt>
                <c:pt idx="24">
                  <c:v>38.891737159288901</c:v>
                </c:pt>
                <c:pt idx="25">
                  <c:v>38.694481583835099</c:v>
                </c:pt>
                <c:pt idx="26">
                  <c:v>37.887614657947402</c:v>
                </c:pt>
                <c:pt idx="27">
                  <c:v>37.644267541068402</c:v>
                </c:pt>
                <c:pt idx="28">
                  <c:v>37.714892073714701</c:v>
                </c:pt>
                <c:pt idx="29">
                  <c:v>37.785516606361</c:v>
                </c:pt>
                <c:pt idx="30">
                  <c:v>38.3216019609401</c:v>
                </c:pt>
                <c:pt idx="31">
                  <c:v>38.709285472713503</c:v>
                </c:pt>
                <c:pt idx="32">
                  <c:v>37.456798997182503</c:v>
                </c:pt>
                <c:pt idx="33">
                  <c:v>36.844163778936199</c:v>
                </c:pt>
                <c:pt idx="34">
                  <c:v>38.224117367542597</c:v>
                </c:pt>
                <c:pt idx="35">
                  <c:v>37.1468579436063</c:v>
                </c:pt>
                <c:pt idx="36">
                  <c:v>36.717923589951901</c:v>
                </c:pt>
                <c:pt idx="37">
                  <c:v>36.1140824782252</c:v>
                </c:pt>
                <c:pt idx="38">
                  <c:v>35.4904756034882</c:v>
                </c:pt>
                <c:pt idx="39">
                  <c:v>34.9526329184134</c:v>
                </c:pt>
                <c:pt idx="40">
                  <c:v>34.733795326231601</c:v>
                </c:pt>
                <c:pt idx="41">
                  <c:v>36.320441281008002</c:v>
                </c:pt>
                <c:pt idx="42">
                  <c:v>37.5800935134939</c:v>
                </c:pt>
                <c:pt idx="43">
                  <c:v>37.006157454053998</c:v>
                </c:pt>
                <c:pt idx="44">
                  <c:v>35.932403876890902</c:v>
                </c:pt>
                <c:pt idx="45">
                  <c:v>36.254133463046898</c:v>
                </c:pt>
                <c:pt idx="46">
                  <c:v>36.390973332691502</c:v>
                </c:pt>
                <c:pt idx="47">
                  <c:v>36.008973915065198</c:v>
                </c:pt>
                <c:pt idx="48">
                  <c:v>35.9239697832028</c:v>
                </c:pt>
                <c:pt idx="49">
                  <c:v>35.838965651340402</c:v>
                </c:pt>
                <c:pt idx="50">
                  <c:v>35.502528596995298</c:v>
                </c:pt>
                <c:pt idx="51">
                  <c:v>36.699949187168897</c:v>
                </c:pt>
                <c:pt idx="52">
                  <c:v>36.536614010711297</c:v>
                </c:pt>
                <c:pt idx="53">
                  <c:v>35.3305826550299</c:v>
                </c:pt>
                <c:pt idx="54">
                  <c:v>34.201074692677899</c:v>
                </c:pt>
                <c:pt idx="55">
                  <c:v>34.403486905825503</c:v>
                </c:pt>
                <c:pt idx="56">
                  <c:v>33.855690507900697</c:v>
                </c:pt>
                <c:pt idx="57">
                  <c:v>33.351948487343698</c:v>
                </c:pt>
                <c:pt idx="58">
                  <c:v>32.841713263601797</c:v>
                </c:pt>
                <c:pt idx="59">
                  <c:v>32.4797632307071</c:v>
                </c:pt>
                <c:pt idx="60">
                  <c:v>32.103782964479898</c:v>
                </c:pt>
                <c:pt idx="61">
                  <c:v>31.742797573479098</c:v>
                </c:pt>
                <c:pt idx="62">
                  <c:v>31.381812182478299</c:v>
                </c:pt>
                <c:pt idx="63">
                  <c:v>26.831183762971801</c:v>
                </c:pt>
                <c:pt idx="64">
                  <c:v>34.518864171282701</c:v>
                </c:pt>
                <c:pt idx="65">
                  <c:v>35.2391245748125</c:v>
                </c:pt>
                <c:pt idx="66">
                  <c:v>35.778244035441197</c:v>
                </c:pt>
                <c:pt idx="67">
                  <c:v>35.945191989545997</c:v>
                </c:pt>
                <c:pt idx="68">
                  <c:v>38.786420794270299</c:v>
                </c:pt>
                <c:pt idx="69">
                  <c:v>37.327950427753798</c:v>
                </c:pt>
                <c:pt idx="70">
                  <c:v>36.144562939614701</c:v>
                </c:pt>
                <c:pt idx="71">
                  <c:v>34.735708502413402</c:v>
                </c:pt>
                <c:pt idx="72">
                  <c:v>33.465459648726799</c:v>
                </c:pt>
                <c:pt idx="73">
                  <c:v>32.308438444707399</c:v>
                </c:pt>
                <c:pt idx="74">
                  <c:v>31.300998297678699</c:v>
                </c:pt>
                <c:pt idx="75">
                  <c:v>30.469237327995899</c:v>
                </c:pt>
                <c:pt idx="76">
                  <c:v>30.168969211969401</c:v>
                </c:pt>
                <c:pt idx="77">
                  <c:v>32.0910279215949</c:v>
                </c:pt>
                <c:pt idx="78">
                  <c:v>31.8625926649677</c:v>
                </c:pt>
                <c:pt idx="79">
                  <c:v>31.4583462654731</c:v>
                </c:pt>
                <c:pt idx="80">
                  <c:v>31.062609024766999</c:v>
                </c:pt>
                <c:pt idx="81">
                  <c:v>30.994080608836001</c:v>
                </c:pt>
                <c:pt idx="82">
                  <c:v>32.7750177828378</c:v>
                </c:pt>
                <c:pt idx="83">
                  <c:v>32.065218593262003</c:v>
                </c:pt>
                <c:pt idx="84">
                  <c:v>34.802265302004301</c:v>
                </c:pt>
                <c:pt idx="85">
                  <c:v>36.065530825288597</c:v>
                </c:pt>
                <c:pt idx="86">
                  <c:v>34.739342932042398</c:v>
                </c:pt>
                <c:pt idx="87">
                  <c:v>34.122340470902699</c:v>
                </c:pt>
                <c:pt idx="88">
                  <c:v>34.492350777914901</c:v>
                </c:pt>
                <c:pt idx="89">
                  <c:v>34.037416416620601</c:v>
                </c:pt>
                <c:pt idx="90">
                  <c:v>37.0387419568141</c:v>
                </c:pt>
                <c:pt idx="91">
                  <c:v>36.461872022930798</c:v>
                </c:pt>
                <c:pt idx="92">
                  <c:v>35.498626930236597</c:v>
                </c:pt>
                <c:pt idx="93">
                  <c:v>35.928328229430001</c:v>
                </c:pt>
                <c:pt idx="94">
                  <c:v>35.126552158502001</c:v>
                </c:pt>
                <c:pt idx="95">
                  <c:v>34.1167529843746</c:v>
                </c:pt>
                <c:pt idx="96">
                  <c:v>33.224320606064701</c:v>
                </c:pt>
                <c:pt idx="97">
                  <c:v>32.518967356221502</c:v>
                </c:pt>
                <c:pt idx="98">
                  <c:v>31.557899166655702</c:v>
                </c:pt>
                <c:pt idx="99">
                  <c:v>30.590635727977698</c:v>
                </c:pt>
                <c:pt idx="100">
                  <c:v>29.7898125302466</c:v>
                </c:pt>
                <c:pt idx="101">
                  <c:v>29.1723054063017</c:v>
                </c:pt>
                <c:pt idx="102">
                  <c:v>28.944480207266501</c:v>
                </c:pt>
                <c:pt idx="103">
                  <c:v>28.5637140906992</c:v>
                </c:pt>
                <c:pt idx="104">
                  <c:v>28.3356722144595</c:v>
                </c:pt>
                <c:pt idx="105">
                  <c:v>27.8769048488621</c:v>
                </c:pt>
                <c:pt idx="106">
                  <c:v>27.662044485460701</c:v>
                </c:pt>
                <c:pt idx="107">
                  <c:v>27.326281992673099</c:v>
                </c:pt>
                <c:pt idx="108">
                  <c:v>27.385899725779801</c:v>
                </c:pt>
                <c:pt idx="109">
                  <c:v>29.5353925470143</c:v>
                </c:pt>
                <c:pt idx="110">
                  <c:v>34.350204460009799</c:v>
                </c:pt>
                <c:pt idx="111">
                  <c:v>34.704479509313899</c:v>
                </c:pt>
                <c:pt idx="112">
                  <c:v>32.800289756108803</c:v>
                </c:pt>
                <c:pt idx="113">
                  <c:v>31.089399471392699</c:v>
                </c:pt>
                <c:pt idx="114">
                  <c:v>29.9702984372367</c:v>
                </c:pt>
                <c:pt idx="115">
                  <c:v>28.691059373047299</c:v>
                </c:pt>
                <c:pt idx="116">
                  <c:v>27.514715455931601</c:v>
                </c:pt>
                <c:pt idx="117">
                  <c:v>26.410903294059999</c:v>
                </c:pt>
                <c:pt idx="118">
                  <c:v>25.604857856382001</c:v>
                </c:pt>
                <c:pt idx="119">
                  <c:v>28.841639944837699</c:v>
                </c:pt>
                <c:pt idx="120">
                  <c:v>29.3518320031645</c:v>
                </c:pt>
                <c:pt idx="121">
                  <c:v>28.854311144908898</c:v>
                </c:pt>
                <c:pt idx="122">
                  <c:v>29.666233086137201</c:v>
                </c:pt>
                <c:pt idx="123">
                  <c:v>29.744670155080001</c:v>
                </c:pt>
                <c:pt idx="124">
                  <c:v>28.8535390682712</c:v>
                </c:pt>
                <c:pt idx="125">
                  <c:v>28.2819044092087</c:v>
                </c:pt>
                <c:pt idx="126">
                  <c:v>27.424085288877698</c:v>
                </c:pt>
                <c:pt idx="127">
                  <c:v>26.727154814310602</c:v>
                </c:pt>
                <c:pt idx="128">
                  <c:v>26.027524408369398</c:v>
                </c:pt>
                <c:pt idx="129">
                  <c:v>25.440451593334501</c:v>
                </c:pt>
                <c:pt idx="130">
                  <c:v>25.712586211417499</c:v>
                </c:pt>
                <c:pt idx="131">
                  <c:v>26.437861032954299</c:v>
                </c:pt>
                <c:pt idx="132">
                  <c:v>26.087997906156001</c:v>
                </c:pt>
                <c:pt idx="133">
                  <c:v>25.513276632695799</c:v>
                </c:pt>
                <c:pt idx="134">
                  <c:v>25.914890595067799</c:v>
                </c:pt>
                <c:pt idx="135">
                  <c:v>25.9158394677854</c:v>
                </c:pt>
                <c:pt idx="136">
                  <c:v>25.3708727642762</c:v>
                </c:pt>
                <c:pt idx="137">
                  <c:v>24.8338779968458</c:v>
                </c:pt>
                <c:pt idx="138">
                  <c:v>24.299296530074201</c:v>
                </c:pt>
                <c:pt idx="139">
                  <c:v>23.750477163263898</c:v>
                </c:pt>
                <c:pt idx="140">
                  <c:v>23.195336762997801</c:v>
                </c:pt>
                <c:pt idx="141">
                  <c:v>22.635391489016101</c:v>
                </c:pt>
                <c:pt idx="142">
                  <c:v>22.120319355160198</c:v>
                </c:pt>
                <c:pt idx="143">
                  <c:v>21.5973188839817</c:v>
                </c:pt>
                <c:pt idx="144">
                  <c:v>21.3124737883434</c:v>
                </c:pt>
                <c:pt idx="145">
                  <c:v>21.575686653563299</c:v>
                </c:pt>
                <c:pt idx="146">
                  <c:v>22.244678813829701</c:v>
                </c:pt>
                <c:pt idx="147">
                  <c:v>22.027363091010798</c:v>
                </c:pt>
                <c:pt idx="148">
                  <c:v>21.6544476691009</c:v>
                </c:pt>
                <c:pt idx="149">
                  <c:v>21.513752830932201</c:v>
                </c:pt>
                <c:pt idx="150">
                  <c:v>24.6118377153112</c:v>
                </c:pt>
                <c:pt idx="151">
                  <c:v>27.4123628501798</c:v>
                </c:pt>
                <c:pt idx="152">
                  <c:v>26.619561403858999</c:v>
                </c:pt>
                <c:pt idx="153">
                  <c:v>26.2570879465536</c:v>
                </c:pt>
                <c:pt idx="154">
                  <c:v>25.8560284487071</c:v>
                </c:pt>
                <c:pt idx="155">
                  <c:v>25.185677922551498</c:v>
                </c:pt>
                <c:pt idx="156">
                  <c:v>24.623303080301401</c:v>
                </c:pt>
                <c:pt idx="157">
                  <c:v>24.089274968471202</c:v>
                </c:pt>
                <c:pt idx="158">
                  <c:v>23.491583158278601</c:v>
                </c:pt>
                <c:pt idx="159">
                  <c:v>22.877364054672199</c:v>
                </c:pt>
                <c:pt idx="160">
                  <c:v>22.237042792502098</c:v>
                </c:pt>
                <c:pt idx="161">
                  <c:v>21.679799730906002</c:v>
                </c:pt>
                <c:pt idx="162">
                  <c:v>21.2349274359131</c:v>
                </c:pt>
                <c:pt idx="163">
                  <c:v>21.8247498689128</c:v>
                </c:pt>
                <c:pt idx="164">
                  <c:v>23.337708645983401</c:v>
                </c:pt>
                <c:pt idx="165">
                  <c:v>23.135983922345801</c:v>
                </c:pt>
                <c:pt idx="166">
                  <c:v>23.118803399419299</c:v>
                </c:pt>
                <c:pt idx="167">
                  <c:v>27.614442763423298</c:v>
                </c:pt>
                <c:pt idx="168">
                  <c:v>27.5440769662486</c:v>
                </c:pt>
                <c:pt idx="169">
                  <c:v>26.821684772831698</c:v>
                </c:pt>
                <c:pt idx="170">
                  <c:v>26.1351897451278</c:v>
                </c:pt>
                <c:pt idx="171">
                  <c:v>25.4505323469667</c:v>
                </c:pt>
                <c:pt idx="172">
                  <c:v>24.793314049097098</c:v>
                </c:pt>
                <c:pt idx="173">
                  <c:v>24.3096319265604</c:v>
                </c:pt>
                <c:pt idx="174">
                  <c:v>24.3268247743984</c:v>
                </c:pt>
                <c:pt idx="175">
                  <c:v>24.0051686188731</c:v>
                </c:pt>
                <c:pt idx="176">
                  <c:v>23.627942478906299</c:v>
                </c:pt>
                <c:pt idx="177">
                  <c:v>23.1530056648289</c:v>
                </c:pt>
                <c:pt idx="178">
                  <c:v>22.660155192081699</c:v>
                </c:pt>
                <c:pt idx="179">
                  <c:v>22.2784080340722</c:v>
                </c:pt>
                <c:pt idx="180">
                  <c:v>21.957655008774601</c:v>
                </c:pt>
                <c:pt idx="181">
                  <c:v>21.582620299742899</c:v>
                </c:pt>
                <c:pt idx="182">
                  <c:v>21.211010863218998</c:v>
                </c:pt>
                <c:pt idx="183">
                  <c:v>20.990415747282899</c:v>
                </c:pt>
                <c:pt idx="184">
                  <c:v>21.462831797925801</c:v>
                </c:pt>
                <c:pt idx="185">
                  <c:v>21.7790332899547</c:v>
                </c:pt>
                <c:pt idx="186">
                  <c:v>21.784289907736799</c:v>
                </c:pt>
                <c:pt idx="187">
                  <c:v>21.722882064640402</c:v>
                </c:pt>
                <c:pt idx="188">
                  <c:v>21.614901421455698</c:v>
                </c:pt>
                <c:pt idx="189">
                  <c:v>21.7006987993243</c:v>
                </c:pt>
                <c:pt idx="190">
                  <c:v>22.111257364107701</c:v>
                </c:pt>
                <c:pt idx="191">
                  <c:v>23.433497740271601</c:v>
                </c:pt>
                <c:pt idx="192">
                  <c:v>24.165199178723402</c:v>
                </c:pt>
                <c:pt idx="193">
                  <c:v>25.888808864436701</c:v>
                </c:pt>
                <c:pt idx="194">
                  <c:v>25.7275854757075</c:v>
                </c:pt>
                <c:pt idx="195">
                  <c:v>25.659038787390799</c:v>
                </c:pt>
                <c:pt idx="196">
                  <c:v>25.651812184132002</c:v>
                </c:pt>
                <c:pt idx="197">
                  <c:v>25.644585580873201</c:v>
                </c:pt>
                <c:pt idx="198">
                  <c:v>25.704669784903</c:v>
                </c:pt>
                <c:pt idx="199">
                  <c:v>25.524946577219801</c:v>
                </c:pt>
                <c:pt idx="200">
                  <c:v>25.378913774904198</c:v>
                </c:pt>
                <c:pt idx="201">
                  <c:v>25.242158586146701</c:v>
                </c:pt>
                <c:pt idx="202">
                  <c:v>25.067398879416999</c:v>
                </c:pt>
                <c:pt idx="203">
                  <c:v>24.907534436572998</c:v>
                </c:pt>
                <c:pt idx="204">
                  <c:v>24.8047357611104</c:v>
                </c:pt>
                <c:pt idx="205">
                  <c:v>24.830965556009001</c:v>
                </c:pt>
                <c:pt idx="206">
                  <c:v>24.7153816619062</c:v>
                </c:pt>
                <c:pt idx="207">
                  <c:v>24.609987020952701</c:v>
                </c:pt>
                <c:pt idx="208">
                  <c:v>24.548865205684098</c:v>
                </c:pt>
                <c:pt idx="209">
                  <c:v>25.092118600356699</c:v>
                </c:pt>
                <c:pt idx="210">
                  <c:v>30.494581167153999</c:v>
                </c:pt>
                <c:pt idx="211">
                  <c:v>29.756301592032699</c:v>
                </c:pt>
                <c:pt idx="212">
                  <c:v>31.0129393030074</c:v>
                </c:pt>
                <c:pt idx="213">
                  <c:v>31.105628316753201</c:v>
                </c:pt>
                <c:pt idx="214">
                  <c:v>30.582460661745898</c:v>
                </c:pt>
                <c:pt idx="215">
                  <c:v>31.868333880808699</c:v>
                </c:pt>
                <c:pt idx="216">
                  <c:v>34.478083042584601</c:v>
                </c:pt>
                <c:pt idx="217">
                  <c:v>36.670393613875802</c:v>
                </c:pt>
                <c:pt idx="218">
                  <c:v>36.752385835974501</c:v>
                </c:pt>
                <c:pt idx="219">
                  <c:v>36.363554659059503</c:v>
                </c:pt>
                <c:pt idx="220">
                  <c:v>35.408974394312402</c:v>
                </c:pt>
                <c:pt idx="221">
                  <c:v>36.0267540933433</c:v>
                </c:pt>
                <c:pt idx="222">
                  <c:v>35.202150482981899</c:v>
                </c:pt>
                <c:pt idx="223">
                  <c:v>33.978632949764602</c:v>
                </c:pt>
                <c:pt idx="224">
                  <c:v>33.881251988418803</c:v>
                </c:pt>
                <c:pt idx="225">
                  <c:v>33.680472559087697</c:v>
                </c:pt>
                <c:pt idx="226">
                  <c:v>33.522864355579301</c:v>
                </c:pt>
                <c:pt idx="227">
                  <c:v>33.250008972594699</c:v>
                </c:pt>
                <c:pt idx="228">
                  <c:v>32.920701844085499</c:v>
                </c:pt>
                <c:pt idx="229">
                  <c:v>32.6365692391377</c:v>
                </c:pt>
                <c:pt idx="230">
                  <c:v>32.901828619733003</c:v>
                </c:pt>
                <c:pt idx="231">
                  <c:v>33.843721689773297</c:v>
                </c:pt>
                <c:pt idx="232">
                  <c:v>33.8397785579551</c:v>
                </c:pt>
                <c:pt idx="233">
                  <c:v>34.362193350928102</c:v>
                </c:pt>
                <c:pt idx="234">
                  <c:v>36.151065321793602</c:v>
                </c:pt>
                <c:pt idx="235">
                  <c:v>35.102276247107497</c:v>
                </c:pt>
                <c:pt idx="236">
                  <c:v>34.589577186762</c:v>
                </c:pt>
                <c:pt idx="237">
                  <c:v>34.597926126721703</c:v>
                </c:pt>
                <c:pt idx="238">
                  <c:v>35.034692047449397</c:v>
                </c:pt>
                <c:pt idx="239">
                  <c:v>34.742557310828197</c:v>
                </c:pt>
                <c:pt idx="240">
                  <c:v>34.420257618638402</c:v>
                </c:pt>
                <c:pt idx="241">
                  <c:v>34.0611903858197</c:v>
                </c:pt>
                <c:pt idx="242">
                  <c:v>33.7256732440419</c:v>
                </c:pt>
                <c:pt idx="243">
                  <c:v>34.601165085075202</c:v>
                </c:pt>
                <c:pt idx="244">
                  <c:v>34.394010868605399</c:v>
                </c:pt>
                <c:pt idx="245">
                  <c:v>34.345618963715999</c:v>
                </c:pt>
                <c:pt idx="246">
                  <c:v>34.162326743897999</c:v>
                </c:pt>
                <c:pt idx="247">
                  <c:v>35.386895205924603</c:v>
                </c:pt>
                <c:pt idx="248">
                  <c:v>36.190954837889102</c:v>
                </c:pt>
                <c:pt idx="249">
                  <c:v>35.532295356270701</c:v>
                </c:pt>
                <c:pt idx="250">
                  <c:v>35.965496698396599</c:v>
                </c:pt>
                <c:pt idx="251">
                  <c:v>36.421937693637197</c:v>
                </c:pt>
                <c:pt idx="252">
                  <c:v>36.6232731391963</c:v>
                </c:pt>
                <c:pt idx="253">
                  <c:v>37.1175765465319</c:v>
                </c:pt>
                <c:pt idx="254">
                  <c:v>36.470756992747397</c:v>
                </c:pt>
                <c:pt idx="255">
                  <c:v>35.934010319308598</c:v>
                </c:pt>
                <c:pt idx="256">
                  <c:v>35.145805287817602</c:v>
                </c:pt>
                <c:pt idx="257">
                  <c:v>34.756747050838399</c:v>
                </c:pt>
                <c:pt idx="258">
                  <c:v>35.058540679219703</c:v>
                </c:pt>
              </c:numCache>
            </c:numRef>
          </c:xVal>
          <c:yVal>
            <c:numRef>
              <c:f>selhausen_SM_EGR_daily!$F$8:$F$400</c:f>
              <c:numCache>
                <c:formatCode>General</c:formatCode>
                <c:ptCount val="393"/>
                <c:pt idx="0">
                  <c:v>34.404542916113392</c:v>
                </c:pt>
                <c:pt idx="1">
                  <c:v>33.775846440130437</c:v>
                </c:pt>
                <c:pt idx="2">
                  <c:v>33.824247072891097</c:v>
                </c:pt>
                <c:pt idx="3">
                  <c:v>32.37849646489034</c:v>
                </c:pt>
                <c:pt idx="4">
                  <c:v>32.37849646489034</c:v>
                </c:pt>
                <c:pt idx="5">
                  <c:v>30.712751257241745</c:v>
                </c:pt>
                <c:pt idx="6">
                  <c:v>31.614114143164901</c:v>
                </c:pt>
                <c:pt idx="7">
                  <c:v>32.384984925938312</c:v>
                </c:pt>
                <c:pt idx="8">
                  <c:v>32.984051857624863</c:v>
                </c:pt>
                <c:pt idx="9">
                  <c:v>34.006213217086476</c:v>
                </c:pt>
                <c:pt idx="10">
                  <c:v>33.841916589789747</c:v>
                </c:pt>
                <c:pt idx="11">
                  <c:v>33.25674771040007</c:v>
                </c:pt>
                <c:pt idx="12">
                  <c:v>32.278652481451701</c:v>
                </c:pt>
                <c:pt idx="13">
                  <c:v>31.385577335747595</c:v>
                </c:pt>
                <c:pt idx="14">
                  <c:v>32.236291651462174</c:v>
                </c:pt>
                <c:pt idx="15">
                  <c:v>32.350435661096711</c:v>
                </c:pt>
                <c:pt idx="16">
                  <c:v>33.927645213086365</c:v>
                </c:pt>
                <c:pt idx="17">
                  <c:v>33.487480783415712</c:v>
                </c:pt>
                <c:pt idx="18">
                  <c:v>33.062913842192934</c:v>
                </c:pt>
                <c:pt idx="19">
                  <c:v>32.9638393940686</c:v>
                </c:pt>
                <c:pt idx="20">
                  <c:v>32.529636500250426</c:v>
                </c:pt>
                <c:pt idx="21">
                  <c:v>32.514582308475148</c:v>
                </c:pt>
                <c:pt idx="22">
                  <c:v>31.406709519261522</c:v>
                </c:pt>
                <c:pt idx="23">
                  <c:v>30.913158047578236</c:v>
                </c:pt>
                <c:pt idx="24">
                  <c:v>30.766311381560495</c:v>
                </c:pt>
                <c:pt idx="25">
                  <c:v>30.15902550538182</c:v>
                </c:pt>
                <c:pt idx="26">
                  <c:v>30.574042267191142</c:v>
                </c:pt>
                <c:pt idx="27">
                  <c:v>31.049791440407425</c:v>
                </c:pt>
                <c:pt idx="28">
                  <c:v>31.341599515917917</c:v>
                </c:pt>
                <c:pt idx="29">
                  <c:v>29.789399121552769</c:v>
                </c:pt>
                <c:pt idx="30">
                  <c:v>32.868933231737728</c:v>
                </c:pt>
                <c:pt idx="31">
                  <c:v>32.921223060257439</c:v>
                </c:pt>
                <c:pt idx="32">
                  <c:v>32.773685835290017</c:v>
                </c:pt>
                <c:pt idx="33">
                  <c:v>32.633370446148206</c:v>
                </c:pt>
                <c:pt idx="34">
                  <c:v>32.802651600596718</c:v>
                </c:pt>
                <c:pt idx="35">
                  <c:v>33.734460536716554</c:v>
                </c:pt>
                <c:pt idx="36">
                  <c:v>32.629808302311694</c:v>
                </c:pt>
                <c:pt idx="37">
                  <c:v>31.122389774166059</c:v>
                </c:pt>
                <c:pt idx="38">
                  <c:v>29.806833190807197</c:v>
                </c:pt>
                <c:pt idx="39">
                  <c:v>29.852193463818903</c:v>
                </c:pt>
                <c:pt idx="40">
                  <c:v>30.261839332783737</c:v>
                </c:pt>
                <c:pt idx="41">
                  <c:v>30.954373660932639</c:v>
                </c:pt>
                <c:pt idx="42">
                  <c:v>32.196850146814946</c:v>
                </c:pt>
                <c:pt idx="43">
                  <c:v>30.808282006745653</c:v>
                </c:pt>
                <c:pt idx="44">
                  <c:v>30.548999700262229</c:v>
                </c:pt>
                <c:pt idx="45">
                  <c:v>30.493538644274654</c:v>
                </c:pt>
                <c:pt idx="46">
                  <c:v>31.382489778177813</c:v>
                </c:pt>
                <c:pt idx="47">
                  <c:v>31.727209728897165</c:v>
                </c:pt>
                <c:pt idx="48">
                  <c:v>31.119973522247751</c:v>
                </c:pt>
                <c:pt idx="49">
                  <c:v>31.31170395293222</c:v>
                </c:pt>
                <c:pt idx="50">
                  <c:v>32.999446206108416</c:v>
                </c:pt>
                <c:pt idx="51">
                  <c:v>33.211421200180155</c:v>
                </c:pt>
                <c:pt idx="52">
                  <c:v>33.538297383957641</c:v>
                </c:pt>
                <c:pt idx="53">
                  <c:v>32.324727895903685</c:v>
                </c:pt>
                <c:pt idx="54">
                  <c:v>31.299128835271382</c:v>
                </c:pt>
                <c:pt idx="55">
                  <c:v>31.091873252073487</c:v>
                </c:pt>
                <c:pt idx="56">
                  <c:v>31.08263592362216</c:v>
                </c:pt>
                <c:pt idx="57">
                  <c:v>31.65062916760218</c:v>
                </c:pt>
                <c:pt idx="58">
                  <c:v>32.408524856540552</c:v>
                </c:pt>
                <c:pt idx="59">
                  <c:v>33.252939266037373</c:v>
                </c:pt>
                <c:pt idx="60">
                  <c:v>33.177290091955044</c:v>
                </c:pt>
                <c:pt idx="61">
                  <c:v>32.792550751225733</c:v>
                </c:pt>
                <c:pt idx="62">
                  <c:v>31.532778821764307</c:v>
                </c:pt>
                <c:pt idx="63">
                  <c:v>28.876734153300315</c:v>
                </c:pt>
                <c:pt idx="64">
                  <c:v>33.042459165409682</c:v>
                </c:pt>
                <c:pt idx="65">
                  <c:v>40.937424549756621</c:v>
                </c:pt>
                <c:pt idx="66">
                  <c:v>40.530239572071899</c:v>
                </c:pt>
                <c:pt idx="67">
                  <c:v>42.406673150996866</c:v>
                </c:pt>
                <c:pt idx="68">
                  <c:v>41.597903810774561</c:v>
                </c:pt>
                <c:pt idx="69">
                  <c:v>40.336794282908798</c:v>
                </c:pt>
                <c:pt idx="70">
                  <c:v>37.389413704625376</c:v>
                </c:pt>
                <c:pt idx="71">
                  <c:v>34.318513099012705</c:v>
                </c:pt>
                <c:pt idx="72">
                  <c:v>30.404229334078931</c:v>
                </c:pt>
                <c:pt idx="73">
                  <c:v>27.491662492610867</c:v>
                </c:pt>
                <c:pt idx="74">
                  <c:v>25.260252708707998</c:v>
                </c:pt>
                <c:pt idx="75">
                  <c:v>23.909670211866864</c:v>
                </c:pt>
                <c:pt idx="76">
                  <c:v>28.308037569474205</c:v>
                </c:pt>
                <c:pt idx="77">
                  <c:v>32.639185525544967</c:v>
                </c:pt>
                <c:pt idx="78">
                  <c:v>37.339451468590582</c:v>
                </c:pt>
                <c:pt idx="79">
                  <c:v>34.893474195981007</c:v>
                </c:pt>
                <c:pt idx="80">
                  <c:v>32.567626532041103</c:v>
                </c:pt>
                <c:pt idx="81">
                  <c:v>31.750797791144603</c:v>
                </c:pt>
                <c:pt idx="82">
                  <c:v>33.666079824870508</c:v>
                </c:pt>
                <c:pt idx="83">
                  <c:v>37.714557333491626</c:v>
                </c:pt>
                <c:pt idx="84">
                  <c:v>38.115822526724351</c:v>
                </c:pt>
                <c:pt idx="85">
                  <c:v>38.857232128108841</c:v>
                </c:pt>
                <c:pt idx="86">
                  <c:v>38.584744282643413</c:v>
                </c:pt>
                <c:pt idx="87">
                  <c:v>38.667874484117362</c:v>
                </c:pt>
                <c:pt idx="88">
                  <c:v>39.239547367929475</c:v>
                </c:pt>
                <c:pt idx="89">
                  <c:v>37.876903950332483</c:v>
                </c:pt>
                <c:pt idx="90">
                  <c:v>35.973972630598745</c:v>
                </c:pt>
                <c:pt idx="91">
                  <c:v>36.058348780096232</c:v>
                </c:pt>
                <c:pt idx="92">
                  <c:v>36.478722336125671</c:v>
                </c:pt>
                <c:pt idx="93">
                  <c:v>35.858202940142505</c:v>
                </c:pt>
                <c:pt idx="94">
                  <c:v>34.823164526669402</c:v>
                </c:pt>
                <c:pt idx="95">
                  <c:v>32.48321301563589</c:v>
                </c:pt>
                <c:pt idx="96">
                  <c:v>30.215648335417956</c:v>
                </c:pt>
                <c:pt idx="97">
                  <c:v>28.657236519314978</c:v>
                </c:pt>
                <c:pt idx="98">
                  <c:v>28.228601435439497</c:v>
                </c:pt>
                <c:pt idx="99">
                  <c:v>28.525466035269826</c:v>
                </c:pt>
                <c:pt idx="100">
                  <c:v>27.250938267224424</c:v>
                </c:pt>
                <c:pt idx="101">
                  <c:v>26.864508351671297</c:v>
                </c:pt>
                <c:pt idx="102">
                  <c:v>26.054520489092408</c:v>
                </c:pt>
                <c:pt idx="103">
                  <c:v>26.206057912916584</c:v>
                </c:pt>
                <c:pt idx="104">
                  <c:v>24.52932635851645</c:v>
                </c:pt>
                <c:pt idx="105">
                  <c:v>24.586722207869443</c:v>
                </c:pt>
                <c:pt idx="106">
                  <c:v>24.698168071417093</c:v>
                </c:pt>
                <c:pt idx="107">
                  <c:v>25.466106179989612</c:v>
                </c:pt>
                <c:pt idx="108">
                  <c:v>24.928331407196623</c:v>
                </c:pt>
                <c:pt idx="109">
                  <c:v>24.440643022358071</c:v>
                </c:pt>
                <c:pt idx="110">
                  <c:v>36.522211708673339</c:v>
                </c:pt>
                <c:pt idx="111">
                  <c:v>35.424280916518114</c:v>
                </c:pt>
                <c:pt idx="112">
                  <c:v>34.793087483142159</c:v>
                </c:pt>
                <c:pt idx="113">
                  <c:v>32.418563044236492</c:v>
                </c:pt>
                <c:pt idx="114">
                  <c:v>29.726757299714468</c:v>
                </c:pt>
                <c:pt idx="115">
                  <c:v>27.656159831849216</c:v>
                </c:pt>
                <c:pt idx="116">
                  <c:v>27.625034331860103</c:v>
                </c:pt>
                <c:pt idx="117">
                  <c:v>27.016074252399253</c:v>
                </c:pt>
                <c:pt idx="118">
                  <c:v>26.905528206107565</c:v>
                </c:pt>
                <c:pt idx="119">
                  <c:v>32.241515742176205</c:v>
                </c:pt>
                <c:pt idx="120">
                  <c:v>40.514246517831204</c:v>
                </c:pt>
                <c:pt idx="121">
                  <c:v>41.000317293392918</c:v>
                </c:pt>
                <c:pt idx="122">
                  <c:v>41.237298889271273</c:v>
                </c:pt>
                <c:pt idx="123">
                  <c:v>39.911613241292642</c:v>
                </c:pt>
                <c:pt idx="124">
                  <c:v>37.894220077132942</c:v>
                </c:pt>
                <c:pt idx="125">
                  <c:v>35.703556156377665</c:v>
                </c:pt>
                <c:pt idx="126">
                  <c:v>33.851996150105876</c:v>
                </c:pt>
                <c:pt idx="127">
                  <c:v>31.496932057647232</c:v>
                </c:pt>
                <c:pt idx="128">
                  <c:v>30.08805661834193</c:v>
                </c:pt>
                <c:pt idx="129">
                  <c:v>28.438999482913591</c:v>
                </c:pt>
                <c:pt idx="130">
                  <c:v>36.916824242893512</c:v>
                </c:pt>
                <c:pt idx="131">
                  <c:v>35.387905112643352</c:v>
                </c:pt>
                <c:pt idx="132">
                  <c:v>32.813301934498149</c:v>
                </c:pt>
                <c:pt idx="133">
                  <c:v>33.699414500763261</c:v>
                </c:pt>
                <c:pt idx="134">
                  <c:v>34.97814473151022</c:v>
                </c:pt>
                <c:pt idx="135">
                  <c:v>35.869378748832546</c:v>
                </c:pt>
                <c:pt idx="136">
                  <c:v>32.345621127827251</c:v>
                </c:pt>
                <c:pt idx="137">
                  <c:v>28.187634141571543</c:v>
                </c:pt>
                <c:pt idx="138">
                  <c:v>27.343510835725272</c:v>
                </c:pt>
                <c:pt idx="139">
                  <c:v>28.119422871828846</c:v>
                </c:pt>
                <c:pt idx="140">
                  <c:v>28.375786594817182</c:v>
                </c:pt>
                <c:pt idx="141">
                  <c:v>28.530074174841818</c:v>
                </c:pt>
                <c:pt idx="142">
                  <c:v>26.507458599906553</c:v>
                </c:pt>
                <c:pt idx="143">
                  <c:v>28.565039618664933</c:v>
                </c:pt>
                <c:pt idx="144">
                  <c:v>28.717467705886939</c:v>
                </c:pt>
                <c:pt idx="145">
                  <c:v>33.457931132852245</c:v>
                </c:pt>
                <c:pt idx="146">
                  <c:v>32.265033771744839</c:v>
                </c:pt>
                <c:pt idx="147">
                  <c:v>30.741907113541096</c:v>
                </c:pt>
                <c:pt idx="148">
                  <c:v>27.474827286313698</c:v>
                </c:pt>
                <c:pt idx="149">
                  <c:v>28.229500951133442</c:v>
                </c:pt>
                <c:pt idx="150">
                  <c:v>31.9977520361515</c:v>
                </c:pt>
                <c:pt idx="151">
                  <c:v>36.183423782329243</c:v>
                </c:pt>
                <c:pt idx="152">
                  <c:v>39.048768546844144</c:v>
                </c:pt>
                <c:pt idx="153">
                  <c:v>38.274551475173631</c:v>
                </c:pt>
                <c:pt idx="154">
                  <c:v>36.378702896375032</c:v>
                </c:pt>
                <c:pt idx="155">
                  <c:v>33.825784224663074</c:v>
                </c:pt>
                <c:pt idx="156">
                  <c:v>32.404394527175853</c:v>
                </c:pt>
                <c:pt idx="157">
                  <c:v>32.43976209550209</c:v>
                </c:pt>
                <c:pt idx="158">
                  <c:v>32.214752895021569</c:v>
                </c:pt>
                <c:pt idx="159">
                  <c:v>31.680558235265956</c:v>
                </c:pt>
                <c:pt idx="160">
                  <c:v>26.34817948182997</c:v>
                </c:pt>
                <c:pt idx="161">
                  <c:v>22.083416324414159</c:v>
                </c:pt>
                <c:pt idx="162">
                  <c:v>22.083416324414159</c:v>
                </c:pt>
                <c:pt idx="163">
                  <c:v>17.976391102959116</c:v>
                </c:pt>
                <c:pt idx="164">
                  <c:v>35.831461548568164</c:v>
                </c:pt>
                <c:pt idx="165">
                  <c:v>35.831461548568164</c:v>
                </c:pt>
                <c:pt idx="166">
                  <c:v>41.123377848434721</c:v>
                </c:pt>
                <c:pt idx="167">
                  <c:v>43.835290808754372</c:v>
                </c:pt>
                <c:pt idx="168">
                  <c:v>42.60155028238605</c:v>
                </c:pt>
                <c:pt idx="169">
                  <c:v>40.551401114613064</c:v>
                </c:pt>
                <c:pt idx="170">
                  <c:v>39.668978748598839</c:v>
                </c:pt>
                <c:pt idx="171">
                  <c:v>38.188592995280274</c:v>
                </c:pt>
                <c:pt idx="172">
                  <c:v>36.564880699506283</c:v>
                </c:pt>
                <c:pt idx="173">
                  <c:v>35.953338119757618</c:v>
                </c:pt>
                <c:pt idx="174">
                  <c:v>35.525230945891316</c:v>
                </c:pt>
                <c:pt idx="175">
                  <c:v>33.296230000489771</c:v>
                </c:pt>
                <c:pt idx="176">
                  <c:v>29.355845436796617</c:v>
                </c:pt>
                <c:pt idx="177">
                  <c:v>26.765054093332001</c:v>
                </c:pt>
                <c:pt idx="178">
                  <c:v>28.027672679236527</c:v>
                </c:pt>
                <c:pt idx="179">
                  <c:v>29.69668284598594</c:v>
                </c:pt>
                <c:pt idx="180">
                  <c:v>29.130830728003499</c:v>
                </c:pt>
                <c:pt idx="181">
                  <c:v>25.052856232290011</c:v>
                </c:pt>
                <c:pt idx="182">
                  <c:v>22.849423487594535</c:v>
                </c:pt>
                <c:pt idx="183">
                  <c:v>21.835115458176272</c:v>
                </c:pt>
                <c:pt idx="184">
                  <c:v>27.712409690249849</c:v>
                </c:pt>
                <c:pt idx="185">
                  <c:v>30.75845416180978</c:v>
                </c:pt>
                <c:pt idx="186">
                  <c:v>29.654717492805748</c:v>
                </c:pt>
                <c:pt idx="187">
                  <c:v>30.401762418733274</c:v>
                </c:pt>
                <c:pt idx="188">
                  <c:v>31.142025538430595</c:v>
                </c:pt>
                <c:pt idx="189">
                  <c:v>34.776470060252628</c:v>
                </c:pt>
                <c:pt idx="190">
                  <c:v>34.627772024312655</c:v>
                </c:pt>
                <c:pt idx="191">
                  <c:v>37.151980429696209</c:v>
                </c:pt>
                <c:pt idx="192">
                  <c:v>39.466205104618965</c:v>
                </c:pt>
                <c:pt idx="193">
                  <c:v>37.35840899161385</c:v>
                </c:pt>
                <c:pt idx="194">
                  <c:v>31.993672870382671</c:v>
                </c:pt>
                <c:pt idx="195">
                  <c:v>27.087778692853899</c:v>
                </c:pt>
                <c:pt idx="196">
                  <c:v>23.722850931953467</c:v>
                </c:pt>
                <c:pt idx="197">
                  <c:v>21.071547899872499</c:v>
                </c:pt>
                <c:pt idx="198">
                  <c:v>26.990600016245452</c:v>
                </c:pt>
                <c:pt idx="199">
                  <c:v>25.678307744580025</c:v>
                </c:pt>
                <c:pt idx="200">
                  <c:v>24.310165790455297</c:v>
                </c:pt>
                <c:pt idx="201">
                  <c:v>21.373177565047406</c:v>
                </c:pt>
                <c:pt idx="202">
                  <c:v>17.570503720033663</c:v>
                </c:pt>
                <c:pt idx="203">
                  <c:v>13.100725626806403</c:v>
                </c:pt>
                <c:pt idx="204">
                  <c:v>14.936194622689092</c:v>
                </c:pt>
                <c:pt idx="205">
                  <c:v>15.622387355064395</c:v>
                </c:pt>
                <c:pt idx="206">
                  <c:v>18.556514398476889</c:v>
                </c:pt>
                <c:pt idx="207">
                  <c:v>16.073201735938653</c:v>
                </c:pt>
                <c:pt idx="208">
                  <c:v>18.991001053935317</c:v>
                </c:pt>
                <c:pt idx="209">
                  <c:v>21.853827258331599</c:v>
                </c:pt>
                <c:pt idx="210">
                  <c:v>25.870159807183295</c:v>
                </c:pt>
                <c:pt idx="211">
                  <c:v>25.492610628871866</c:v>
                </c:pt>
                <c:pt idx="212">
                  <c:v>27.643572467671845</c:v>
                </c:pt>
                <c:pt idx="213">
                  <c:v>29.50359060957965</c:v>
                </c:pt>
                <c:pt idx="214">
                  <c:v>29.50359060957965</c:v>
                </c:pt>
                <c:pt idx="215">
                  <c:v>30.153310755877587</c:v>
                </c:pt>
                <c:pt idx="216">
                  <c:v>31.144662270077344</c:v>
                </c:pt>
                <c:pt idx="217">
                  <c:v>31.144662270077344</c:v>
                </c:pt>
                <c:pt idx="218">
                  <c:v>28.219674934165717</c:v>
                </c:pt>
                <c:pt idx="219">
                  <c:v>29.272611254087643</c:v>
                </c:pt>
                <c:pt idx="220">
                  <c:v>30.338964157061412</c:v>
                </c:pt>
                <c:pt idx="221">
                  <c:v>31.155727267383021</c:v>
                </c:pt>
                <c:pt idx="222">
                  <c:v>31.862972995496541</c:v>
                </c:pt>
                <c:pt idx="223">
                  <c:v>32.257040208923769</c:v>
                </c:pt>
                <c:pt idx="224">
                  <c:v>31.797921045838013</c:v>
                </c:pt>
                <c:pt idx="225">
                  <c:v>32.190685084581091</c:v>
                </c:pt>
                <c:pt idx="226">
                  <c:v>29.410799540916837</c:v>
                </c:pt>
                <c:pt idx="227">
                  <c:v>28.551589240728308</c:v>
                </c:pt>
                <c:pt idx="228">
                  <c:v>24.484542237441751</c:v>
                </c:pt>
                <c:pt idx="229">
                  <c:v>24.971468008166283</c:v>
                </c:pt>
                <c:pt idx="230">
                  <c:v>26.11085227307337</c:v>
                </c:pt>
                <c:pt idx="231">
                  <c:v>28.838488735644184</c:v>
                </c:pt>
                <c:pt idx="232">
                  <c:v>28.87804171003917</c:v>
                </c:pt>
                <c:pt idx="233">
                  <c:v>28.962513545066777</c:v>
                </c:pt>
                <c:pt idx="234">
                  <c:v>30.20548712235297</c:v>
                </c:pt>
                <c:pt idx="235">
                  <c:v>30.325042475625473</c:v>
                </c:pt>
                <c:pt idx="236">
                  <c:v>27.919475928789499</c:v>
                </c:pt>
                <c:pt idx="237">
                  <c:v>25.321793894322774</c:v>
                </c:pt>
                <c:pt idx="238">
                  <c:v>24.849603697211098</c:v>
                </c:pt>
                <c:pt idx="239">
                  <c:v>25.812871897901385</c:v>
                </c:pt>
                <c:pt idx="240">
                  <c:v>24.84248480103351</c:v>
                </c:pt>
                <c:pt idx="241">
                  <c:v>24.167267286002112</c:v>
                </c:pt>
                <c:pt idx="242">
                  <c:v>25.455429332661527</c:v>
                </c:pt>
                <c:pt idx="243">
                  <c:v>28.327566095653989</c:v>
                </c:pt>
                <c:pt idx="244">
                  <c:v>30.083274866229004</c:v>
                </c:pt>
                <c:pt idx="245">
                  <c:v>29.576354699149405</c:v>
                </c:pt>
                <c:pt idx="246">
                  <c:v>28.913908185890076</c:v>
                </c:pt>
                <c:pt idx="247">
                  <c:v>29.904860839472619</c:v>
                </c:pt>
                <c:pt idx="248">
                  <c:v>30.799827061326162</c:v>
                </c:pt>
                <c:pt idx="249">
                  <c:v>31.200373371656866</c:v>
                </c:pt>
                <c:pt idx="250">
                  <c:v>31.425089575072267</c:v>
                </c:pt>
                <c:pt idx="251">
                  <c:v>31.868723943129485</c:v>
                </c:pt>
                <c:pt idx="252">
                  <c:v>29.215738864753803</c:v>
                </c:pt>
                <c:pt idx="253">
                  <c:v>26.416056469584369</c:v>
                </c:pt>
                <c:pt idx="254">
                  <c:v>24.936396689423734</c:v>
                </c:pt>
                <c:pt idx="255">
                  <c:v>21.490000515772685</c:v>
                </c:pt>
                <c:pt idx="256">
                  <c:v>19.639644148196965</c:v>
                </c:pt>
                <c:pt idx="257">
                  <c:v>20.829910691129154</c:v>
                </c:pt>
                <c:pt idx="258">
                  <c:v>23.625830852466908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B8-487A-9BEF-77A22A9B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66592"/>
        <c:axId val="770694688"/>
      </c:scatterChart>
      <c:valAx>
        <c:axId val="85066659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94688"/>
        <c:crosses val="autoZero"/>
        <c:crossBetween val="midCat"/>
      </c:valAx>
      <c:valAx>
        <c:axId val="770694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439737</xdr:colOff>
      <xdr:row>6</xdr:row>
      <xdr:rowOff>152401</xdr:rowOff>
    </xdr:from>
    <xdr:to>
      <xdr:col>15</xdr:col>
      <xdr:colOff>744537</xdr:colOff>
      <xdr:row>24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32DA1F-CA1B-F82B-6B76-DAFA14E71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409575</xdr:colOff>
      <xdr:row>6</xdr:row>
      <xdr:rowOff>152400</xdr:rowOff>
    </xdr:from>
    <xdr:to>
      <xdr:col>24</xdr:col>
      <xdr:colOff>352425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D4A216-ED2B-40DC-84D2-73A264473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409575</xdr:colOff>
      <xdr:row>25</xdr:row>
      <xdr:rowOff>114300</xdr:rowOff>
    </xdr:from>
    <xdr:to>
      <xdr:col>15</xdr:col>
      <xdr:colOff>714375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D03849-BB7A-4D6F-93C9-F0A3F6019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406400</xdr:colOff>
      <xdr:row>25</xdr:row>
      <xdr:rowOff>123824</xdr:rowOff>
    </xdr:from>
    <xdr:to>
      <xdr:col>24</xdr:col>
      <xdr:colOff>330200</xdr:colOff>
      <xdr:row>43</xdr:row>
      <xdr:rowOff>171449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5D1608-C554-41CD-B883-44A4AD311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6"/>
  <sheetViews>
    <sheetView tabSelected="1" workbookViewId="0">
      <selection activeCell="C7" sqref="C7"/>
    </sheetView>
  </sheetViews>
  <sheetFormatPr defaultRowHeight="14.5" x14ac:dyDescent="0.35"/>
  <cols>
    <col min="1" max="1" width="13.1796875" customWidth="1"/>
    <col min="11" max="11" width="12" bestFit="1" customWidth="1"/>
    <col min="15" max="16" width="12" bestFit="1" customWidth="1"/>
  </cols>
  <sheetData>
    <row r="1" spans="1:16" x14ac:dyDescent="0.35">
      <c r="A1" t="s">
        <v>1</v>
      </c>
      <c r="B1" t="s">
        <v>2</v>
      </c>
    </row>
    <row r="2" spans="1:16" x14ac:dyDescent="0.35">
      <c r="A2" t="s">
        <v>277</v>
      </c>
      <c r="B2">
        <v>104.63973697845719</v>
      </c>
    </row>
    <row r="3" spans="1:16" x14ac:dyDescent="0.35">
      <c r="A3" t="s">
        <v>3</v>
      </c>
      <c r="B3">
        <v>1.36</v>
      </c>
    </row>
    <row r="4" spans="1:16" x14ac:dyDescent="0.35">
      <c r="A4" t="s">
        <v>4</v>
      </c>
      <c r="B4">
        <v>0.68</v>
      </c>
      <c r="J4" t="s">
        <v>8</v>
      </c>
      <c r="O4" t="s">
        <v>10</v>
      </c>
    </row>
    <row r="5" spans="1:16" x14ac:dyDescent="0.35">
      <c r="A5" t="s">
        <v>13</v>
      </c>
      <c r="B5">
        <v>0</v>
      </c>
      <c r="J5" t="s">
        <v>5</v>
      </c>
      <c r="K5">
        <f>RSQ(B8:B400,C8:C400)</f>
        <v>5.1483438779682734E-2</v>
      </c>
      <c r="O5" t="s">
        <v>9</v>
      </c>
    </row>
    <row r="6" spans="1:16" x14ac:dyDescent="0.35">
      <c r="J6" t="s">
        <v>6</v>
      </c>
      <c r="K6" cm="1">
        <f t="array" ref="K6">SQRT(SUMSQ(B8:B400-C8:C400) / COUNTA(B8:B400))</f>
        <v>2.6488217286498599</v>
      </c>
      <c r="N6" t="s">
        <v>6</v>
      </c>
      <c r="O6" cm="1">
        <f t="array" ref="O6">SQRT(SUMSQ(D8:D400-E8:E400) / COUNTA(D8:D400))</f>
        <v>6.7364464739027508</v>
      </c>
      <c r="P6" cm="1">
        <f t="array" ref="P6">SQRT(SUMSQ(D8:D400-F8:F400) / COUNTA(D8:D400))</f>
        <v>6.7172097978342533</v>
      </c>
    </row>
    <row r="7" spans="1:16" x14ac:dyDescent="0.35">
      <c r="A7" t="s">
        <v>0</v>
      </c>
      <c r="B7" t="s">
        <v>14</v>
      </c>
      <c r="C7" t="s">
        <v>15</v>
      </c>
      <c r="D7" t="s">
        <v>11</v>
      </c>
      <c r="E7" t="s">
        <v>7</v>
      </c>
      <c r="F7" t="s">
        <v>12</v>
      </c>
      <c r="G7" t="s">
        <v>276</v>
      </c>
      <c r="H7" t="s">
        <v>16</v>
      </c>
    </row>
    <row r="8" spans="1:16" x14ac:dyDescent="0.35">
      <c r="A8" t="s">
        <v>17</v>
      </c>
      <c r="B8">
        <f xml:space="preserve"> H8/(1-$B$5*G8)</f>
        <v>89.281321664405397</v>
      </c>
      <c r="C8">
        <f>$B$2/(1+$B$4*((D8/100)/$B$3))</f>
        <v>88.367804627127754</v>
      </c>
      <c r="D8">
        <v>36.827739288057799</v>
      </c>
      <c r="E8">
        <f xml:space="preserve"> (117.22 - B8)/0.7629</f>
        <v>36.621678248256131</v>
      </c>
      <c r="F8">
        <f xml:space="preserve"> ((($B$3 *($B$2-B8))/($B$4*B8)))*100</f>
        <v>34.404542916113392</v>
      </c>
      <c r="G8">
        <v>0</v>
      </c>
      <c r="H8">
        <v>89.281321664405397</v>
      </c>
    </row>
    <row r="9" spans="1:16" x14ac:dyDescent="0.35">
      <c r="A9" t="s">
        <v>18</v>
      </c>
      <c r="B9">
        <f t="shared" ref="B9:B72" si="0" xml:space="preserve"> H9/(1-$B$5*G9)</f>
        <v>89.521427103680907</v>
      </c>
      <c r="C9">
        <f t="shared" ref="C9:C72" si="1">$B$2/(1+$B$4*((D9/100)/$B$3))</f>
        <v>88.489483096016684</v>
      </c>
      <c r="D9">
        <v>36.502086615008203</v>
      </c>
      <c r="E9">
        <f t="shared" ref="E9:E72" si="2" xml:space="preserve"> (117.22 - B9)/0.7629</f>
        <v>36.306950971712006</v>
      </c>
      <c r="F9">
        <f t="shared" ref="F9:F72" si="3" xml:space="preserve"> ((($B$3 *($B$2-B9))/($B$4*B9)))*100</f>
        <v>33.775846440130437</v>
      </c>
      <c r="G9">
        <v>0</v>
      </c>
      <c r="H9">
        <v>89.521427103680907</v>
      </c>
    </row>
    <row r="10" spans="1:16" x14ac:dyDescent="0.35">
      <c r="A10" t="s">
        <v>19</v>
      </c>
      <c r="B10">
        <f t="shared" si="0"/>
        <v>89.502896545914993</v>
      </c>
      <c r="C10">
        <f t="shared" si="1"/>
        <v>87.998770937067789</v>
      </c>
      <c r="D10">
        <v>37.820905597170601</v>
      </c>
      <c r="E10">
        <f t="shared" si="2"/>
        <v>36.331240600452226</v>
      </c>
      <c r="F10">
        <f t="shared" si="3"/>
        <v>33.824247072891097</v>
      </c>
      <c r="G10">
        <v>0</v>
      </c>
      <c r="H10">
        <v>89.502896545914993</v>
      </c>
    </row>
    <row r="11" spans="1:16" x14ac:dyDescent="0.35">
      <c r="A11" t="s">
        <v>20</v>
      </c>
      <c r="B11">
        <f t="shared" si="0"/>
        <v>90.059741818036102</v>
      </c>
      <c r="C11">
        <f t="shared" si="1"/>
        <v>88.160100148537637</v>
      </c>
      <c r="D11">
        <v>37.385703514750197</v>
      </c>
      <c r="E11">
        <f t="shared" si="2"/>
        <v>35.601334620479612</v>
      </c>
      <c r="F11">
        <f t="shared" si="3"/>
        <v>32.37849646489034</v>
      </c>
      <c r="G11">
        <v>0</v>
      </c>
      <c r="H11">
        <v>90.059741818036102</v>
      </c>
    </row>
    <row r="12" spans="1:16" x14ac:dyDescent="0.35">
      <c r="A12" t="s">
        <v>21</v>
      </c>
      <c r="B12">
        <f t="shared" si="0"/>
        <v>90.059741818036102</v>
      </c>
      <c r="C12">
        <f t="shared" si="1"/>
        <v>88.553610025074434</v>
      </c>
      <c r="D12">
        <v>36.330821405988701</v>
      </c>
      <c r="E12">
        <f t="shared" si="2"/>
        <v>35.601334620479612</v>
      </c>
      <c r="F12">
        <f t="shared" si="3"/>
        <v>32.37849646489034</v>
      </c>
      <c r="G12">
        <v>0</v>
      </c>
      <c r="H12">
        <v>90.059741818036102</v>
      </c>
    </row>
    <row r="13" spans="1:16" x14ac:dyDescent="0.35">
      <c r="A13" t="s">
        <v>22</v>
      </c>
      <c r="B13">
        <f t="shared" si="0"/>
        <v>90.709972819651597</v>
      </c>
      <c r="C13">
        <f t="shared" si="1"/>
        <v>87.740032728003172</v>
      </c>
      <c r="D13">
        <v>38.522220074486697</v>
      </c>
      <c r="E13">
        <f t="shared" si="2"/>
        <v>34.749019767136453</v>
      </c>
      <c r="F13">
        <f t="shared" si="3"/>
        <v>30.712751257241745</v>
      </c>
      <c r="G13">
        <v>0</v>
      </c>
      <c r="H13">
        <v>90.709972819651597</v>
      </c>
    </row>
    <row r="14" spans="1:16" x14ac:dyDescent="0.35">
      <c r="A14" t="s">
        <v>23</v>
      </c>
      <c r="B14">
        <f t="shared" si="0"/>
        <v>90.356960641679606</v>
      </c>
      <c r="C14">
        <f t="shared" si="1"/>
        <v>87.491774031080524</v>
      </c>
      <c r="D14">
        <v>39.199029022511397</v>
      </c>
      <c r="E14">
        <f t="shared" si="2"/>
        <v>35.211743817433991</v>
      </c>
      <c r="F14">
        <f t="shared" si="3"/>
        <v>31.614114143164901</v>
      </c>
      <c r="G14">
        <v>0</v>
      </c>
      <c r="H14">
        <v>90.356960641679606</v>
      </c>
    </row>
    <row r="15" spans="1:16" x14ac:dyDescent="0.35">
      <c r="A15" t="s">
        <v>24</v>
      </c>
      <c r="B15">
        <f t="shared" si="0"/>
        <v>90.057227244527994</v>
      </c>
      <c r="C15">
        <f t="shared" si="1"/>
        <v>87.566468291819916</v>
      </c>
      <c r="D15">
        <v>38.994992077880099</v>
      </c>
      <c r="E15">
        <f t="shared" si="2"/>
        <v>35.60463069271465</v>
      </c>
      <c r="F15">
        <f t="shared" si="3"/>
        <v>32.384984925938312</v>
      </c>
      <c r="G15">
        <v>0</v>
      </c>
      <c r="H15">
        <v>90.057227244527994</v>
      </c>
    </row>
    <row r="16" spans="1:16" x14ac:dyDescent="0.35">
      <c r="A16" t="s">
        <v>25</v>
      </c>
      <c r="B16">
        <f t="shared" si="0"/>
        <v>89.825665013673898</v>
      </c>
      <c r="C16">
        <f t="shared" si="1"/>
        <v>87.726829035813736</v>
      </c>
      <c r="D16">
        <v>38.558119855760197</v>
      </c>
      <c r="E16">
        <f t="shared" si="2"/>
        <v>35.908159636028444</v>
      </c>
      <c r="F16">
        <f t="shared" si="3"/>
        <v>32.984051857624863</v>
      </c>
      <c r="G16">
        <v>0</v>
      </c>
      <c r="H16">
        <v>89.825665013673898</v>
      </c>
    </row>
    <row r="17" spans="1:8" x14ac:dyDescent="0.35">
      <c r="A17" t="s">
        <v>26</v>
      </c>
      <c r="B17">
        <f t="shared" si="0"/>
        <v>89.433297979471504</v>
      </c>
      <c r="C17">
        <f t="shared" si="1"/>
        <v>87.739584371302229</v>
      </c>
      <c r="D17">
        <v>38.523438943215801</v>
      </c>
      <c r="E17">
        <f t="shared" si="2"/>
        <v>36.422469551092533</v>
      </c>
      <c r="F17">
        <f t="shared" si="3"/>
        <v>34.006213217086476</v>
      </c>
      <c r="G17">
        <v>0</v>
      </c>
      <c r="H17">
        <v>89.433297979471504</v>
      </c>
    </row>
    <row r="18" spans="1:8" x14ac:dyDescent="0.35">
      <c r="A18" t="s">
        <v>27</v>
      </c>
      <c r="B18">
        <f t="shared" si="0"/>
        <v>89.496133545653706</v>
      </c>
      <c r="C18">
        <f t="shared" si="1"/>
        <v>87.950609391024059</v>
      </c>
      <c r="D18">
        <v>37.951135763560401</v>
      </c>
      <c r="E18">
        <f t="shared" si="2"/>
        <v>36.340105458574243</v>
      </c>
      <c r="F18">
        <f t="shared" si="3"/>
        <v>33.841916589789747</v>
      </c>
      <c r="G18">
        <v>0</v>
      </c>
      <c r="H18">
        <v>89.496133545653706</v>
      </c>
    </row>
    <row r="19" spans="1:8" x14ac:dyDescent="0.35">
      <c r="A19" t="s">
        <v>28</v>
      </c>
      <c r="B19">
        <f t="shared" si="0"/>
        <v>89.720651604362303</v>
      </c>
      <c r="C19">
        <f t="shared" si="1"/>
        <v>88.183769347152676</v>
      </c>
      <c r="D19">
        <v>37.3219873750744</v>
      </c>
      <c r="E19">
        <f t="shared" si="2"/>
        <v>36.045809930053345</v>
      </c>
      <c r="F19">
        <f t="shared" si="3"/>
        <v>33.25674771040007</v>
      </c>
      <c r="G19">
        <v>0</v>
      </c>
      <c r="H19">
        <v>89.720651604362303</v>
      </c>
    </row>
    <row r="20" spans="1:8" x14ac:dyDescent="0.35">
      <c r="A20" t="s">
        <v>29</v>
      </c>
      <c r="B20">
        <f t="shared" si="0"/>
        <v>90.098453612144198</v>
      </c>
      <c r="C20">
        <f t="shared" si="1"/>
        <v>88.329817183955257</v>
      </c>
      <c r="D20">
        <v>36.929590288939401</v>
      </c>
      <c r="E20">
        <f t="shared" si="2"/>
        <v>35.550591673686988</v>
      </c>
      <c r="F20">
        <f t="shared" si="3"/>
        <v>32.278652481451701</v>
      </c>
      <c r="G20">
        <v>0</v>
      </c>
      <c r="H20">
        <v>90.098453612144198</v>
      </c>
    </row>
    <row r="21" spans="1:8" x14ac:dyDescent="0.35">
      <c r="A21" t="s">
        <v>30</v>
      </c>
      <c r="B21">
        <f t="shared" si="0"/>
        <v>90.446205146677499</v>
      </c>
      <c r="C21">
        <f t="shared" si="1"/>
        <v>88.274741263150148</v>
      </c>
      <c r="D21">
        <v>37.077414175641501</v>
      </c>
      <c r="E21">
        <f t="shared" si="2"/>
        <v>35.094763210542006</v>
      </c>
      <c r="F21">
        <f t="shared" si="3"/>
        <v>31.385577335747595</v>
      </c>
      <c r="G21">
        <v>0</v>
      </c>
      <c r="H21">
        <v>90.446205146677499</v>
      </c>
    </row>
    <row r="22" spans="1:8" x14ac:dyDescent="0.35">
      <c r="A22" t="s">
        <v>31</v>
      </c>
      <c r="B22">
        <f t="shared" si="0"/>
        <v>90.114887931038297</v>
      </c>
      <c r="C22">
        <f t="shared" si="1"/>
        <v>88.338735752900462</v>
      </c>
      <c r="D22">
        <v>36.905670172037802</v>
      </c>
      <c r="E22">
        <f t="shared" si="2"/>
        <v>35.529049769251152</v>
      </c>
      <c r="F22">
        <f t="shared" si="3"/>
        <v>32.236291651462174</v>
      </c>
      <c r="G22">
        <v>0</v>
      </c>
      <c r="H22">
        <v>90.114887931038297</v>
      </c>
    </row>
    <row r="23" spans="1:8" x14ac:dyDescent="0.35">
      <c r="A23" t="s">
        <v>32</v>
      </c>
      <c r="B23">
        <f t="shared" si="0"/>
        <v>90.070618271689696</v>
      </c>
      <c r="C23">
        <f t="shared" si="1"/>
        <v>88.168119990120331</v>
      </c>
      <c r="D23">
        <v>37.364110724335703</v>
      </c>
      <c r="E23">
        <f t="shared" si="2"/>
        <v>35.587077897903136</v>
      </c>
      <c r="F23">
        <f t="shared" si="3"/>
        <v>32.350435661096711</v>
      </c>
      <c r="G23">
        <v>0</v>
      </c>
      <c r="H23">
        <v>90.070618271689696</v>
      </c>
    </row>
    <row r="24" spans="1:8" x14ac:dyDescent="0.35">
      <c r="A24" t="s">
        <v>33</v>
      </c>
      <c r="B24">
        <f t="shared" si="0"/>
        <v>89.463335454123097</v>
      </c>
      <c r="C24">
        <f t="shared" si="1"/>
        <v>88.027214629032287</v>
      </c>
      <c r="D24">
        <v>37.744059991978702</v>
      </c>
      <c r="E24">
        <f t="shared" si="2"/>
        <v>36.3830967962733</v>
      </c>
      <c r="F24">
        <f t="shared" si="3"/>
        <v>33.927645213086365</v>
      </c>
      <c r="G24">
        <v>0</v>
      </c>
      <c r="H24">
        <v>89.463335454123097</v>
      </c>
    </row>
    <row r="25" spans="1:8" x14ac:dyDescent="0.35">
      <c r="A25" t="s">
        <v>34</v>
      </c>
      <c r="B25">
        <f t="shared" si="0"/>
        <v>89.631989370360799</v>
      </c>
      <c r="C25">
        <f t="shared" si="1"/>
        <v>87.766182005330677</v>
      </c>
      <c r="D25">
        <v>38.451154163460501</v>
      </c>
      <c r="E25">
        <f t="shared" si="2"/>
        <v>36.162027303236599</v>
      </c>
      <c r="F25">
        <f t="shared" si="3"/>
        <v>33.487480783415712</v>
      </c>
      <c r="G25">
        <v>0</v>
      </c>
      <c r="H25">
        <v>89.631989370360799</v>
      </c>
    </row>
    <row r="26" spans="1:8" x14ac:dyDescent="0.35">
      <c r="A26" t="s">
        <v>35</v>
      </c>
      <c r="B26">
        <f t="shared" si="0"/>
        <v>89.795270515933595</v>
      </c>
      <c r="C26">
        <f t="shared" si="1"/>
        <v>87.834857844100185</v>
      </c>
      <c r="D26">
        <v>38.264715277809898</v>
      </c>
      <c r="E26">
        <f t="shared" si="2"/>
        <v>35.948000372350769</v>
      </c>
      <c r="F26">
        <f t="shared" si="3"/>
        <v>33.062913842192934</v>
      </c>
      <c r="G26">
        <v>0</v>
      </c>
      <c r="H26">
        <v>89.795270515933595</v>
      </c>
    </row>
    <row r="27" spans="1:8" x14ac:dyDescent="0.35">
      <c r="A27" t="s">
        <v>36</v>
      </c>
      <c r="B27">
        <f t="shared" si="0"/>
        <v>89.833458489198804</v>
      </c>
      <c r="C27">
        <f t="shared" si="1"/>
        <v>88.140705931363428</v>
      </c>
      <c r="D27">
        <v>37.437937154580602</v>
      </c>
      <c r="E27">
        <f t="shared" si="2"/>
        <v>35.897944043519722</v>
      </c>
      <c r="F27">
        <f t="shared" si="3"/>
        <v>32.9638393940686</v>
      </c>
      <c r="G27">
        <v>0</v>
      </c>
      <c r="H27">
        <v>89.833458489198804</v>
      </c>
    </row>
    <row r="28" spans="1:8" x14ac:dyDescent="0.35">
      <c r="A28" t="s">
        <v>37</v>
      </c>
      <c r="B28">
        <f t="shared" si="0"/>
        <v>90.001204623518603</v>
      </c>
      <c r="C28">
        <f t="shared" si="1"/>
        <v>87.693277259749522</v>
      </c>
      <c r="D28">
        <v>38.649393085200501</v>
      </c>
      <c r="E28">
        <f t="shared" si="2"/>
        <v>35.678064459931043</v>
      </c>
      <c r="F28">
        <f t="shared" si="3"/>
        <v>32.529636500250426</v>
      </c>
      <c r="G28">
        <v>0</v>
      </c>
      <c r="H28">
        <v>90.001204623518603</v>
      </c>
    </row>
    <row r="29" spans="1:8" x14ac:dyDescent="0.35">
      <c r="A29" t="s">
        <v>38</v>
      </c>
      <c r="B29">
        <f t="shared" si="0"/>
        <v>90.0070317651153</v>
      </c>
      <c r="C29">
        <f t="shared" si="1"/>
        <v>87.750919982275832</v>
      </c>
      <c r="D29">
        <v>38.492626629082899</v>
      </c>
      <c r="E29">
        <f t="shared" si="2"/>
        <v>35.670426313913616</v>
      </c>
      <c r="F29">
        <f t="shared" si="3"/>
        <v>32.514582308475148</v>
      </c>
      <c r="G29">
        <v>0</v>
      </c>
      <c r="H29">
        <v>90.0070317651153</v>
      </c>
    </row>
    <row r="30" spans="1:8" x14ac:dyDescent="0.35">
      <c r="A30" t="s">
        <v>39</v>
      </c>
      <c r="B30">
        <f t="shared" si="0"/>
        <v>90.437945551226406</v>
      </c>
      <c r="C30">
        <f t="shared" si="1"/>
        <v>88.151443569744146</v>
      </c>
      <c r="D30">
        <v>37.409015079073001</v>
      </c>
      <c r="E30">
        <f t="shared" si="2"/>
        <v>35.105589787355605</v>
      </c>
      <c r="F30">
        <f t="shared" si="3"/>
        <v>31.406709519261522</v>
      </c>
      <c r="G30">
        <v>0</v>
      </c>
      <c r="H30">
        <v>90.437945551226406</v>
      </c>
    </row>
    <row r="31" spans="1:8" x14ac:dyDescent="0.35">
      <c r="A31" t="s">
        <v>40</v>
      </c>
      <c r="B31">
        <f t="shared" si="0"/>
        <v>90.631246710416406</v>
      </c>
      <c r="C31">
        <f t="shared" si="1"/>
        <v>88.366030139955967</v>
      </c>
      <c r="D31">
        <v>36.832495049798197</v>
      </c>
      <c r="E31">
        <f t="shared" si="2"/>
        <v>34.852212989361114</v>
      </c>
      <c r="F31">
        <f t="shared" si="3"/>
        <v>30.913158047578236</v>
      </c>
      <c r="G31">
        <v>0</v>
      </c>
      <c r="H31">
        <v>90.631246710416406</v>
      </c>
    </row>
    <row r="32" spans="1:8" x14ac:dyDescent="0.35">
      <c r="A32" t="s">
        <v>41</v>
      </c>
      <c r="B32">
        <f t="shared" si="0"/>
        <v>90.688919324485497</v>
      </c>
      <c r="C32">
        <f t="shared" si="1"/>
        <v>87.604316685666873</v>
      </c>
      <c r="D32">
        <v>38.891737159288901</v>
      </c>
      <c r="E32">
        <f t="shared" si="2"/>
        <v>34.776616431399269</v>
      </c>
      <c r="F32">
        <f t="shared" si="3"/>
        <v>30.766311381560495</v>
      </c>
      <c r="G32">
        <v>0</v>
      </c>
      <c r="H32">
        <v>90.688919324485497</v>
      </c>
    </row>
    <row r="33" spans="1:8" x14ac:dyDescent="0.35">
      <c r="A33" t="s">
        <v>42</v>
      </c>
      <c r="B33">
        <f t="shared" si="0"/>
        <v>90.928206485659103</v>
      </c>
      <c r="C33">
        <f t="shared" si="1"/>
        <v>87.676712326258993</v>
      </c>
      <c r="D33">
        <v>38.694481583835099</v>
      </c>
      <c r="E33">
        <f t="shared" si="2"/>
        <v>34.462961743794594</v>
      </c>
      <c r="F33">
        <f t="shared" si="3"/>
        <v>30.15902550538182</v>
      </c>
      <c r="G33">
        <v>0</v>
      </c>
      <c r="H33">
        <v>90.928206485659103</v>
      </c>
    </row>
    <row r="34" spans="1:8" x14ac:dyDescent="0.35">
      <c r="A34" t="s">
        <v>43</v>
      </c>
      <c r="B34">
        <f t="shared" si="0"/>
        <v>90.7645422264834</v>
      </c>
      <c r="C34">
        <f t="shared" si="1"/>
        <v>87.974094093898955</v>
      </c>
      <c r="D34">
        <v>37.887614657947402</v>
      </c>
      <c r="E34">
        <f t="shared" si="2"/>
        <v>34.677490855310786</v>
      </c>
      <c r="F34">
        <f t="shared" si="3"/>
        <v>30.574042267191142</v>
      </c>
      <c r="G34">
        <v>0</v>
      </c>
      <c r="H34">
        <v>90.7645422264834</v>
      </c>
    </row>
    <row r="35" spans="1:8" x14ac:dyDescent="0.35">
      <c r="A35" t="s">
        <v>44</v>
      </c>
      <c r="B35">
        <f t="shared" si="0"/>
        <v>90.577651099456602</v>
      </c>
      <c r="C35">
        <f t="shared" si="1"/>
        <v>88.064179339292437</v>
      </c>
      <c r="D35">
        <v>37.644267541068402</v>
      </c>
      <c r="E35">
        <f t="shared" si="2"/>
        <v>34.922465461454181</v>
      </c>
      <c r="F35">
        <f t="shared" si="3"/>
        <v>31.049791440407425</v>
      </c>
      <c r="G35">
        <v>0</v>
      </c>
      <c r="H35">
        <v>90.577651099456602</v>
      </c>
    </row>
    <row r="36" spans="1:8" x14ac:dyDescent="0.35">
      <c r="A36" t="s">
        <v>45</v>
      </c>
      <c r="B36">
        <f t="shared" si="0"/>
        <v>90.463398884952596</v>
      </c>
      <c r="C36">
        <f t="shared" si="1"/>
        <v>88.038015679731757</v>
      </c>
      <c r="D36">
        <v>37.714892073714701</v>
      </c>
      <c r="E36">
        <f t="shared" si="2"/>
        <v>35.072225868459043</v>
      </c>
      <c r="F36">
        <f t="shared" si="3"/>
        <v>31.341599515917917</v>
      </c>
      <c r="G36">
        <v>0</v>
      </c>
      <c r="H36">
        <v>90.463398884952596</v>
      </c>
    </row>
    <row r="37" spans="1:8" x14ac:dyDescent="0.35">
      <c r="A37" t="s">
        <v>46</v>
      </c>
      <c r="B37">
        <f t="shared" si="0"/>
        <v>91.074468516370004</v>
      </c>
      <c r="C37">
        <f t="shared" si="1"/>
        <v>88.011867561876528</v>
      </c>
      <c r="D37">
        <v>37.785516606361</v>
      </c>
      <c r="E37">
        <f t="shared" si="2"/>
        <v>34.271243260755007</v>
      </c>
      <c r="F37">
        <f t="shared" si="3"/>
        <v>29.789399121552769</v>
      </c>
      <c r="G37">
        <v>0</v>
      </c>
      <c r="H37">
        <v>91.074468516370004</v>
      </c>
    </row>
    <row r="38" spans="1:8" x14ac:dyDescent="0.35">
      <c r="A38" t="s">
        <v>47</v>
      </c>
      <c r="B38">
        <f t="shared" si="0"/>
        <v>89.870070280543402</v>
      </c>
      <c r="C38">
        <f t="shared" si="1"/>
        <v>87.81389191535159</v>
      </c>
      <c r="D38">
        <v>38.3216019609401</v>
      </c>
      <c r="E38">
        <f t="shared" si="2"/>
        <v>35.84995375469471</v>
      </c>
      <c r="F38">
        <f t="shared" si="3"/>
        <v>32.868933231737728</v>
      </c>
      <c r="G38">
        <v>0</v>
      </c>
      <c r="H38">
        <v>89.870070280543402</v>
      </c>
    </row>
    <row r="39" spans="1:8" x14ac:dyDescent="0.35">
      <c r="A39" t="s">
        <v>48</v>
      </c>
      <c r="B39">
        <f t="shared" si="0"/>
        <v>89.849894830224699</v>
      </c>
      <c r="C39">
        <f t="shared" si="1"/>
        <v>87.671274932803911</v>
      </c>
      <c r="D39">
        <v>38.709285472713503</v>
      </c>
      <c r="E39">
        <f t="shared" si="2"/>
        <v>35.87639948849823</v>
      </c>
      <c r="F39">
        <f t="shared" si="3"/>
        <v>32.921223060257439</v>
      </c>
      <c r="G39">
        <v>0</v>
      </c>
      <c r="H39">
        <v>89.849894830224699</v>
      </c>
    </row>
    <row r="40" spans="1:8" x14ac:dyDescent="0.35">
      <c r="A40" t="s">
        <v>49</v>
      </c>
      <c r="B40">
        <f t="shared" si="0"/>
        <v>89.9068437250248</v>
      </c>
      <c r="C40">
        <f t="shared" si="1"/>
        <v>88.133704674170033</v>
      </c>
      <c r="D40">
        <v>37.456798997182503</v>
      </c>
      <c r="E40">
        <f t="shared" si="2"/>
        <v>35.801751572912828</v>
      </c>
      <c r="F40">
        <f t="shared" si="3"/>
        <v>32.773685835290017</v>
      </c>
      <c r="G40">
        <v>0</v>
      </c>
      <c r="H40">
        <v>89.9068437250248</v>
      </c>
    </row>
    <row r="41" spans="1:8" x14ac:dyDescent="0.35">
      <c r="A41" t="s">
        <v>50</v>
      </c>
      <c r="B41">
        <f t="shared" si="0"/>
        <v>89.961072031735895</v>
      </c>
      <c r="C41">
        <f t="shared" si="1"/>
        <v>88.361676563096594</v>
      </c>
      <c r="D41">
        <v>36.844163778936199</v>
      </c>
      <c r="E41">
        <f t="shared" si="2"/>
        <v>35.730669770958322</v>
      </c>
      <c r="F41">
        <f t="shared" si="3"/>
        <v>32.633370446148206</v>
      </c>
      <c r="G41">
        <v>0</v>
      </c>
      <c r="H41">
        <v>89.961072031735895</v>
      </c>
    </row>
    <row r="42" spans="1:8" x14ac:dyDescent="0.35">
      <c r="A42" t="s">
        <v>51</v>
      </c>
      <c r="B42">
        <f t="shared" si="0"/>
        <v>89.895657338113395</v>
      </c>
      <c r="C42">
        <f t="shared" si="1"/>
        <v>87.849826570677919</v>
      </c>
      <c r="D42">
        <v>38.224117367542597</v>
      </c>
      <c r="E42">
        <f t="shared" si="2"/>
        <v>35.816414552217331</v>
      </c>
      <c r="F42">
        <f t="shared" si="3"/>
        <v>32.802651600596718</v>
      </c>
      <c r="G42">
        <v>0</v>
      </c>
      <c r="H42">
        <v>89.895657338113395</v>
      </c>
    </row>
    <row r="43" spans="1:8" x14ac:dyDescent="0.35">
      <c r="A43" t="s">
        <v>52</v>
      </c>
      <c r="B43">
        <f t="shared" si="0"/>
        <v>89.537278104543503</v>
      </c>
      <c r="C43">
        <f t="shared" si="1"/>
        <v>88.248891750731616</v>
      </c>
      <c r="D43">
        <v>37.1468579436063</v>
      </c>
      <c r="E43">
        <f t="shared" si="2"/>
        <v>36.286173673425736</v>
      </c>
      <c r="F43">
        <f t="shared" si="3"/>
        <v>33.734460536716554</v>
      </c>
      <c r="G43">
        <v>0</v>
      </c>
      <c r="H43">
        <v>89.537278104543503</v>
      </c>
    </row>
    <row r="44" spans="1:8" x14ac:dyDescent="0.35">
      <c r="A44" t="s">
        <v>53</v>
      </c>
      <c r="B44">
        <f t="shared" si="0"/>
        <v>89.962449560611503</v>
      </c>
      <c r="C44">
        <f t="shared" si="1"/>
        <v>88.408799292880317</v>
      </c>
      <c r="D44">
        <v>36.717923589951901</v>
      </c>
      <c r="E44">
        <f t="shared" si="2"/>
        <v>35.728864122936812</v>
      </c>
      <c r="F44">
        <f t="shared" si="3"/>
        <v>32.629808302311694</v>
      </c>
      <c r="G44">
        <v>0</v>
      </c>
      <c r="H44">
        <v>89.962449560611503</v>
      </c>
    </row>
    <row r="45" spans="1:8" x14ac:dyDescent="0.35">
      <c r="A45" t="s">
        <v>54</v>
      </c>
      <c r="B45">
        <f t="shared" si="0"/>
        <v>90.549199565392698</v>
      </c>
      <c r="C45">
        <f t="shared" si="1"/>
        <v>88.634897063462731</v>
      </c>
      <c r="D45">
        <v>36.1140824782252</v>
      </c>
      <c r="E45">
        <f t="shared" si="2"/>
        <v>34.959759384725785</v>
      </c>
      <c r="F45">
        <f t="shared" si="3"/>
        <v>31.122389774166059</v>
      </c>
      <c r="G45">
        <v>0</v>
      </c>
      <c r="H45">
        <v>90.549199565392698</v>
      </c>
    </row>
    <row r="46" spans="1:8" x14ac:dyDescent="0.35">
      <c r="A46" t="s">
        <v>55</v>
      </c>
      <c r="B46">
        <f t="shared" si="0"/>
        <v>91.067559241439497</v>
      </c>
      <c r="C46">
        <f t="shared" si="1"/>
        <v>88.869612845528778</v>
      </c>
      <c r="D46">
        <v>35.4904756034882</v>
      </c>
      <c r="E46">
        <f t="shared" si="2"/>
        <v>34.280299853926465</v>
      </c>
      <c r="F46">
        <f t="shared" si="3"/>
        <v>29.806833190807197</v>
      </c>
      <c r="G46">
        <v>0</v>
      </c>
      <c r="H46">
        <v>91.067559241439497</v>
      </c>
    </row>
    <row r="47" spans="1:8" x14ac:dyDescent="0.35">
      <c r="A47" t="s">
        <v>56</v>
      </c>
      <c r="B47">
        <f t="shared" si="0"/>
        <v>91.049587477553104</v>
      </c>
      <c r="C47">
        <f t="shared" si="1"/>
        <v>89.073049047118374</v>
      </c>
      <c r="D47">
        <v>34.9526329184134</v>
      </c>
      <c r="E47">
        <f t="shared" si="2"/>
        <v>34.303857022475938</v>
      </c>
      <c r="F47">
        <f t="shared" si="3"/>
        <v>29.852193463818903</v>
      </c>
      <c r="G47">
        <v>0</v>
      </c>
      <c r="H47">
        <v>91.049587477553104</v>
      </c>
    </row>
    <row r="48" spans="1:8" x14ac:dyDescent="0.35">
      <c r="A48" t="s">
        <v>57</v>
      </c>
      <c r="B48">
        <f t="shared" si="0"/>
        <v>90.887606284797897</v>
      </c>
      <c r="C48">
        <f t="shared" si="1"/>
        <v>89.156090057700922</v>
      </c>
      <c r="D48">
        <v>34.733795326231601</v>
      </c>
      <c r="E48">
        <f t="shared" si="2"/>
        <v>34.516179991089395</v>
      </c>
      <c r="F48">
        <f t="shared" si="3"/>
        <v>30.261839332783737</v>
      </c>
      <c r="G48">
        <v>0</v>
      </c>
      <c r="H48">
        <v>90.887606284797897</v>
      </c>
    </row>
    <row r="49" spans="1:8" x14ac:dyDescent="0.35">
      <c r="A49" t="s">
        <v>58</v>
      </c>
      <c r="B49">
        <f t="shared" si="0"/>
        <v>90.615072855974802</v>
      </c>
      <c r="C49">
        <f t="shared" si="1"/>
        <v>88.55749964856436</v>
      </c>
      <c r="D49">
        <v>36.320441281008002</v>
      </c>
      <c r="E49">
        <f t="shared" si="2"/>
        <v>34.873413480174591</v>
      </c>
      <c r="F49">
        <f t="shared" si="3"/>
        <v>30.954373660932639</v>
      </c>
      <c r="G49">
        <v>0</v>
      </c>
      <c r="H49">
        <v>90.615072855974802</v>
      </c>
    </row>
    <row r="50" spans="1:8" x14ac:dyDescent="0.35">
      <c r="A50" t="s">
        <v>59</v>
      </c>
      <c r="B50">
        <f t="shared" si="0"/>
        <v>90.130195058455698</v>
      </c>
      <c r="C50">
        <f t="shared" si="1"/>
        <v>88.087966824976377</v>
      </c>
      <c r="D50">
        <v>37.5800935134939</v>
      </c>
      <c r="E50">
        <f t="shared" si="2"/>
        <v>35.508985373632584</v>
      </c>
      <c r="F50">
        <f t="shared" si="3"/>
        <v>32.196850146814946</v>
      </c>
      <c r="G50">
        <v>0</v>
      </c>
      <c r="H50">
        <v>90.130195058455698</v>
      </c>
    </row>
    <row r="51" spans="1:8" x14ac:dyDescent="0.35">
      <c r="A51" t="s">
        <v>60</v>
      </c>
      <c r="B51">
        <f t="shared" si="0"/>
        <v>90.672428275688105</v>
      </c>
      <c r="C51">
        <f t="shared" si="1"/>
        <v>88.301281369656095</v>
      </c>
      <c r="D51">
        <v>37.006157454053998</v>
      </c>
      <c r="E51">
        <f t="shared" si="2"/>
        <v>34.798232696699294</v>
      </c>
      <c r="F51">
        <f t="shared" si="3"/>
        <v>30.808282006745653</v>
      </c>
      <c r="G51">
        <v>0</v>
      </c>
      <c r="H51">
        <v>90.672428275688105</v>
      </c>
    </row>
    <row r="52" spans="1:8" x14ac:dyDescent="0.35">
      <c r="A52" t="s">
        <v>61</v>
      </c>
      <c r="B52">
        <f t="shared" si="0"/>
        <v>90.774401202780993</v>
      </c>
      <c r="C52">
        <f t="shared" si="1"/>
        <v>88.703149935316233</v>
      </c>
      <c r="D52">
        <v>35.932403876890902</v>
      </c>
      <c r="E52">
        <f t="shared" si="2"/>
        <v>34.664567829622499</v>
      </c>
      <c r="F52">
        <f t="shared" si="3"/>
        <v>30.548999700262229</v>
      </c>
      <c r="G52">
        <v>0</v>
      </c>
      <c r="H52">
        <v>90.774401202780993</v>
      </c>
    </row>
    <row r="53" spans="1:8" x14ac:dyDescent="0.35">
      <c r="A53" t="s">
        <v>62</v>
      </c>
      <c r="B53">
        <f t="shared" si="0"/>
        <v>90.796243221333697</v>
      </c>
      <c r="C53">
        <f t="shared" si="1"/>
        <v>88.58235447112223</v>
      </c>
      <c r="D53">
        <v>36.254133463046898</v>
      </c>
      <c r="E53">
        <f t="shared" si="2"/>
        <v>34.635937578537558</v>
      </c>
      <c r="F53">
        <f t="shared" si="3"/>
        <v>30.493538644274654</v>
      </c>
      <c r="G53">
        <v>0</v>
      </c>
      <c r="H53">
        <v>90.796243221333697</v>
      </c>
    </row>
    <row r="54" spans="1:8" x14ac:dyDescent="0.35">
      <c r="A54" t="s">
        <v>63</v>
      </c>
      <c r="B54">
        <f t="shared" si="0"/>
        <v>90.447412056783904</v>
      </c>
      <c r="C54">
        <f t="shared" si="1"/>
        <v>88.53107671855939</v>
      </c>
      <c r="D54">
        <v>36.390973332691502</v>
      </c>
      <c r="E54">
        <f t="shared" si="2"/>
        <v>35.093181207518803</v>
      </c>
      <c r="F54">
        <f t="shared" si="3"/>
        <v>31.382489778177813</v>
      </c>
      <c r="G54">
        <v>0</v>
      </c>
      <c r="H54">
        <v>90.447412056783904</v>
      </c>
    </row>
    <row r="55" spans="1:8" x14ac:dyDescent="0.35">
      <c r="A55" t="s">
        <v>64</v>
      </c>
      <c r="B55">
        <f t="shared" si="0"/>
        <v>90.312861489919598</v>
      </c>
      <c r="C55">
        <f t="shared" si="1"/>
        <v>88.674371353451065</v>
      </c>
      <c r="D55">
        <v>36.008973915065198</v>
      </c>
      <c r="E55">
        <f t="shared" si="2"/>
        <v>35.269548446821865</v>
      </c>
      <c r="F55">
        <f t="shared" si="3"/>
        <v>31.727209728897165</v>
      </c>
      <c r="G55">
        <v>0</v>
      </c>
      <c r="H55">
        <v>90.312861489919598</v>
      </c>
    </row>
    <row r="56" spans="1:8" x14ac:dyDescent="0.35">
      <c r="A56" t="s">
        <v>65</v>
      </c>
      <c r="B56">
        <f t="shared" si="0"/>
        <v>90.550146215194601</v>
      </c>
      <c r="C56">
        <f t="shared" si="1"/>
        <v>88.706321002154723</v>
      </c>
      <c r="D56">
        <v>35.9239697832028</v>
      </c>
      <c r="E56">
        <f t="shared" si="2"/>
        <v>34.958518527730234</v>
      </c>
      <c r="F56">
        <f t="shared" si="3"/>
        <v>31.119973522247751</v>
      </c>
      <c r="G56">
        <v>0</v>
      </c>
      <c r="H56">
        <v>90.550146215194601</v>
      </c>
    </row>
    <row r="57" spans="1:8" x14ac:dyDescent="0.35">
      <c r="A57" t="s">
        <v>66</v>
      </c>
      <c r="B57">
        <f t="shared" si="0"/>
        <v>90.475090702500296</v>
      </c>
      <c r="C57">
        <f t="shared" si="1"/>
        <v>88.73829368227004</v>
      </c>
      <c r="D57">
        <v>35.838965651340402</v>
      </c>
      <c r="E57">
        <f t="shared" si="2"/>
        <v>35.056900376851097</v>
      </c>
      <c r="F57">
        <f t="shared" si="3"/>
        <v>31.31170395293222</v>
      </c>
      <c r="G57">
        <v>0</v>
      </c>
      <c r="H57">
        <v>90.475090702500296</v>
      </c>
    </row>
    <row r="58" spans="1:8" x14ac:dyDescent="0.35">
      <c r="A58" t="s">
        <v>67</v>
      </c>
      <c r="B58">
        <f t="shared" si="0"/>
        <v>89.8197302030445</v>
      </c>
      <c r="C58">
        <f t="shared" si="1"/>
        <v>88.865064508519467</v>
      </c>
      <c r="D58">
        <v>35.502528596995298</v>
      </c>
      <c r="E58">
        <f t="shared" si="2"/>
        <v>35.915938913298596</v>
      </c>
      <c r="F58">
        <f t="shared" si="3"/>
        <v>32.999446206108416</v>
      </c>
      <c r="G58">
        <v>0</v>
      </c>
      <c r="H58">
        <v>89.8197302030445</v>
      </c>
    </row>
    <row r="59" spans="1:8" x14ac:dyDescent="0.35">
      <c r="A59" t="s">
        <v>68</v>
      </c>
      <c r="B59">
        <f t="shared" si="0"/>
        <v>89.738089532620506</v>
      </c>
      <c r="C59">
        <f t="shared" si="1"/>
        <v>88.415512836222888</v>
      </c>
      <c r="D59">
        <v>36.699949187168897</v>
      </c>
      <c r="E59">
        <f t="shared" si="2"/>
        <v>36.022952506723676</v>
      </c>
      <c r="F59">
        <f t="shared" si="3"/>
        <v>33.211421200180155</v>
      </c>
      <c r="G59">
        <v>0</v>
      </c>
      <c r="H59">
        <v>89.738089532620506</v>
      </c>
    </row>
    <row r="60" spans="1:8" x14ac:dyDescent="0.35">
      <c r="A60" t="s">
        <v>69</v>
      </c>
      <c r="B60">
        <f t="shared" si="0"/>
        <v>89.612485961067193</v>
      </c>
      <c r="C60">
        <f t="shared" si="1"/>
        <v>88.476566231491503</v>
      </c>
      <c r="D60">
        <v>36.536614010711297</v>
      </c>
      <c r="E60">
        <f t="shared" si="2"/>
        <v>36.187592133874432</v>
      </c>
      <c r="F60">
        <f t="shared" si="3"/>
        <v>33.538297383957641</v>
      </c>
      <c r="G60">
        <v>0</v>
      </c>
      <c r="H60">
        <v>89.612485961067193</v>
      </c>
    </row>
    <row r="61" spans="1:8" x14ac:dyDescent="0.35">
      <c r="A61" t="s">
        <v>70</v>
      </c>
      <c r="B61">
        <f t="shared" si="0"/>
        <v>90.080584986495694</v>
      </c>
      <c r="C61">
        <f t="shared" si="1"/>
        <v>88.92999439163259</v>
      </c>
      <c r="D61">
        <v>35.3305826550299</v>
      </c>
      <c r="E61">
        <f t="shared" si="2"/>
        <v>35.574013649894226</v>
      </c>
      <c r="F61">
        <f t="shared" si="3"/>
        <v>32.324727895903685</v>
      </c>
      <c r="G61">
        <v>0</v>
      </c>
      <c r="H61">
        <v>90.080584986495694</v>
      </c>
    </row>
    <row r="62" spans="1:8" x14ac:dyDescent="0.35">
      <c r="A62" t="s">
        <v>71</v>
      </c>
      <c r="B62">
        <f t="shared" si="0"/>
        <v>90.480009592237096</v>
      </c>
      <c r="C62">
        <f t="shared" si="1"/>
        <v>89.358887115071511</v>
      </c>
      <c r="D62">
        <v>34.201074692677899</v>
      </c>
      <c r="E62">
        <f t="shared" si="2"/>
        <v>35.050452756275924</v>
      </c>
      <c r="F62">
        <f t="shared" si="3"/>
        <v>31.299128835271382</v>
      </c>
      <c r="G62">
        <v>0</v>
      </c>
      <c r="H62">
        <v>90.480009592237096</v>
      </c>
    </row>
    <row r="63" spans="1:8" x14ac:dyDescent="0.35">
      <c r="A63" t="s">
        <v>72</v>
      </c>
      <c r="B63">
        <f t="shared" si="0"/>
        <v>90.561156916424196</v>
      </c>
      <c r="C63">
        <f t="shared" si="1"/>
        <v>89.281723885359696</v>
      </c>
      <c r="D63">
        <v>34.403486905825503</v>
      </c>
      <c r="E63">
        <f t="shared" si="2"/>
        <v>34.944085835071178</v>
      </c>
      <c r="F63">
        <f t="shared" si="3"/>
        <v>31.091873252073487</v>
      </c>
      <c r="G63">
        <v>0</v>
      </c>
      <c r="H63">
        <v>90.561156916424196</v>
      </c>
    </row>
    <row r="64" spans="1:8" x14ac:dyDescent="0.35">
      <c r="A64" t="s">
        <v>73</v>
      </c>
      <c r="B64">
        <f t="shared" si="0"/>
        <v>90.564777020323504</v>
      </c>
      <c r="C64">
        <f t="shared" si="1"/>
        <v>89.49086229306188</v>
      </c>
      <c r="D64">
        <v>33.855690507900697</v>
      </c>
      <c r="E64">
        <f t="shared" si="2"/>
        <v>34.939340647105119</v>
      </c>
      <c r="F64">
        <f t="shared" si="3"/>
        <v>31.08263592362216</v>
      </c>
      <c r="G64">
        <v>0</v>
      </c>
      <c r="H64">
        <v>90.564777020323504</v>
      </c>
    </row>
    <row r="65" spans="1:8" x14ac:dyDescent="0.35">
      <c r="A65" t="s">
        <v>74</v>
      </c>
      <c r="B65">
        <f t="shared" si="0"/>
        <v>90.342717699030302</v>
      </c>
      <c r="C65">
        <f t="shared" si="1"/>
        <v>89.684048199951107</v>
      </c>
      <c r="D65">
        <v>33.351948487343698</v>
      </c>
      <c r="E65">
        <f t="shared" si="2"/>
        <v>35.230413292659186</v>
      </c>
      <c r="F65">
        <f t="shared" si="3"/>
        <v>31.65062916760218</v>
      </c>
      <c r="G65">
        <v>0</v>
      </c>
      <c r="H65">
        <v>90.342717699030302</v>
      </c>
    </row>
    <row r="66" spans="1:8" x14ac:dyDescent="0.35">
      <c r="A66" t="s">
        <v>75</v>
      </c>
      <c r="B66">
        <f t="shared" si="0"/>
        <v>90.048105630418206</v>
      </c>
      <c r="C66">
        <f t="shared" si="1"/>
        <v>89.88057638967274</v>
      </c>
      <c r="D66">
        <v>32.841713263601797</v>
      </c>
      <c r="E66">
        <f t="shared" si="2"/>
        <v>35.616587193055175</v>
      </c>
      <c r="F66">
        <f t="shared" si="3"/>
        <v>32.408524856540552</v>
      </c>
      <c r="G66">
        <v>0</v>
      </c>
      <c r="H66">
        <v>90.048105630418206</v>
      </c>
    </row>
    <row r="67" spans="1:8" x14ac:dyDescent="0.35">
      <c r="A67" t="s">
        <v>76</v>
      </c>
      <c r="B67">
        <f t="shared" si="0"/>
        <v>89.722116520992699</v>
      </c>
      <c r="C67">
        <f t="shared" si="1"/>
        <v>90.020512344220975</v>
      </c>
      <c r="D67">
        <v>32.4797632307071</v>
      </c>
      <c r="E67">
        <f t="shared" si="2"/>
        <v>36.043889735230437</v>
      </c>
      <c r="F67">
        <f t="shared" si="3"/>
        <v>33.252939266037373</v>
      </c>
      <c r="G67">
        <v>0</v>
      </c>
      <c r="H67">
        <v>89.722116520992699</v>
      </c>
    </row>
    <row r="68" spans="1:8" x14ac:dyDescent="0.35">
      <c r="A68" t="s">
        <v>77</v>
      </c>
      <c r="B68">
        <f t="shared" si="0"/>
        <v>89.751224861728005</v>
      </c>
      <c r="C68">
        <f t="shared" si="1"/>
        <v>90.166334767986768</v>
      </c>
      <c r="D68">
        <v>32.103782964479898</v>
      </c>
      <c r="E68">
        <f t="shared" si="2"/>
        <v>36.00573487779787</v>
      </c>
      <c r="F68">
        <f t="shared" si="3"/>
        <v>33.177290091955044</v>
      </c>
      <c r="G68">
        <v>0</v>
      </c>
      <c r="H68">
        <v>89.751224861728005</v>
      </c>
    </row>
    <row r="69" spans="1:8" x14ac:dyDescent="0.35">
      <c r="A69" t="s">
        <v>78</v>
      </c>
      <c r="B69">
        <f t="shared" si="0"/>
        <v>89.899557903191393</v>
      </c>
      <c r="C69">
        <f t="shared" si="1"/>
        <v>90.306786725726724</v>
      </c>
      <c r="D69">
        <v>31.742797573479098</v>
      </c>
      <c r="E69">
        <f t="shared" si="2"/>
        <v>35.811301739164513</v>
      </c>
      <c r="F69">
        <f t="shared" si="3"/>
        <v>32.792550751225733</v>
      </c>
      <c r="G69">
        <v>0</v>
      </c>
      <c r="H69">
        <v>89.899557903191393</v>
      </c>
    </row>
    <row r="70" spans="1:8" x14ac:dyDescent="0.35">
      <c r="A70" t="s">
        <v>79</v>
      </c>
      <c r="B70">
        <f t="shared" si="0"/>
        <v>90.388702205323298</v>
      </c>
      <c r="C70">
        <f t="shared" si="1"/>
        <v>90.447676929709147</v>
      </c>
      <c r="D70">
        <v>31.381812182478299</v>
      </c>
      <c r="E70">
        <f t="shared" si="2"/>
        <v>35.170137363581986</v>
      </c>
      <c r="F70">
        <f t="shared" si="3"/>
        <v>31.532778821764307</v>
      </c>
      <c r="G70">
        <v>0</v>
      </c>
      <c r="H70">
        <v>90.388702205323298</v>
      </c>
    </row>
    <row r="71" spans="1:8" x14ac:dyDescent="0.35">
      <c r="A71" t="s">
        <v>80</v>
      </c>
      <c r="B71">
        <f t="shared" si="0"/>
        <v>91.437635516391197</v>
      </c>
      <c r="C71">
        <f t="shared" si="1"/>
        <v>92.262214782426838</v>
      </c>
      <c r="D71">
        <v>26.831183762971801</v>
      </c>
      <c r="E71">
        <f t="shared" si="2"/>
        <v>33.795208393772185</v>
      </c>
      <c r="F71">
        <f t="shared" si="3"/>
        <v>28.876734153300315</v>
      </c>
      <c r="G71">
        <v>0</v>
      </c>
      <c r="H71">
        <v>91.437635516391197</v>
      </c>
    </row>
    <row r="72" spans="1:8" x14ac:dyDescent="0.35">
      <c r="A72" t="s">
        <v>81</v>
      </c>
      <c r="B72">
        <f t="shared" si="0"/>
        <v>89.803152054952903</v>
      </c>
      <c r="C72">
        <f t="shared" si="1"/>
        <v>89.237799567400884</v>
      </c>
      <c r="D72">
        <v>34.518864171282701</v>
      </c>
      <c r="E72">
        <f t="shared" si="2"/>
        <v>35.937669347289415</v>
      </c>
      <c r="F72">
        <f t="shared" si="3"/>
        <v>33.042459165409682</v>
      </c>
      <c r="G72">
        <v>0</v>
      </c>
      <c r="H72">
        <v>89.803152054952903</v>
      </c>
    </row>
    <row r="73" spans="1:8" x14ac:dyDescent="0.35">
      <c r="A73" t="s">
        <v>82</v>
      </c>
      <c r="B73">
        <f t="shared" ref="B73:B136" si="4" xml:space="preserve"> H73/(1-$B$5*G73)</f>
        <v>86.860509257952799</v>
      </c>
      <c r="C73">
        <f t="shared" ref="C73:C136" si="5">$B$2/(1+$B$4*((D73/100)/$B$3))</f>
        <v>88.964569280378271</v>
      </c>
      <c r="D73">
        <v>35.2391245748125</v>
      </c>
      <c r="E73">
        <f t="shared" ref="E73:E136" si="6" xml:space="preserve"> (117.22 - B73)/0.7629</f>
        <v>39.794849576677414</v>
      </c>
      <c r="F73">
        <f t="shared" ref="F73:F136" si="7" xml:space="preserve"> ((($B$3 *($B$2-B73))/($B$4*B73)))*100</f>
        <v>40.937424549756621</v>
      </c>
      <c r="G73">
        <v>0</v>
      </c>
      <c r="H73">
        <v>86.860509257952799</v>
      </c>
    </row>
    <row r="74" spans="1:8" x14ac:dyDescent="0.35">
      <c r="A74" t="s">
        <v>83</v>
      </c>
      <c r="B74">
        <f t="shared" si="4"/>
        <v>87.007552285003399</v>
      </c>
      <c r="C74">
        <f t="shared" si="5"/>
        <v>88.761147074051664</v>
      </c>
      <c r="D74">
        <v>35.778244035441197</v>
      </c>
      <c r="E74">
        <f t="shared" si="6"/>
        <v>39.602107373176821</v>
      </c>
      <c r="F74">
        <f t="shared" si="7"/>
        <v>40.530239572071899</v>
      </c>
      <c r="G74">
        <v>0</v>
      </c>
      <c r="H74">
        <v>87.007552285003399</v>
      </c>
    </row>
    <row r="75" spans="1:8" x14ac:dyDescent="0.35">
      <c r="A75" t="s">
        <v>84</v>
      </c>
      <c r="B75">
        <f t="shared" si="4"/>
        <v>86.334039915870093</v>
      </c>
      <c r="C75">
        <f t="shared" si="5"/>
        <v>88.698342268481952</v>
      </c>
      <c r="D75">
        <v>35.945191989545997</v>
      </c>
      <c r="E75">
        <f t="shared" si="6"/>
        <v>40.484939158644522</v>
      </c>
      <c r="F75">
        <f t="shared" si="7"/>
        <v>42.406673150996866</v>
      </c>
      <c r="G75">
        <v>0</v>
      </c>
      <c r="H75">
        <v>86.334039915870093</v>
      </c>
    </row>
    <row r="76" spans="1:8" x14ac:dyDescent="0.35">
      <c r="A76" t="s">
        <v>85</v>
      </c>
      <c r="B76">
        <f t="shared" si="4"/>
        <v>86.623050389057695</v>
      </c>
      <c r="C76">
        <f t="shared" si="5"/>
        <v>87.642954427974772</v>
      </c>
      <c r="D76">
        <v>38.786420794270299</v>
      </c>
      <c r="E76">
        <f t="shared" si="6"/>
        <v>40.106107761098833</v>
      </c>
      <c r="F76">
        <f t="shared" si="7"/>
        <v>41.597903810774561</v>
      </c>
      <c r="G76">
        <v>0</v>
      </c>
      <c r="H76">
        <v>86.623050389057695</v>
      </c>
    </row>
    <row r="77" spans="1:8" x14ac:dyDescent="0.35">
      <c r="A77" t="s">
        <v>86</v>
      </c>
      <c r="B77">
        <f t="shared" si="4"/>
        <v>87.077584013442504</v>
      </c>
      <c r="C77">
        <f t="shared" si="5"/>
        <v>88.181553660120699</v>
      </c>
      <c r="D77">
        <v>37.327950427753798</v>
      </c>
      <c r="E77">
        <f t="shared" si="6"/>
        <v>39.510310639084409</v>
      </c>
      <c r="F77">
        <f t="shared" si="7"/>
        <v>40.336794282908798</v>
      </c>
      <c r="G77">
        <v>0</v>
      </c>
      <c r="H77">
        <v>87.077584013442504</v>
      </c>
    </row>
    <row r="78" spans="1:8" x14ac:dyDescent="0.35">
      <c r="A78" t="s">
        <v>87</v>
      </c>
      <c r="B78">
        <f t="shared" si="4"/>
        <v>88.158722282920706</v>
      </c>
      <c r="C78">
        <f t="shared" si="5"/>
        <v>88.623456475866405</v>
      </c>
      <c r="D78">
        <v>36.144562939614701</v>
      </c>
      <c r="E78">
        <f t="shared" si="6"/>
        <v>38.093167803223608</v>
      </c>
      <c r="F78">
        <f t="shared" si="7"/>
        <v>37.389413704625376</v>
      </c>
      <c r="G78">
        <v>0</v>
      </c>
      <c r="H78">
        <v>88.158722282920706</v>
      </c>
    </row>
    <row r="79" spans="1:8" x14ac:dyDescent="0.35">
      <c r="A79" t="s">
        <v>88</v>
      </c>
      <c r="B79">
        <f t="shared" si="4"/>
        <v>89.314101215929995</v>
      </c>
      <c r="C79">
        <f t="shared" si="5"/>
        <v>89.155363405121932</v>
      </c>
      <c r="D79">
        <v>34.735708502413402</v>
      </c>
      <c r="E79">
        <f t="shared" si="6"/>
        <v>36.578711212570461</v>
      </c>
      <c r="F79">
        <f t="shared" si="7"/>
        <v>34.318513099012705</v>
      </c>
      <c r="G79">
        <v>0</v>
      </c>
      <c r="H79">
        <v>89.314101215929995</v>
      </c>
    </row>
    <row r="80" spans="1:8" x14ac:dyDescent="0.35">
      <c r="A80" t="s">
        <v>89</v>
      </c>
      <c r="B80">
        <f t="shared" si="4"/>
        <v>90.831437670124402</v>
      </c>
      <c r="C80">
        <f t="shared" si="5"/>
        <v>89.640443717797581</v>
      </c>
      <c r="D80">
        <v>33.465459648726799</v>
      </c>
      <c r="E80">
        <f t="shared" si="6"/>
        <v>34.589805125017165</v>
      </c>
      <c r="F80">
        <f t="shared" si="7"/>
        <v>30.404229334078931</v>
      </c>
      <c r="G80">
        <v>0</v>
      </c>
      <c r="H80">
        <v>90.831437670124402</v>
      </c>
    </row>
    <row r="81" spans="1:8" x14ac:dyDescent="0.35">
      <c r="A81" t="s">
        <v>90</v>
      </c>
      <c r="B81">
        <f t="shared" si="4"/>
        <v>91.994349007718895</v>
      </c>
      <c r="C81">
        <f t="shared" si="5"/>
        <v>90.086901430713965</v>
      </c>
      <c r="D81">
        <v>32.308438444707399</v>
      </c>
      <c r="E81">
        <f t="shared" si="6"/>
        <v>33.065475150453665</v>
      </c>
      <c r="F81">
        <f t="shared" si="7"/>
        <v>27.491662492610867</v>
      </c>
      <c r="G81">
        <v>0</v>
      </c>
      <c r="H81">
        <v>91.994349007718895</v>
      </c>
    </row>
    <row r="82" spans="1:8" x14ac:dyDescent="0.35">
      <c r="A82" t="s">
        <v>91</v>
      </c>
      <c r="B82">
        <f t="shared" si="4"/>
        <v>92.905637563827597</v>
      </c>
      <c r="C82">
        <f t="shared" si="5"/>
        <v>90.479278298477908</v>
      </c>
      <c r="D82">
        <v>31.300998297678699</v>
      </c>
      <c r="E82">
        <f t="shared" si="6"/>
        <v>31.870969243901431</v>
      </c>
      <c r="F82">
        <f t="shared" si="7"/>
        <v>25.260252708707998</v>
      </c>
      <c r="G82">
        <v>0</v>
      </c>
      <c r="H82">
        <v>92.905637563827597</v>
      </c>
    </row>
    <row r="83" spans="1:8" x14ac:dyDescent="0.35">
      <c r="A83" t="s">
        <v>92</v>
      </c>
      <c r="B83">
        <f t="shared" si="4"/>
        <v>93.466027509616197</v>
      </c>
      <c r="C83">
        <f t="shared" si="5"/>
        <v>90.805817029313559</v>
      </c>
      <c r="D83">
        <v>30.469237327995899</v>
      </c>
      <c r="E83">
        <f t="shared" si="6"/>
        <v>31.136416948989122</v>
      </c>
      <c r="F83">
        <f t="shared" si="7"/>
        <v>23.909670211866864</v>
      </c>
      <c r="G83">
        <v>0</v>
      </c>
      <c r="H83">
        <v>93.466027509616197</v>
      </c>
    </row>
    <row r="84" spans="1:8" x14ac:dyDescent="0.35">
      <c r="A84" t="s">
        <v>93</v>
      </c>
      <c r="B84">
        <f t="shared" si="4"/>
        <v>91.665399161967997</v>
      </c>
      <c r="C84">
        <f t="shared" si="5"/>
        <v>90.92427822630718</v>
      </c>
      <c r="D84">
        <v>30.168969211969401</v>
      </c>
      <c r="E84">
        <f t="shared" si="6"/>
        <v>33.496658589634293</v>
      </c>
      <c r="F84">
        <f t="shared" si="7"/>
        <v>28.308037569474205</v>
      </c>
      <c r="G84">
        <v>0</v>
      </c>
      <c r="H84">
        <v>91.665399161967997</v>
      </c>
    </row>
    <row r="85" spans="1:8" x14ac:dyDescent="0.35">
      <c r="A85" t="s">
        <v>94</v>
      </c>
      <c r="B85">
        <f t="shared" si="4"/>
        <v>89.958823353056502</v>
      </c>
      <c r="C85">
        <f t="shared" si="5"/>
        <v>90.171290045564916</v>
      </c>
      <c r="D85">
        <v>32.0910279215949</v>
      </c>
      <c r="E85">
        <f t="shared" si="6"/>
        <v>35.73361731150019</v>
      </c>
      <c r="F85">
        <f t="shared" si="7"/>
        <v>32.639185525544967</v>
      </c>
      <c r="G85">
        <v>0</v>
      </c>
      <c r="H85">
        <v>89.958823353056502</v>
      </c>
    </row>
    <row r="86" spans="1:8" x14ac:dyDescent="0.35">
      <c r="A86" t="s">
        <v>95</v>
      </c>
      <c r="B86">
        <f t="shared" si="4"/>
        <v>88.177280541414902</v>
      </c>
      <c r="C86">
        <f t="shared" si="5"/>
        <v>90.260128445693255</v>
      </c>
      <c r="D86">
        <v>31.8625926649677</v>
      </c>
      <c r="E86">
        <f t="shared" si="6"/>
        <v>38.068841864707167</v>
      </c>
      <c r="F86">
        <f t="shared" si="7"/>
        <v>37.339451468590582</v>
      </c>
      <c r="G86">
        <v>0</v>
      </c>
      <c r="H86">
        <v>88.177280541414902</v>
      </c>
    </row>
    <row r="87" spans="1:8" x14ac:dyDescent="0.35">
      <c r="A87" t="s">
        <v>96</v>
      </c>
      <c r="B87">
        <f t="shared" si="4"/>
        <v>89.095482398248393</v>
      </c>
      <c r="C87">
        <f t="shared" si="5"/>
        <v>90.417769474979096</v>
      </c>
      <c r="D87">
        <v>31.4583462654731</v>
      </c>
      <c r="E87">
        <f t="shared" si="6"/>
        <v>36.865274088021501</v>
      </c>
      <c r="F87">
        <f t="shared" si="7"/>
        <v>34.893474195981007</v>
      </c>
      <c r="G87">
        <v>0</v>
      </c>
      <c r="H87">
        <v>89.095482398248393</v>
      </c>
    </row>
    <row r="88" spans="1:8" x14ac:dyDescent="0.35">
      <c r="A88" t="s">
        <v>97</v>
      </c>
      <c r="B88">
        <f t="shared" si="4"/>
        <v>89.986502884175806</v>
      </c>
      <c r="C88">
        <f t="shared" si="5"/>
        <v>90.572626544904239</v>
      </c>
      <c r="D88">
        <v>31.062609024766999</v>
      </c>
      <c r="E88">
        <f t="shared" si="6"/>
        <v>35.697335320257167</v>
      </c>
      <c r="F88">
        <f t="shared" si="7"/>
        <v>32.567626532041103</v>
      </c>
      <c r="G88">
        <v>0</v>
      </c>
      <c r="H88">
        <v>89.986502884175806</v>
      </c>
    </row>
    <row r="89" spans="1:8" x14ac:dyDescent="0.35">
      <c r="A89" t="s">
        <v>98</v>
      </c>
      <c r="B89">
        <f t="shared" si="4"/>
        <v>90.303669265259003</v>
      </c>
      <c r="C89">
        <f t="shared" si="5"/>
        <v>90.599496491560316</v>
      </c>
      <c r="D89">
        <v>30.994080608836001</v>
      </c>
      <c r="E89">
        <f t="shared" si="6"/>
        <v>35.28159750260977</v>
      </c>
      <c r="F89">
        <f t="shared" si="7"/>
        <v>31.750797791144603</v>
      </c>
      <c r="G89">
        <v>0</v>
      </c>
      <c r="H89">
        <v>90.303669265259003</v>
      </c>
    </row>
    <row r="90" spans="1:8" x14ac:dyDescent="0.35">
      <c r="A90" t="s">
        <v>99</v>
      </c>
      <c r="B90">
        <f t="shared" si="4"/>
        <v>89.563480550436097</v>
      </c>
      <c r="C90">
        <f t="shared" si="5"/>
        <v>89.906329274629016</v>
      </c>
      <c r="D90">
        <v>32.7750177828378</v>
      </c>
      <c r="E90">
        <f t="shared" si="6"/>
        <v>36.251827827453013</v>
      </c>
      <c r="F90">
        <f t="shared" si="7"/>
        <v>33.666079824870508</v>
      </c>
      <c r="G90">
        <v>0</v>
      </c>
      <c r="H90">
        <v>89.563480550436097</v>
      </c>
    </row>
    <row r="91" spans="1:8" x14ac:dyDescent="0.35">
      <c r="A91" t="s">
        <v>100</v>
      </c>
      <c r="B91">
        <f t="shared" si="4"/>
        <v>88.038139651378003</v>
      </c>
      <c r="C91">
        <f t="shared" si="5"/>
        <v>90.181318521374848</v>
      </c>
      <c r="D91">
        <v>32.065218593262003</v>
      </c>
      <c r="E91">
        <f t="shared" si="6"/>
        <v>38.251226043546986</v>
      </c>
      <c r="F91">
        <f t="shared" si="7"/>
        <v>37.714557333491626</v>
      </c>
      <c r="G91">
        <v>0</v>
      </c>
      <c r="H91">
        <v>88.038139651378003</v>
      </c>
    </row>
    <row r="92" spans="1:8" x14ac:dyDescent="0.35">
      <c r="A92" t="s">
        <v>101</v>
      </c>
      <c r="B92">
        <f t="shared" si="4"/>
        <v>87.889780585003507</v>
      </c>
      <c r="C92">
        <f t="shared" si="5"/>
        <v>89.13009152093899</v>
      </c>
      <c r="D92">
        <v>34.802265302004301</v>
      </c>
      <c r="E92">
        <f t="shared" si="6"/>
        <v>38.445693295315891</v>
      </c>
      <c r="F92">
        <f t="shared" si="7"/>
        <v>38.115822526724351</v>
      </c>
      <c r="G92">
        <v>2.30750377521356E-2</v>
      </c>
      <c r="H92">
        <v>87.889780585003507</v>
      </c>
    </row>
    <row r="93" spans="1:8" x14ac:dyDescent="0.35">
      <c r="A93" t="s">
        <v>102</v>
      </c>
      <c r="B93">
        <f t="shared" si="4"/>
        <v>87.616971900883996</v>
      </c>
      <c r="C93">
        <f t="shared" si="5"/>
        <v>88.653126623471991</v>
      </c>
      <c r="D93">
        <v>36.065530825288597</v>
      </c>
      <c r="E93">
        <f t="shared" si="6"/>
        <v>38.803287585680955</v>
      </c>
      <c r="F93">
        <f t="shared" si="7"/>
        <v>38.857232128108841</v>
      </c>
      <c r="G93">
        <v>4.61500755042712E-2</v>
      </c>
      <c r="H93">
        <v>87.616971900883996</v>
      </c>
    </row>
    <row r="94" spans="1:8" x14ac:dyDescent="0.35">
      <c r="A94" t="s">
        <v>103</v>
      </c>
      <c r="B94">
        <f t="shared" si="4"/>
        <v>87.717039321251804</v>
      </c>
      <c r="C94">
        <f t="shared" si="5"/>
        <v>89.153983027677342</v>
      </c>
      <c r="D94">
        <v>34.739342932042398</v>
      </c>
      <c r="E94">
        <f t="shared" si="6"/>
        <v>38.672120433540691</v>
      </c>
      <c r="F94">
        <f t="shared" si="7"/>
        <v>38.584744282643413</v>
      </c>
      <c r="G94">
        <v>6.9225113256406803E-2</v>
      </c>
      <c r="H94">
        <v>87.717039321251804</v>
      </c>
    </row>
    <row r="95" spans="1:8" x14ac:dyDescent="0.35">
      <c r="A95" t="s">
        <v>104</v>
      </c>
      <c r="B95">
        <f t="shared" si="4"/>
        <v>87.686486674955205</v>
      </c>
      <c r="C95">
        <f t="shared" si="5"/>
        <v>89.388938080825383</v>
      </c>
      <c r="D95">
        <v>34.122340470902699</v>
      </c>
      <c r="E95">
        <f t="shared" si="6"/>
        <v>38.712168469058582</v>
      </c>
      <c r="F95">
        <f t="shared" si="7"/>
        <v>38.667874484117362</v>
      </c>
      <c r="G95">
        <v>9.2300151008542497E-2</v>
      </c>
      <c r="H95">
        <v>87.686486674955205</v>
      </c>
    </row>
    <row r="96" spans="1:8" x14ac:dyDescent="0.35">
      <c r="A96" t="s">
        <v>105</v>
      </c>
      <c r="B96">
        <f t="shared" si="4"/>
        <v>87.476956155188205</v>
      </c>
      <c r="C96">
        <f t="shared" si="5"/>
        <v>89.247889435472743</v>
      </c>
      <c r="D96">
        <v>34.492350777914901</v>
      </c>
      <c r="E96">
        <f t="shared" si="6"/>
        <v>38.986818514630741</v>
      </c>
      <c r="F96">
        <f t="shared" si="7"/>
        <v>39.239547367929475</v>
      </c>
      <c r="G96">
        <v>0.115375188760678</v>
      </c>
      <c r="H96">
        <v>87.476956155188205</v>
      </c>
    </row>
    <row r="97" spans="1:8" x14ac:dyDescent="0.35">
      <c r="A97" t="s">
        <v>106</v>
      </c>
      <c r="B97">
        <f t="shared" si="4"/>
        <v>87.978055238440007</v>
      </c>
      <c r="C97">
        <f t="shared" si="5"/>
        <v>89.421374223498731</v>
      </c>
      <c r="D97">
        <v>34.037416416620601</v>
      </c>
      <c r="E97">
        <f t="shared" si="6"/>
        <v>38.329983958002344</v>
      </c>
      <c r="F97">
        <f t="shared" si="7"/>
        <v>37.876903950332483</v>
      </c>
      <c r="G97">
        <v>0.138450226512813</v>
      </c>
      <c r="H97">
        <v>87.978055238440007</v>
      </c>
    </row>
    <row r="98" spans="1:8" x14ac:dyDescent="0.35">
      <c r="A98" t="s">
        <v>107</v>
      </c>
      <c r="B98">
        <f t="shared" si="4"/>
        <v>88.687524146795297</v>
      </c>
      <c r="C98">
        <f t="shared" si="5"/>
        <v>88.289143044406998</v>
      </c>
      <c r="D98">
        <v>37.0387419568141</v>
      </c>
      <c r="E98">
        <f t="shared" si="6"/>
        <v>37.400020780187049</v>
      </c>
      <c r="F98">
        <f t="shared" si="7"/>
        <v>35.973972630598745</v>
      </c>
      <c r="G98">
        <v>0.16152526426494901</v>
      </c>
      <c r="H98">
        <v>88.687524146795297</v>
      </c>
    </row>
    <row r="99" spans="1:8" x14ac:dyDescent="0.35">
      <c r="A99" t="s">
        <v>108</v>
      </c>
      <c r="B99">
        <f t="shared" si="4"/>
        <v>88.655823883556806</v>
      </c>
      <c r="C99">
        <f t="shared" si="5"/>
        <v>88.504532323342005</v>
      </c>
      <c r="D99">
        <v>36.461872022930798</v>
      </c>
      <c r="E99">
        <f t="shared" si="6"/>
        <v>37.441573097972466</v>
      </c>
      <c r="F99">
        <f t="shared" si="7"/>
        <v>36.058348780096232</v>
      </c>
      <c r="G99">
        <v>0.18460030201708499</v>
      </c>
      <c r="H99">
        <v>88.655823883556806</v>
      </c>
    </row>
    <row r="100" spans="1:8" x14ac:dyDescent="0.35">
      <c r="A100" t="s">
        <v>109</v>
      </c>
      <c r="B100">
        <f t="shared" si="4"/>
        <v>88.498225924719407</v>
      </c>
      <c r="C100">
        <f t="shared" si="5"/>
        <v>88.866536796798698</v>
      </c>
      <c r="D100">
        <v>35.498626930236597</v>
      </c>
      <c r="E100">
        <f t="shared" si="6"/>
        <v>37.648150577114421</v>
      </c>
      <c r="F100">
        <f t="shared" si="7"/>
        <v>36.478722336125671</v>
      </c>
      <c r="G100">
        <v>0.20767533976922001</v>
      </c>
      <c r="H100">
        <v>88.498225924719407</v>
      </c>
    </row>
    <row r="101" spans="1:8" x14ac:dyDescent="0.35">
      <c r="A101" t="s">
        <v>110</v>
      </c>
      <c r="B101">
        <f t="shared" si="4"/>
        <v>88.731055926016097</v>
      </c>
      <c r="C101">
        <f t="shared" si="5"/>
        <v>88.704682276813841</v>
      </c>
      <c r="D101">
        <v>35.928328229430001</v>
      </c>
      <c r="E101">
        <f t="shared" si="6"/>
        <v>37.342959855792245</v>
      </c>
      <c r="F101">
        <f t="shared" si="7"/>
        <v>35.858202940142505</v>
      </c>
      <c r="G101">
        <v>0.23075037752135599</v>
      </c>
      <c r="H101">
        <v>88.731055926016097</v>
      </c>
    </row>
    <row r="102" spans="1:8" x14ac:dyDescent="0.35">
      <c r="A102" t="s">
        <v>111</v>
      </c>
      <c r="B102">
        <f t="shared" si="4"/>
        <v>89.122158956828997</v>
      </c>
      <c r="C102">
        <f t="shared" si="5"/>
        <v>89.007163179016985</v>
      </c>
      <c r="D102">
        <v>35.126552158502001</v>
      </c>
      <c r="E102">
        <f t="shared" si="6"/>
        <v>36.830306780929348</v>
      </c>
      <c r="F102">
        <f t="shared" si="7"/>
        <v>34.823164526669402</v>
      </c>
      <c r="G102">
        <v>0.25382541527349101</v>
      </c>
      <c r="H102">
        <v>89.122158956828997</v>
      </c>
    </row>
    <row r="103" spans="1:8" x14ac:dyDescent="0.35">
      <c r="A103" t="s">
        <v>112</v>
      </c>
      <c r="B103">
        <f t="shared" si="4"/>
        <v>90.019176542797993</v>
      </c>
      <c r="C103">
        <f t="shared" si="5"/>
        <v>89.391071458641875</v>
      </c>
      <c r="D103">
        <v>34.1167529843746</v>
      </c>
      <c r="E103">
        <f t="shared" si="6"/>
        <v>35.654507087694334</v>
      </c>
      <c r="F103">
        <f t="shared" si="7"/>
        <v>32.48321301563589</v>
      </c>
      <c r="G103">
        <v>0.27690045302562699</v>
      </c>
      <c r="H103">
        <v>90.019176542797993</v>
      </c>
    </row>
    <row r="104" spans="1:8" x14ac:dyDescent="0.35">
      <c r="A104" t="s">
        <v>113</v>
      </c>
      <c r="B104">
        <f t="shared" si="4"/>
        <v>90.905842183238505</v>
      </c>
      <c r="C104">
        <f t="shared" si="5"/>
        <v>89.733126207881583</v>
      </c>
      <c r="D104">
        <v>33.224320606064701</v>
      </c>
      <c r="E104">
        <f t="shared" si="6"/>
        <v>34.492276598193072</v>
      </c>
      <c r="F104">
        <f t="shared" si="7"/>
        <v>30.215648335417956</v>
      </c>
      <c r="G104">
        <v>0.29997549077776298</v>
      </c>
      <c r="H104">
        <v>90.905842183238505</v>
      </c>
    </row>
    <row r="105" spans="1:8" x14ac:dyDescent="0.35">
      <c r="A105" t="s">
        <v>114</v>
      </c>
      <c r="B105">
        <f t="shared" si="4"/>
        <v>91.525410322728305</v>
      </c>
      <c r="C105">
        <f t="shared" si="5"/>
        <v>90.00533433313251</v>
      </c>
      <c r="D105">
        <v>32.518967356221502</v>
      </c>
      <c r="E105">
        <f t="shared" si="6"/>
        <v>33.680154249930126</v>
      </c>
      <c r="F105">
        <f t="shared" si="7"/>
        <v>28.657236519314978</v>
      </c>
      <c r="G105">
        <v>0.32305052852989802</v>
      </c>
      <c r="H105">
        <v>91.525410322728305</v>
      </c>
    </row>
    <row r="106" spans="1:8" x14ac:dyDescent="0.35">
      <c r="A106" t="s">
        <v>115</v>
      </c>
      <c r="B106">
        <f t="shared" si="4"/>
        <v>91.697303773784299</v>
      </c>
      <c r="C106">
        <f t="shared" si="5"/>
        <v>90.378896470421324</v>
      </c>
      <c r="D106">
        <v>31.557899166655702</v>
      </c>
      <c r="E106">
        <f t="shared" si="6"/>
        <v>33.454838414229521</v>
      </c>
      <c r="F106">
        <f t="shared" si="7"/>
        <v>28.228601435439497</v>
      </c>
      <c r="G106">
        <v>0.346125566282034</v>
      </c>
      <c r="H106">
        <v>91.697303773784299</v>
      </c>
    </row>
    <row r="107" spans="1:8" x14ac:dyDescent="0.35">
      <c r="A107" t="s">
        <v>116</v>
      </c>
      <c r="B107">
        <f t="shared" si="4"/>
        <v>91.578184955813597</v>
      </c>
      <c r="C107">
        <f t="shared" si="5"/>
        <v>90.758010747581437</v>
      </c>
      <c r="D107">
        <v>30.590635727977698</v>
      </c>
      <c r="E107">
        <f t="shared" si="6"/>
        <v>33.610977905605452</v>
      </c>
      <c r="F107">
        <f t="shared" si="7"/>
        <v>28.525466035269826</v>
      </c>
      <c r="G107">
        <v>0.36920060403416999</v>
      </c>
      <c r="H107">
        <v>91.578184955813597</v>
      </c>
    </row>
    <row r="108" spans="1:8" x14ac:dyDescent="0.35">
      <c r="A108" t="s">
        <v>117</v>
      </c>
      <c r="B108">
        <f t="shared" si="4"/>
        <v>92.091797531248304</v>
      </c>
      <c r="C108">
        <f t="shared" si="5"/>
        <v>91.074304666734292</v>
      </c>
      <c r="D108">
        <v>29.7898125302466</v>
      </c>
      <c r="E108">
        <f t="shared" si="6"/>
        <v>32.93774081629531</v>
      </c>
      <c r="F108">
        <f t="shared" si="7"/>
        <v>27.250938267224424</v>
      </c>
      <c r="G108">
        <v>0.39227564178630497</v>
      </c>
      <c r="H108">
        <v>92.091797531248304</v>
      </c>
    </row>
    <row r="109" spans="1:8" x14ac:dyDescent="0.35">
      <c r="A109" t="s">
        <v>118</v>
      </c>
      <c r="B109">
        <f t="shared" si="4"/>
        <v>92.248662198188498</v>
      </c>
      <c r="C109">
        <f t="shared" si="5"/>
        <v>91.319705313380197</v>
      </c>
      <c r="D109">
        <v>29.1723054063017</v>
      </c>
      <c r="E109">
        <f t="shared" si="6"/>
        <v>32.732124527213919</v>
      </c>
      <c r="F109">
        <f t="shared" si="7"/>
        <v>26.864508351671297</v>
      </c>
      <c r="G109">
        <v>0.41535067953844101</v>
      </c>
      <c r="H109">
        <v>92.248662198188498</v>
      </c>
    </row>
    <row r="110" spans="1:8" x14ac:dyDescent="0.35">
      <c r="A110" t="s">
        <v>119</v>
      </c>
      <c r="B110">
        <f t="shared" si="4"/>
        <v>92.579203240048699</v>
      </c>
      <c r="C110">
        <f t="shared" si="5"/>
        <v>91.410578567978973</v>
      </c>
      <c r="D110">
        <v>28.944480207266501</v>
      </c>
      <c r="E110">
        <f t="shared" si="6"/>
        <v>32.298855367612134</v>
      </c>
      <c r="F110">
        <f t="shared" si="7"/>
        <v>26.054520489092408</v>
      </c>
      <c r="G110">
        <v>0.438425717290576</v>
      </c>
      <c r="H110">
        <v>92.579203240048699</v>
      </c>
    </row>
    <row r="111" spans="1:8" x14ac:dyDescent="0.35">
      <c r="A111" t="s">
        <v>120</v>
      </c>
      <c r="B111">
        <f t="shared" si="4"/>
        <v>92.517183619141406</v>
      </c>
      <c r="C111">
        <f t="shared" si="5"/>
        <v>91.562860180801749</v>
      </c>
      <c r="D111">
        <v>28.5637140906992</v>
      </c>
      <c r="E111">
        <f t="shared" si="6"/>
        <v>32.380149929032108</v>
      </c>
      <c r="F111">
        <f t="shared" si="7"/>
        <v>26.206057912916584</v>
      </c>
      <c r="G111">
        <v>0.46150075504271199</v>
      </c>
      <c r="H111">
        <v>92.517183619141406</v>
      </c>
    </row>
    <row r="112" spans="1:8" x14ac:dyDescent="0.35">
      <c r="A112" t="s">
        <v>121</v>
      </c>
      <c r="B112">
        <f t="shared" si="4"/>
        <v>93.208079920369997</v>
      </c>
      <c r="C112">
        <f t="shared" si="5"/>
        <v>91.654305228467763</v>
      </c>
      <c r="D112">
        <v>28.3356722144595</v>
      </c>
      <c r="E112">
        <f t="shared" si="6"/>
        <v>31.474531497745446</v>
      </c>
      <c r="F112">
        <f t="shared" si="7"/>
        <v>24.52932635851645</v>
      </c>
      <c r="G112">
        <v>0.48457579279484803</v>
      </c>
      <c r="H112">
        <v>93.208079920369997</v>
      </c>
    </row>
    <row r="113" spans="1:8" x14ac:dyDescent="0.35">
      <c r="A113" t="s">
        <v>122</v>
      </c>
      <c r="B113">
        <f t="shared" si="4"/>
        <v>93.184259469806406</v>
      </c>
      <c r="C113">
        <f t="shared" si="5"/>
        <v>91.838825920387876</v>
      </c>
      <c r="D113">
        <v>27.8769048488621</v>
      </c>
      <c r="E113">
        <f t="shared" si="6"/>
        <v>31.505755053340664</v>
      </c>
      <c r="F113">
        <f t="shared" si="7"/>
        <v>24.586722207869443</v>
      </c>
      <c r="G113">
        <v>0.50765083054698301</v>
      </c>
      <c r="H113">
        <v>93.184259469806406</v>
      </c>
    </row>
    <row r="114" spans="1:8" x14ac:dyDescent="0.35">
      <c r="A114" t="s">
        <v>123</v>
      </c>
      <c r="B114">
        <f t="shared" si="4"/>
        <v>93.138041913362599</v>
      </c>
      <c r="C114">
        <f t="shared" si="5"/>
        <v>91.925500550567065</v>
      </c>
      <c r="D114">
        <v>27.662044485460701</v>
      </c>
      <c r="E114">
        <f t="shared" si="6"/>
        <v>31.566336461708481</v>
      </c>
      <c r="F114">
        <f t="shared" si="7"/>
        <v>24.698168071417093</v>
      </c>
      <c r="G114">
        <v>0.53072586829911905</v>
      </c>
      <c r="H114">
        <v>93.138041913362599</v>
      </c>
    </row>
    <row r="115" spans="1:8" x14ac:dyDescent="0.35">
      <c r="A115" t="s">
        <v>124</v>
      </c>
      <c r="B115">
        <f t="shared" si="4"/>
        <v>92.820813515024099</v>
      </c>
      <c r="C115">
        <f t="shared" si="5"/>
        <v>92.061275151484523</v>
      </c>
      <c r="D115">
        <v>27.326281992673099</v>
      </c>
      <c r="E115">
        <f t="shared" si="6"/>
        <v>31.982155570816488</v>
      </c>
      <c r="F115">
        <f t="shared" si="7"/>
        <v>25.466106179989612</v>
      </c>
      <c r="G115">
        <v>0.55380090605125498</v>
      </c>
      <c r="H115">
        <v>92.820813515024099</v>
      </c>
    </row>
    <row r="116" spans="1:8" x14ac:dyDescent="0.35">
      <c r="A116" t="s">
        <v>125</v>
      </c>
      <c r="B116">
        <f t="shared" si="4"/>
        <v>93.042736167391695</v>
      </c>
      <c r="C116">
        <f t="shared" si="5"/>
        <v>92.037137838933205</v>
      </c>
      <c r="D116">
        <v>27.385899725779801</v>
      </c>
      <c r="E116">
        <f t="shared" si="6"/>
        <v>31.691262069220478</v>
      </c>
      <c r="F116">
        <f t="shared" si="7"/>
        <v>24.928331407196623</v>
      </c>
      <c r="G116">
        <v>0.57687594380339002</v>
      </c>
      <c r="H116">
        <v>93.042736167391695</v>
      </c>
    </row>
    <row r="117" spans="1:8" x14ac:dyDescent="0.35">
      <c r="A117" t="s">
        <v>126</v>
      </c>
      <c r="B117">
        <f t="shared" si="4"/>
        <v>93.244909272545001</v>
      </c>
      <c r="C117">
        <f t="shared" si="5"/>
        <v>91.175252598158238</v>
      </c>
      <c r="D117">
        <v>29.5353925470143</v>
      </c>
      <c r="E117">
        <f t="shared" si="6"/>
        <v>31.426256032841785</v>
      </c>
      <c r="F117">
        <f t="shared" si="7"/>
        <v>24.440643022358071</v>
      </c>
      <c r="G117">
        <v>0.65997425857428105</v>
      </c>
      <c r="H117">
        <v>93.244909272545001</v>
      </c>
    </row>
    <row r="118" spans="1:8" x14ac:dyDescent="0.35">
      <c r="A118" t="s">
        <v>127</v>
      </c>
      <c r="B118">
        <f t="shared" si="4"/>
        <v>88.481953743391301</v>
      </c>
      <c r="C118">
        <f t="shared" si="5"/>
        <v>89.302023200336677</v>
      </c>
      <c r="D118">
        <v>34.350204460009799</v>
      </c>
      <c r="E118">
        <f t="shared" si="6"/>
        <v>37.66947995360951</v>
      </c>
      <c r="F118">
        <f t="shared" si="7"/>
        <v>36.522211708673339</v>
      </c>
      <c r="G118">
        <v>0.90926920288695501</v>
      </c>
      <c r="H118">
        <v>88.481953743391301</v>
      </c>
    </row>
    <row r="119" spans="1:8" x14ac:dyDescent="0.35">
      <c r="A119" t="s">
        <v>128</v>
      </c>
      <c r="B119">
        <f t="shared" si="4"/>
        <v>88.894600481385893</v>
      </c>
      <c r="C119">
        <f t="shared" si="5"/>
        <v>89.16722611960607</v>
      </c>
      <c r="D119">
        <v>34.704479509313899</v>
      </c>
      <c r="E119">
        <f t="shared" si="6"/>
        <v>37.128587650562466</v>
      </c>
      <c r="F119">
        <f t="shared" si="7"/>
        <v>35.424280916518114</v>
      </c>
      <c r="G119">
        <v>0.99236751765784603</v>
      </c>
      <c r="H119">
        <v>88.894600481385893</v>
      </c>
    </row>
    <row r="120" spans="1:8" x14ac:dyDescent="0.35">
      <c r="A120" t="s">
        <v>129</v>
      </c>
      <c r="B120">
        <f t="shared" si="4"/>
        <v>89.133575523998502</v>
      </c>
      <c r="C120">
        <f t="shared" si="5"/>
        <v>89.896569362591507</v>
      </c>
      <c r="D120">
        <v>32.800289756108803</v>
      </c>
      <c r="E120">
        <f t="shared" si="6"/>
        <v>36.815342084154537</v>
      </c>
      <c r="F120">
        <f t="shared" si="7"/>
        <v>34.793087483142159</v>
      </c>
      <c r="G120">
        <v>1.0754658324287301</v>
      </c>
      <c r="H120">
        <v>89.133575523998502</v>
      </c>
    </row>
    <row r="121" spans="1:8" x14ac:dyDescent="0.35">
      <c r="A121" t="s">
        <v>130</v>
      </c>
      <c r="B121">
        <f t="shared" si="4"/>
        <v>90.044216441129095</v>
      </c>
      <c r="C121">
        <f t="shared" si="5"/>
        <v>90.562126361327003</v>
      </c>
      <c r="D121">
        <v>31.089399471392699</v>
      </c>
      <c r="E121">
        <f t="shared" si="6"/>
        <v>35.621685094862897</v>
      </c>
      <c r="F121">
        <f t="shared" si="7"/>
        <v>32.418563044236492</v>
      </c>
      <c r="G121">
        <v>1.15856414719962</v>
      </c>
      <c r="H121">
        <v>90.044216441129095</v>
      </c>
    </row>
    <row r="122" spans="1:8" x14ac:dyDescent="0.35">
      <c r="A122" t="s">
        <v>131</v>
      </c>
      <c r="B122">
        <f t="shared" si="4"/>
        <v>91.099302674558103</v>
      </c>
      <c r="C122">
        <f t="shared" si="5"/>
        <v>91.002827486450713</v>
      </c>
      <c r="D122">
        <v>29.9702984372367</v>
      </c>
      <c r="E122">
        <f t="shared" si="6"/>
        <v>34.238690949589582</v>
      </c>
      <c r="F122">
        <f t="shared" si="7"/>
        <v>29.726757299714468</v>
      </c>
      <c r="G122">
        <v>1.2416624619705099</v>
      </c>
      <c r="H122">
        <v>91.099302674558103</v>
      </c>
    </row>
    <row r="123" spans="1:8" x14ac:dyDescent="0.35">
      <c r="A123" t="s">
        <v>132</v>
      </c>
      <c r="B123">
        <f t="shared" si="4"/>
        <v>91.927876720529696</v>
      </c>
      <c r="C123">
        <f t="shared" si="5"/>
        <v>91.511873936239809</v>
      </c>
      <c r="D123">
        <v>28.691059373047299</v>
      </c>
      <c r="E123">
        <f t="shared" si="6"/>
        <v>33.152606212439771</v>
      </c>
      <c r="F123">
        <f t="shared" si="7"/>
        <v>27.656159831849216</v>
      </c>
      <c r="G123">
        <v>1.32476077674141</v>
      </c>
      <c r="H123">
        <v>91.927876720529696</v>
      </c>
    </row>
    <row r="124" spans="1:8" x14ac:dyDescent="0.35">
      <c r="A124" t="s">
        <v>133</v>
      </c>
      <c r="B124">
        <f t="shared" si="4"/>
        <v>91.940446959713896</v>
      </c>
      <c r="C124">
        <f t="shared" si="5"/>
        <v>91.985027666243724</v>
      </c>
      <c r="D124">
        <v>27.514715455931601</v>
      </c>
      <c r="E124">
        <f t="shared" si="6"/>
        <v>33.136129296481982</v>
      </c>
      <c r="F124">
        <f t="shared" si="7"/>
        <v>27.625034331860103</v>
      </c>
      <c r="G124">
        <v>1.4078590915122999</v>
      </c>
      <c r="H124">
        <v>91.940446959713896</v>
      </c>
    </row>
    <row r="125" spans="1:8" x14ac:dyDescent="0.35">
      <c r="A125" t="s">
        <v>134</v>
      </c>
      <c r="B125">
        <f t="shared" si="4"/>
        <v>92.187072940145597</v>
      </c>
      <c r="C125">
        <f t="shared" si="5"/>
        <v>92.433478649702877</v>
      </c>
      <c r="D125">
        <v>26.410903294059999</v>
      </c>
      <c r="E125">
        <f t="shared" si="6"/>
        <v>32.812854974248786</v>
      </c>
      <c r="F125">
        <f t="shared" si="7"/>
        <v>27.016074252399253</v>
      </c>
      <c r="G125">
        <v>1.4909574062831901</v>
      </c>
      <c r="H125">
        <v>92.187072940145597</v>
      </c>
    </row>
    <row r="126" spans="1:8" x14ac:dyDescent="0.35">
      <c r="A126" t="s">
        <v>135</v>
      </c>
      <c r="B126">
        <f t="shared" si="4"/>
        <v>92.231985536649105</v>
      </c>
      <c r="C126">
        <f t="shared" si="5"/>
        <v>92.763726785590677</v>
      </c>
      <c r="D126">
        <v>25.604857856382001</v>
      </c>
      <c r="E126">
        <f t="shared" si="6"/>
        <v>32.75398409142862</v>
      </c>
      <c r="F126">
        <f t="shared" si="7"/>
        <v>26.905528206107565</v>
      </c>
      <c r="G126">
        <v>1.57405572105408</v>
      </c>
      <c r="H126">
        <v>92.231985536649105</v>
      </c>
    </row>
    <row r="127" spans="1:8" x14ac:dyDescent="0.35">
      <c r="A127" t="s">
        <v>136</v>
      </c>
      <c r="B127">
        <f t="shared" si="4"/>
        <v>90.112860867325196</v>
      </c>
      <c r="C127">
        <f t="shared" si="5"/>
        <v>91.451658014407357</v>
      </c>
      <c r="D127">
        <v>28.841639944837699</v>
      </c>
      <c r="E127">
        <f t="shared" si="6"/>
        <v>35.531706819602569</v>
      </c>
      <c r="F127">
        <f t="shared" si="7"/>
        <v>32.241515742176205</v>
      </c>
      <c r="G127">
        <v>1.6571540358249699</v>
      </c>
      <c r="H127">
        <v>90.112860867325196</v>
      </c>
    </row>
    <row r="128" spans="1:8" x14ac:dyDescent="0.35">
      <c r="A128" t="s">
        <v>137</v>
      </c>
      <c r="B128">
        <f t="shared" si="4"/>
        <v>87.013337873687604</v>
      </c>
      <c r="C128">
        <f t="shared" si="5"/>
        <v>91.248224236563701</v>
      </c>
      <c r="D128">
        <v>29.3518320031645</v>
      </c>
      <c r="E128">
        <f t="shared" si="6"/>
        <v>39.594523694209457</v>
      </c>
      <c r="F128">
        <f t="shared" si="7"/>
        <v>40.514246517831204</v>
      </c>
      <c r="G128">
        <v>1.74025235059586</v>
      </c>
      <c r="H128">
        <v>87.013337873687604</v>
      </c>
    </row>
    <row r="129" spans="1:8" x14ac:dyDescent="0.35">
      <c r="A129" t="s">
        <v>138</v>
      </c>
      <c r="B129">
        <f t="shared" si="4"/>
        <v>86.837841670614196</v>
      </c>
      <c r="C129">
        <f t="shared" si="5"/>
        <v>91.446594521175598</v>
      </c>
      <c r="D129">
        <v>28.854311144908898</v>
      </c>
      <c r="E129">
        <f t="shared" si="6"/>
        <v>39.824561973241316</v>
      </c>
      <c r="F129">
        <f t="shared" si="7"/>
        <v>41.000317293392918</v>
      </c>
      <c r="G129">
        <v>1.8233506653667499</v>
      </c>
      <c r="H129">
        <v>86.837841670614196</v>
      </c>
    </row>
    <row r="130" spans="1:8" x14ac:dyDescent="0.35">
      <c r="A130" t="s">
        <v>139</v>
      </c>
      <c r="B130">
        <f t="shared" si="4"/>
        <v>86.752535748203002</v>
      </c>
      <c r="C130">
        <f t="shared" si="5"/>
        <v>91.123310181354924</v>
      </c>
      <c r="D130">
        <v>29.666233086137201</v>
      </c>
      <c r="E130">
        <f t="shared" si="6"/>
        <v>39.936379934194512</v>
      </c>
      <c r="F130">
        <f t="shared" si="7"/>
        <v>41.237298889271273</v>
      </c>
      <c r="G130">
        <v>1.9064489801376401</v>
      </c>
      <c r="H130">
        <v>86.752535748203002</v>
      </c>
    </row>
    <row r="131" spans="1:8" x14ac:dyDescent="0.35">
      <c r="A131" t="s">
        <v>140</v>
      </c>
      <c r="B131">
        <f t="shared" si="4"/>
        <v>87.231906421482904</v>
      </c>
      <c r="C131">
        <f t="shared" si="5"/>
        <v>91.092199795385284</v>
      </c>
      <c r="D131">
        <v>29.744670155080001</v>
      </c>
      <c r="E131">
        <f t="shared" si="6"/>
        <v>39.308026711911253</v>
      </c>
      <c r="F131">
        <f t="shared" si="7"/>
        <v>39.911613241292642</v>
      </c>
      <c r="G131">
        <v>1.98954729490854</v>
      </c>
      <c r="H131">
        <v>87.231906421482904</v>
      </c>
    </row>
    <row r="132" spans="1:8" x14ac:dyDescent="0.35">
      <c r="A132" t="s">
        <v>141</v>
      </c>
      <c r="B132">
        <f t="shared" si="4"/>
        <v>87.971651387351599</v>
      </c>
      <c r="C132">
        <f t="shared" si="5"/>
        <v>91.44690303193542</v>
      </c>
      <c r="D132">
        <v>28.8535390682712</v>
      </c>
      <c r="E132">
        <f t="shared" si="6"/>
        <v>38.338378047776118</v>
      </c>
      <c r="F132">
        <f t="shared" si="7"/>
        <v>37.894220077132942</v>
      </c>
      <c r="G132">
        <v>2.0726456096794301</v>
      </c>
      <c r="H132">
        <v>87.971651387351599</v>
      </c>
    </row>
    <row r="133" spans="1:8" x14ac:dyDescent="0.35">
      <c r="A133" t="s">
        <v>142</v>
      </c>
      <c r="B133">
        <f t="shared" si="4"/>
        <v>88.789273004463197</v>
      </c>
      <c r="C133">
        <f t="shared" si="5"/>
        <v>91.675892795150617</v>
      </c>
      <c r="D133">
        <v>28.2819044092087</v>
      </c>
      <c r="E133">
        <f t="shared" si="6"/>
        <v>37.266649620575173</v>
      </c>
      <c r="F133">
        <f t="shared" si="7"/>
        <v>35.703556156377665</v>
      </c>
      <c r="G133">
        <v>2.15574392445032</v>
      </c>
      <c r="H133">
        <v>88.789273004463197</v>
      </c>
    </row>
    <row r="134" spans="1:8" x14ac:dyDescent="0.35">
      <c r="A134" t="s">
        <v>143</v>
      </c>
      <c r="B134">
        <f t="shared" si="4"/>
        <v>89.492276055912399</v>
      </c>
      <c r="C134">
        <f t="shared" si="5"/>
        <v>92.021684374847212</v>
      </c>
      <c r="D134">
        <v>27.424085288877698</v>
      </c>
      <c r="E134">
        <f t="shared" si="6"/>
        <v>36.345161809001965</v>
      </c>
      <c r="F134">
        <f t="shared" si="7"/>
        <v>33.851996150105876</v>
      </c>
      <c r="G134">
        <v>2.23884223922121</v>
      </c>
      <c r="H134">
        <v>89.492276055912399</v>
      </c>
    </row>
    <row r="135" spans="1:8" x14ac:dyDescent="0.35">
      <c r="A135" t="s">
        <v>144</v>
      </c>
      <c r="B135">
        <f t="shared" si="4"/>
        <v>90.402698686650297</v>
      </c>
      <c r="C135">
        <f t="shared" si="5"/>
        <v>92.304547343838962</v>
      </c>
      <c r="D135">
        <v>26.727154814310602</v>
      </c>
      <c r="E135">
        <f t="shared" si="6"/>
        <v>35.151790946847164</v>
      </c>
      <c r="F135">
        <f t="shared" si="7"/>
        <v>31.496932057647232</v>
      </c>
      <c r="G135">
        <v>2.3219405539920999</v>
      </c>
      <c r="H135">
        <v>90.402698686650297</v>
      </c>
    </row>
    <row r="136" spans="1:8" x14ac:dyDescent="0.35">
      <c r="A136" t="s">
        <v>145</v>
      </c>
      <c r="B136">
        <f t="shared" si="4"/>
        <v>90.956252589875305</v>
      </c>
      <c r="C136">
        <f t="shared" si="5"/>
        <v>92.590260635162338</v>
      </c>
      <c r="D136">
        <v>26.027524408369398</v>
      </c>
      <c r="E136">
        <f t="shared" si="6"/>
        <v>34.42619925301441</v>
      </c>
      <c r="F136">
        <f t="shared" si="7"/>
        <v>30.08805661834193</v>
      </c>
      <c r="G136">
        <v>2.4050388687629898</v>
      </c>
      <c r="H136">
        <v>90.956252589875305</v>
      </c>
    </row>
    <row r="137" spans="1:8" x14ac:dyDescent="0.35">
      <c r="A137" t="s">
        <v>146</v>
      </c>
      <c r="B137">
        <f t="shared" ref="B137:B198" si="8" xml:space="preserve"> H137/(1-$B$5*G137)</f>
        <v>91.612848257360596</v>
      </c>
      <c r="C137">
        <f t="shared" ref="C137:C198" si="9">$B$2/(1+$B$4*((D137/100)/$B$3))</f>
        <v>92.83137630261119</v>
      </c>
      <c r="D137">
        <v>25.440451593334501</v>
      </c>
      <c r="E137">
        <f t="shared" ref="E137:E198" si="10" xml:space="preserve"> (117.22 - B137)/0.7629</f>
        <v>33.565541673403331</v>
      </c>
      <c r="F137">
        <f t="shared" ref="F137:F198" si="11" xml:space="preserve"> ((($B$3 *($B$2-B137))/($B$4*B137)))*100</f>
        <v>28.438999482913591</v>
      </c>
      <c r="G137">
        <v>2.5417514710701399</v>
      </c>
      <c r="H137">
        <v>91.612848257360596</v>
      </c>
    </row>
    <row r="138" spans="1:8" x14ac:dyDescent="0.35">
      <c r="A138" t="s">
        <v>147</v>
      </c>
      <c r="B138">
        <f t="shared" si="8"/>
        <v>88.334576755239397</v>
      </c>
      <c r="C138">
        <f t="shared" si="9"/>
        <v>92.719452410548897</v>
      </c>
      <c r="D138">
        <v>25.712586211417499</v>
      </c>
      <c r="E138">
        <f t="shared" si="10"/>
        <v>37.862659909241842</v>
      </c>
      <c r="F138">
        <f t="shared" si="11"/>
        <v>36.916824242893512</v>
      </c>
      <c r="G138">
        <v>2.8151766756844498</v>
      </c>
      <c r="H138">
        <v>88.334576755239397</v>
      </c>
    </row>
    <row r="139" spans="1:8" x14ac:dyDescent="0.35">
      <c r="A139" t="s">
        <v>148</v>
      </c>
      <c r="B139">
        <f t="shared" si="8"/>
        <v>88.908337859060794</v>
      </c>
      <c r="C139">
        <f t="shared" si="9"/>
        <v>92.422474316897564</v>
      </c>
      <c r="D139">
        <v>26.437861032954299</v>
      </c>
      <c r="E139">
        <f t="shared" si="10"/>
        <v>37.11058086372946</v>
      </c>
      <c r="F139">
        <f t="shared" si="11"/>
        <v>35.387905112643352</v>
      </c>
      <c r="G139">
        <v>2.9518892779915999</v>
      </c>
      <c r="H139">
        <v>88.908337859060794</v>
      </c>
    </row>
    <row r="140" spans="1:8" x14ac:dyDescent="0.35">
      <c r="A140" t="s">
        <v>149</v>
      </c>
      <c r="B140">
        <f t="shared" si="8"/>
        <v>89.891544949521403</v>
      </c>
      <c r="C140">
        <f t="shared" si="9"/>
        <v>92.565494805160583</v>
      </c>
      <c r="D140">
        <v>26.087997906156001</v>
      </c>
      <c r="E140">
        <f t="shared" si="10"/>
        <v>35.821805020944545</v>
      </c>
      <c r="F140">
        <f t="shared" si="11"/>
        <v>32.813301934498149</v>
      </c>
      <c r="G140">
        <v>3.08860188029875</v>
      </c>
      <c r="H140">
        <v>89.891544949521403</v>
      </c>
    </row>
    <row r="141" spans="1:8" x14ac:dyDescent="0.35">
      <c r="A141" t="s">
        <v>150</v>
      </c>
      <c r="B141">
        <f t="shared" si="8"/>
        <v>89.550705295511506</v>
      </c>
      <c r="C141">
        <f t="shared" si="9"/>
        <v>92.801398251056327</v>
      </c>
      <c r="D141">
        <v>25.513276632695799</v>
      </c>
      <c r="E141">
        <f t="shared" si="10"/>
        <v>36.268573475538723</v>
      </c>
      <c r="F141">
        <f t="shared" si="11"/>
        <v>33.699414500763261</v>
      </c>
      <c r="G141">
        <v>3.2253144826059099</v>
      </c>
      <c r="H141">
        <v>89.550705295511506</v>
      </c>
    </row>
    <row r="142" spans="1:8" x14ac:dyDescent="0.35">
      <c r="A142" t="s">
        <v>151</v>
      </c>
      <c r="B142">
        <f t="shared" si="8"/>
        <v>89.063378296752006</v>
      </c>
      <c r="C142">
        <f t="shared" si="9"/>
        <v>92.63642312627772</v>
      </c>
      <c r="D142">
        <v>25.914890595067799</v>
      </c>
      <c r="E142">
        <f t="shared" si="10"/>
        <v>36.907355752061861</v>
      </c>
      <c r="F142">
        <f t="shared" si="11"/>
        <v>34.97814473151022</v>
      </c>
      <c r="G142">
        <v>3.36202708491306</v>
      </c>
      <c r="H142">
        <v>89.063378296752006</v>
      </c>
    </row>
    <row r="143" spans="1:8" x14ac:dyDescent="0.35">
      <c r="A143" t="s">
        <v>152</v>
      </c>
      <c r="B143">
        <f t="shared" si="8"/>
        <v>88.726851729137493</v>
      </c>
      <c r="C143">
        <f t="shared" si="9"/>
        <v>92.636034042560652</v>
      </c>
      <c r="D143">
        <v>25.9158394677854</v>
      </c>
      <c r="E143">
        <f t="shared" si="10"/>
        <v>37.348470665699963</v>
      </c>
      <c r="F143">
        <f t="shared" si="11"/>
        <v>35.869378748832546</v>
      </c>
      <c r="G143">
        <v>3.4987396872202101</v>
      </c>
      <c r="H143">
        <v>88.726851729137493</v>
      </c>
    </row>
    <row r="144" spans="1:8" x14ac:dyDescent="0.35">
      <c r="A144" t="s">
        <v>153</v>
      </c>
      <c r="B144">
        <f t="shared" si="8"/>
        <v>90.072484663602594</v>
      </c>
      <c r="C144">
        <f t="shared" si="9"/>
        <v>92.860036166167575</v>
      </c>
      <c r="D144">
        <v>25.3708727642762</v>
      </c>
      <c r="E144">
        <f t="shared" si="10"/>
        <v>35.584631454184567</v>
      </c>
      <c r="F144">
        <f t="shared" si="11"/>
        <v>32.345621127827251</v>
      </c>
      <c r="G144">
        <v>3.6354522895273602</v>
      </c>
      <c r="H144">
        <v>90.072484663602594</v>
      </c>
    </row>
    <row r="145" spans="1:8" x14ac:dyDescent="0.35">
      <c r="A145" t="s">
        <v>154</v>
      </c>
      <c r="B145">
        <f t="shared" si="8"/>
        <v>91.713766499315994</v>
      </c>
      <c r="C145">
        <f t="shared" si="9"/>
        <v>93.081823709792701</v>
      </c>
      <c r="D145">
        <v>24.8338779968458</v>
      </c>
      <c r="E145">
        <f t="shared" si="10"/>
        <v>33.43325927472015</v>
      </c>
      <c r="F145">
        <f t="shared" si="11"/>
        <v>28.187634141571543</v>
      </c>
      <c r="G145">
        <v>3.7721648918345201</v>
      </c>
      <c r="H145">
        <v>91.713766499315994</v>
      </c>
    </row>
    <row r="146" spans="1:8" x14ac:dyDescent="0.35">
      <c r="A146" t="s">
        <v>155</v>
      </c>
      <c r="B146">
        <f t="shared" si="8"/>
        <v>92.054298443616602</v>
      </c>
      <c r="C146">
        <f t="shared" si="9"/>
        <v>93.303669335785926</v>
      </c>
      <c r="D146">
        <v>24.299296530074201</v>
      </c>
      <c r="E146">
        <f t="shared" si="10"/>
        <v>32.986894162253762</v>
      </c>
      <c r="F146">
        <f t="shared" si="11"/>
        <v>27.343510835725272</v>
      </c>
      <c r="G146">
        <v>3.9088774941416702</v>
      </c>
      <c r="H146">
        <v>92.054298443616602</v>
      </c>
    </row>
    <row r="147" spans="1:8" x14ac:dyDescent="0.35">
      <c r="A147" t="s">
        <v>156</v>
      </c>
      <c r="B147">
        <f t="shared" si="8"/>
        <v>91.741190347697895</v>
      </c>
      <c r="C147">
        <f t="shared" si="9"/>
        <v>93.5325263258364</v>
      </c>
      <c r="D147">
        <v>23.750477163263898</v>
      </c>
      <c r="E147">
        <f t="shared" si="10"/>
        <v>33.397312429285755</v>
      </c>
      <c r="F147">
        <f t="shared" si="11"/>
        <v>28.119422871828846</v>
      </c>
      <c r="G147">
        <v>4.0455900964488203</v>
      </c>
      <c r="H147">
        <v>91.741190347697895</v>
      </c>
    </row>
    <row r="148" spans="1:8" x14ac:dyDescent="0.35">
      <c r="A148" t="s">
        <v>157</v>
      </c>
      <c r="B148">
        <f t="shared" si="8"/>
        <v>91.638206080146603</v>
      </c>
      <c r="C148">
        <f t="shared" si="9"/>
        <v>93.765164179545522</v>
      </c>
      <c r="D148">
        <v>23.195336762997801</v>
      </c>
      <c r="E148">
        <f t="shared" si="10"/>
        <v>33.532302949080346</v>
      </c>
      <c r="F148">
        <f t="shared" si="11"/>
        <v>28.375786594817182</v>
      </c>
      <c r="G148">
        <v>4.1823026987559704</v>
      </c>
      <c r="H148">
        <v>91.638206080146603</v>
      </c>
    </row>
    <row r="149" spans="1:8" x14ac:dyDescent="0.35">
      <c r="A149" t="s">
        <v>158</v>
      </c>
      <c r="B149">
        <f t="shared" si="8"/>
        <v>91.576338349586607</v>
      </c>
      <c r="C149">
        <f t="shared" si="9"/>
        <v>94.000990838529532</v>
      </c>
      <c r="D149">
        <v>22.635391489016101</v>
      </c>
      <c r="E149">
        <f t="shared" si="10"/>
        <v>33.61339841448865</v>
      </c>
      <c r="F149">
        <f t="shared" si="11"/>
        <v>28.530074174841818</v>
      </c>
      <c r="G149">
        <v>4.3190153010631303</v>
      </c>
      <c r="H149">
        <v>91.576338349586607</v>
      </c>
    </row>
    <row r="150" spans="1:8" x14ac:dyDescent="0.35">
      <c r="A150" t="s">
        <v>159</v>
      </c>
      <c r="B150">
        <f t="shared" si="8"/>
        <v>92.394076226238994</v>
      </c>
      <c r="C150">
        <f t="shared" si="9"/>
        <v>94.218968604257284</v>
      </c>
      <c r="D150">
        <v>22.120319355160198</v>
      </c>
      <c r="E150">
        <f t="shared" si="10"/>
        <v>32.541517595701933</v>
      </c>
      <c r="F150">
        <f t="shared" si="11"/>
        <v>26.507458599906553</v>
      </c>
      <c r="G150">
        <v>4.4557279033702804</v>
      </c>
      <c r="H150">
        <v>92.394076226238994</v>
      </c>
    </row>
    <row r="151" spans="1:8" x14ac:dyDescent="0.35">
      <c r="A151" t="s">
        <v>160</v>
      </c>
      <c r="B151">
        <f t="shared" si="8"/>
        <v>91.562329176007694</v>
      </c>
      <c r="C151">
        <f t="shared" si="9"/>
        <v>94.44133846514795</v>
      </c>
      <c r="D151">
        <v>21.5973188839817</v>
      </c>
      <c r="E151">
        <f t="shared" si="10"/>
        <v>33.631761468072227</v>
      </c>
      <c r="F151">
        <f t="shared" si="11"/>
        <v>28.565039618664933</v>
      </c>
      <c r="G151">
        <v>4.5924405056774296</v>
      </c>
      <c r="H151">
        <v>91.562329176007694</v>
      </c>
    </row>
    <row r="152" spans="1:8" x14ac:dyDescent="0.35">
      <c r="A152" t="s">
        <v>161</v>
      </c>
      <c r="B152">
        <f t="shared" si="8"/>
        <v>91.501307729600995</v>
      </c>
      <c r="C152">
        <f t="shared" si="9"/>
        <v>94.562891270675948</v>
      </c>
      <c r="D152">
        <v>21.3124737883434</v>
      </c>
      <c r="E152">
        <f t="shared" si="10"/>
        <v>33.71174763455106</v>
      </c>
      <c r="F152">
        <f t="shared" si="11"/>
        <v>28.717467705886939</v>
      </c>
      <c r="G152">
        <v>4.7335944128119101</v>
      </c>
      <c r="H152">
        <v>91.501307729600995</v>
      </c>
    </row>
    <row r="153" spans="1:8" x14ac:dyDescent="0.35">
      <c r="A153" t="s">
        <v>162</v>
      </c>
      <c r="B153">
        <f t="shared" si="8"/>
        <v>89.643334429200095</v>
      </c>
      <c r="C153">
        <f t="shared" si="9"/>
        <v>94.450558686127778</v>
      </c>
      <c r="D153">
        <v>21.575686653563299</v>
      </c>
      <c r="E153">
        <f t="shared" si="10"/>
        <v>36.147156338707433</v>
      </c>
      <c r="F153">
        <f t="shared" si="11"/>
        <v>33.457931132852245</v>
      </c>
      <c r="G153">
        <v>4.8747483199463897</v>
      </c>
      <c r="H153">
        <v>89.643334429200095</v>
      </c>
    </row>
    <row r="154" spans="1:8" x14ac:dyDescent="0.35">
      <c r="A154" t="s">
        <v>163</v>
      </c>
      <c r="B154">
        <f t="shared" si="8"/>
        <v>90.103736476572195</v>
      </c>
      <c r="C154">
        <f t="shared" si="9"/>
        <v>94.166247342292493</v>
      </c>
      <c r="D154">
        <v>22.244678813829701</v>
      </c>
      <c r="E154">
        <f t="shared" si="10"/>
        <v>35.543666959533105</v>
      </c>
      <c r="F154">
        <f t="shared" si="11"/>
        <v>32.265033771744839</v>
      </c>
      <c r="G154">
        <v>5.0159022270808702</v>
      </c>
      <c r="H154">
        <v>90.103736476572195</v>
      </c>
    </row>
    <row r="155" spans="1:8" x14ac:dyDescent="0.35">
      <c r="A155" t="s">
        <v>164</v>
      </c>
      <c r="B155">
        <f t="shared" si="8"/>
        <v>90.698510979166997</v>
      </c>
      <c r="C155">
        <f t="shared" si="9"/>
        <v>94.258415288717842</v>
      </c>
      <c r="D155">
        <v>22.027363091010798</v>
      </c>
      <c r="E155">
        <f t="shared" si="10"/>
        <v>34.764043807619608</v>
      </c>
      <c r="F155">
        <f t="shared" si="11"/>
        <v>30.741907113541096</v>
      </c>
      <c r="G155">
        <v>5.1570561342153498</v>
      </c>
      <c r="H155">
        <v>90.698510979166997</v>
      </c>
    </row>
    <row r="156" spans="1:8" x14ac:dyDescent="0.35">
      <c r="A156" t="s">
        <v>165</v>
      </c>
      <c r="B156">
        <f t="shared" si="8"/>
        <v>92.001157426312702</v>
      </c>
      <c r="C156">
        <f t="shared" si="9"/>
        <v>94.416997338731221</v>
      </c>
      <c r="D156">
        <v>21.6544476691009</v>
      </c>
      <c r="E156">
        <f t="shared" si="10"/>
        <v>33.05655075853624</v>
      </c>
      <c r="F156">
        <f t="shared" si="11"/>
        <v>27.474827286313698</v>
      </c>
      <c r="G156">
        <v>5.2982100413498303</v>
      </c>
      <c r="H156">
        <v>92.001157426312702</v>
      </c>
    </row>
    <row r="157" spans="1:8" x14ac:dyDescent="0.35">
      <c r="A157" t="s">
        <v>166</v>
      </c>
      <c r="B157">
        <f t="shared" si="8"/>
        <v>91.696942369305503</v>
      </c>
      <c r="C157">
        <f t="shared" si="9"/>
        <v>94.476966455732665</v>
      </c>
      <c r="D157">
        <v>21.513752830932201</v>
      </c>
      <c r="E157">
        <f t="shared" si="10"/>
        <v>33.455312138805212</v>
      </c>
      <c r="F157">
        <f t="shared" si="11"/>
        <v>28.229500951133442</v>
      </c>
      <c r="G157">
        <v>5.4393639484843099</v>
      </c>
      <c r="H157">
        <v>91.696942369305503</v>
      </c>
    </row>
    <row r="158" spans="1:8" x14ac:dyDescent="0.35">
      <c r="A158" t="s">
        <v>167</v>
      </c>
      <c r="B158">
        <f t="shared" si="8"/>
        <v>90.207543874952293</v>
      </c>
      <c r="C158">
        <f t="shared" si="9"/>
        <v>93.173839849959236</v>
      </c>
      <c r="D158">
        <v>24.6118377153112</v>
      </c>
      <c r="E158">
        <f t="shared" si="10"/>
        <v>35.407597489903928</v>
      </c>
      <c r="F158">
        <f t="shared" si="11"/>
        <v>31.9977520361515</v>
      </c>
      <c r="G158">
        <v>5.5805178556187904</v>
      </c>
      <c r="H158">
        <v>90.207543874952293</v>
      </c>
    </row>
    <row r="159" spans="1:8" x14ac:dyDescent="0.35">
      <c r="A159" t="s">
        <v>168</v>
      </c>
      <c r="B159">
        <f t="shared" si="8"/>
        <v>88.608874664205899</v>
      </c>
      <c r="C159">
        <f t="shared" si="9"/>
        <v>92.026427822127047</v>
      </c>
      <c r="D159">
        <v>27.4123628501798</v>
      </c>
      <c r="E159">
        <f t="shared" si="10"/>
        <v>37.503113561140516</v>
      </c>
      <c r="F159">
        <f t="shared" si="11"/>
        <v>36.183423782329243</v>
      </c>
      <c r="G159">
        <v>5.7216717627532701</v>
      </c>
      <c r="H159">
        <v>88.608874664205899</v>
      </c>
    </row>
    <row r="160" spans="1:8" x14ac:dyDescent="0.35">
      <c r="A160" t="s">
        <v>169</v>
      </c>
      <c r="B160">
        <f t="shared" si="8"/>
        <v>87.546769317869902</v>
      </c>
      <c r="C160">
        <f t="shared" si="9"/>
        <v>92.348371279369474</v>
      </c>
      <c r="D160">
        <v>26.619561403858999</v>
      </c>
      <c r="E160">
        <f t="shared" si="10"/>
        <v>38.895308273863016</v>
      </c>
      <c r="F160">
        <f t="shared" si="11"/>
        <v>39.048768546844144</v>
      </c>
      <c r="G160">
        <v>5.8628256698877497</v>
      </c>
      <c r="H160">
        <v>87.546769317869902</v>
      </c>
    </row>
    <row r="161" spans="1:8" x14ac:dyDescent="0.35">
      <c r="A161" t="s">
        <v>170</v>
      </c>
      <c r="B161">
        <f t="shared" si="8"/>
        <v>87.831231938640201</v>
      </c>
      <c r="C161">
        <f t="shared" si="9"/>
        <v>92.496317289450104</v>
      </c>
      <c r="D161">
        <v>26.2570879465536</v>
      </c>
      <c r="E161">
        <f t="shared" si="10"/>
        <v>38.522438145706907</v>
      </c>
      <c r="F161">
        <f t="shared" si="11"/>
        <v>38.274551475173631</v>
      </c>
      <c r="G161">
        <v>6.0039795770222302</v>
      </c>
      <c r="H161">
        <v>87.831231938640201</v>
      </c>
    </row>
    <row r="162" spans="1:8" x14ac:dyDescent="0.35">
      <c r="A162" t="s">
        <v>171</v>
      </c>
      <c r="B162">
        <f t="shared" si="8"/>
        <v>88.535672373436896</v>
      </c>
      <c r="C162">
        <f t="shared" si="9"/>
        <v>92.660565845574794</v>
      </c>
      <c r="D162">
        <v>25.8560284487071</v>
      </c>
      <c r="E162">
        <f t="shared" si="10"/>
        <v>37.599066229601654</v>
      </c>
      <c r="F162">
        <f t="shared" si="11"/>
        <v>36.378702896375032</v>
      </c>
      <c r="G162">
        <v>6.1451334841567098</v>
      </c>
      <c r="H162">
        <v>88.535672373436896</v>
      </c>
    </row>
    <row r="163" spans="1:8" x14ac:dyDescent="0.35">
      <c r="A163" t="s">
        <v>172</v>
      </c>
      <c r="B163">
        <f t="shared" si="8"/>
        <v>89.502308161120396</v>
      </c>
      <c r="C163">
        <f t="shared" si="9"/>
        <v>92.936405142467478</v>
      </c>
      <c r="D163">
        <v>25.185677922551498</v>
      </c>
      <c r="E163">
        <f t="shared" si="10"/>
        <v>36.332011848052957</v>
      </c>
      <c r="F163">
        <f t="shared" si="11"/>
        <v>33.825784224663074</v>
      </c>
      <c r="G163">
        <v>6.2862873912911903</v>
      </c>
      <c r="H163">
        <v>89.502308161120396</v>
      </c>
    </row>
    <row r="164" spans="1:8" x14ac:dyDescent="0.35">
      <c r="A164" t="s">
        <v>173</v>
      </c>
      <c r="B164">
        <f t="shared" si="8"/>
        <v>90.049705980255297</v>
      </c>
      <c r="C164">
        <f t="shared" si="9"/>
        <v>93.16908401177696</v>
      </c>
      <c r="D164">
        <v>24.623303080301401</v>
      </c>
      <c r="E164">
        <f t="shared" si="10"/>
        <v>35.614489474039459</v>
      </c>
      <c r="F164">
        <f t="shared" si="11"/>
        <v>32.404394527175853</v>
      </c>
      <c r="G164">
        <v>6.3621692962429703</v>
      </c>
      <c r="H164">
        <v>90.049705980255297</v>
      </c>
    </row>
    <row r="165" spans="1:8" x14ac:dyDescent="0.35">
      <c r="A165" t="s">
        <v>174</v>
      </c>
      <c r="B165">
        <f t="shared" si="8"/>
        <v>90.036004197478107</v>
      </c>
      <c r="C165">
        <f t="shared" si="9"/>
        <v>93.391115655293845</v>
      </c>
      <c r="D165">
        <v>24.089274968471202</v>
      </c>
      <c r="E165">
        <f t="shared" si="10"/>
        <v>35.63244960351539</v>
      </c>
      <c r="F165">
        <f t="shared" si="11"/>
        <v>32.43976209550209</v>
      </c>
      <c r="G165">
        <v>6.4380512011947397</v>
      </c>
      <c r="H165">
        <v>90.036004197478107</v>
      </c>
    </row>
    <row r="166" spans="1:8" x14ac:dyDescent="0.35">
      <c r="A166" t="s">
        <v>175</v>
      </c>
      <c r="B166">
        <f t="shared" si="8"/>
        <v>90.123246412136595</v>
      </c>
      <c r="C166">
        <f t="shared" si="9"/>
        <v>93.640874971430534</v>
      </c>
      <c r="D166">
        <v>23.491583158278601</v>
      </c>
      <c r="E166">
        <f t="shared" si="10"/>
        <v>35.518093574339233</v>
      </c>
      <c r="F166">
        <f t="shared" si="11"/>
        <v>32.214752895021569</v>
      </c>
      <c r="G166">
        <v>6.5139331061465198</v>
      </c>
      <c r="H166">
        <v>90.123246412136595</v>
      </c>
    </row>
    <row r="167" spans="1:8" x14ac:dyDescent="0.35">
      <c r="A167" t="s">
        <v>176</v>
      </c>
      <c r="B167">
        <f t="shared" si="8"/>
        <v>90.331047003260494</v>
      </c>
      <c r="C167">
        <f t="shared" si="9"/>
        <v>93.898936235434746</v>
      </c>
      <c r="D167">
        <v>22.877364054672199</v>
      </c>
      <c r="E167">
        <f t="shared" si="10"/>
        <v>35.24571109809871</v>
      </c>
      <c r="F167">
        <f t="shared" si="11"/>
        <v>31.680558235265956</v>
      </c>
      <c r="G167">
        <v>6.5898150110982998</v>
      </c>
      <c r="H167">
        <v>90.331047003260494</v>
      </c>
    </row>
    <row r="168" spans="1:8" x14ac:dyDescent="0.35">
      <c r="A168" t="s">
        <v>177</v>
      </c>
      <c r="B168">
        <f t="shared" si="8"/>
        <v>92.459093082175301</v>
      </c>
      <c r="C168">
        <f t="shared" si="9"/>
        <v>94.169482876135149</v>
      </c>
      <c r="D168">
        <v>22.237042792502098</v>
      </c>
      <c r="E168">
        <f t="shared" si="10"/>
        <v>32.456294295221781</v>
      </c>
      <c r="F168">
        <f t="shared" si="11"/>
        <v>26.34817948182997</v>
      </c>
      <c r="G168">
        <v>6.6656969160500799</v>
      </c>
      <c r="H168">
        <v>92.459093082175301</v>
      </c>
    </row>
    <row r="169" spans="1:8" x14ac:dyDescent="0.35">
      <c r="A169" t="s">
        <v>178</v>
      </c>
      <c r="B169">
        <f t="shared" si="8"/>
        <v>94.234624728216502</v>
      </c>
      <c r="C169">
        <f t="shared" si="9"/>
        <v>94.406199487258561</v>
      </c>
      <c r="D169">
        <v>21.679799730906002</v>
      </c>
      <c r="E169">
        <f t="shared" si="10"/>
        <v>30.128949104448154</v>
      </c>
      <c r="F169">
        <f t="shared" si="11"/>
        <v>22.083416324414159</v>
      </c>
      <c r="G169">
        <v>6.7415788210018599</v>
      </c>
      <c r="H169">
        <v>94.234624728216502</v>
      </c>
    </row>
    <row r="170" spans="1:8" x14ac:dyDescent="0.35">
      <c r="A170" t="s">
        <v>179</v>
      </c>
      <c r="B170">
        <f t="shared" si="8"/>
        <v>94.234624728216502</v>
      </c>
      <c r="C170">
        <f t="shared" si="9"/>
        <v>94.596037064508295</v>
      </c>
      <c r="D170">
        <v>21.2349274359131</v>
      </c>
      <c r="E170">
        <f t="shared" si="10"/>
        <v>30.128949104448154</v>
      </c>
      <c r="F170">
        <f t="shared" si="11"/>
        <v>22.083416324414159</v>
      </c>
      <c r="G170">
        <v>6.8174607259536302</v>
      </c>
      <c r="H170">
        <v>94.234624728216502</v>
      </c>
    </row>
    <row r="171" spans="1:8" x14ac:dyDescent="0.35">
      <c r="A171" t="s">
        <v>180</v>
      </c>
      <c r="B171">
        <f t="shared" si="8"/>
        <v>96.010156374257605</v>
      </c>
      <c r="C171">
        <f t="shared" si="9"/>
        <v>94.344510285974835</v>
      </c>
      <c r="D171">
        <v>21.8247498689128</v>
      </c>
      <c r="E171">
        <f t="shared" si="10"/>
        <v>27.801603913674654</v>
      </c>
      <c r="F171">
        <f t="shared" si="11"/>
        <v>17.976391102959116</v>
      </c>
      <c r="G171">
        <v>6.8933426309054102</v>
      </c>
      <c r="H171">
        <v>96.010156374257605</v>
      </c>
    </row>
    <row r="172" spans="1:8" x14ac:dyDescent="0.35">
      <c r="A172" t="s">
        <v>181</v>
      </c>
      <c r="B172">
        <f t="shared" si="8"/>
        <v>88.741117314330197</v>
      </c>
      <c r="C172">
        <f t="shared" si="9"/>
        <v>93.705391367047213</v>
      </c>
      <c r="D172">
        <v>23.337708645983401</v>
      </c>
      <c r="E172">
        <f t="shared" si="10"/>
        <v>37.329771510905495</v>
      </c>
      <c r="F172">
        <f t="shared" si="11"/>
        <v>35.831461548568164</v>
      </c>
      <c r="G172">
        <v>6.9692245358571903</v>
      </c>
      <c r="H172">
        <v>88.741117314330197</v>
      </c>
    </row>
    <row r="173" spans="1:8" x14ac:dyDescent="0.35">
      <c r="A173" t="s">
        <v>182</v>
      </c>
      <c r="B173">
        <f t="shared" si="8"/>
        <v>88.741117314330197</v>
      </c>
      <c r="C173">
        <f t="shared" si="9"/>
        <v>93.79010515388066</v>
      </c>
      <c r="D173">
        <v>23.135983922345801</v>
      </c>
      <c r="E173">
        <f t="shared" si="10"/>
        <v>37.329771510905495</v>
      </c>
      <c r="F173">
        <f t="shared" si="11"/>
        <v>35.831461548568164</v>
      </c>
      <c r="G173">
        <v>7.0451064408089703</v>
      </c>
      <c r="H173">
        <v>88.741117314330197</v>
      </c>
    </row>
    <row r="174" spans="1:8" x14ac:dyDescent="0.35">
      <c r="A174" t="s">
        <v>183</v>
      </c>
      <c r="B174">
        <f t="shared" si="8"/>
        <v>86.793522811572103</v>
      </c>
      <c r="C174">
        <f t="shared" si="9"/>
        <v>93.797327149639557</v>
      </c>
      <c r="D174">
        <v>23.118803399419299</v>
      </c>
      <c r="E174">
        <f t="shared" si="10"/>
        <v>39.882654592250482</v>
      </c>
      <c r="F174">
        <f t="shared" si="11"/>
        <v>41.123377848434721</v>
      </c>
      <c r="G174">
        <v>7.1209883457607503</v>
      </c>
      <c r="H174">
        <v>86.793522811572103</v>
      </c>
    </row>
    <row r="175" spans="1:8" x14ac:dyDescent="0.35">
      <c r="A175" t="s">
        <v>184</v>
      </c>
      <c r="B175">
        <f t="shared" si="8"/>
        <v>85.828213489021607</v>
      </c>
      <c r="C175">
        <f t="shared" si="9"/>
        <v>91.944725218704249</v>
      </c>
      <c r="D175">
        <v>27.614442763423298</v>
      </c>
      <c r="E175">
        <f t="shared" si="10"/>
        <v>41.147970259507659</v>
      </c>
      <c r="F175">
        <f t="shared" si="11"/>
        <v>43.835290808754372</v>
      </c>
      <c r="G175">
        <v>7.1968702507125197</v>
      </c>
      <c r="H175">
        <v>85.828213489021607</v>
      </c>
    </row>
    <row r="176" spans="1:8" x14ac:dyDescent="0.35">
      <c r="A176" t="s">
        <v>185</v>
      </c>
      <c r="B176">
        <f t="shared" si="8"/>
        <v>86.264689452031504</v>
      </c>
      <c r="C176">
        <f t="shared" si="9"/>
        <v>91.973158232528561</v>
      </c>
      <c r="D176">
        <v>27.5440769662486</v>
      </c>
      <c r="E176">
        <f t="shared" si="10"/>
        <v>40.575842899421282</v>
      </c>
      <c r="F176">
        <f t="shared" si="11"/>
        <v>42.60155028238605</v>
      </c>
      <c r="G176">
        <v>7.2727521556642998</v>
      </c>
      <c r="H176">
        <v>86.264689452031504</v>
      </c>
    </row>
    <row r="177" spans="1:8" x14ac:dyDescent="0.35">
      <c r="A177" t="s">
        <v>186</v>
      </c>
      <c r="B177">
        <f t="shared" si="8"/>
        <v>86.999898145345298</v>
      </c>
      <c r="C177">
        <f t="shared" si="9"/>
        <v>92.266078601132719</v>
      </c>
      <c r="D177">
        <v>26.821684772831698</v>
      </c>
      <c r="E177">
        <f t="shared" si="10"/>
        <v>39.612140325933545</v>
      </c>
      <c r="F177">
        <f t="shared" si="11"/>
        <v>40.551401114613064</v>
      </c>
      <c r="G177">
        <v>7.3486340606160798</v>
      </c>
      <c r="H177">
        <v>86.999898145345298</v>
      </c>
    </row>
    <row r="178" spans="1:8" x14ac:dyDescent="0.35">
      <c r="A178" t="s">
        <v>187</v>
      </c>
      <c r="B178">
        <f t="shared" si="8"/>
        <v>87.320217680919995</v>
      </c>
      <c r="C178">
        <f t="shared" si="9"/>
        <v>92.546177440489856</v>
      </c>
      <c r="D178">
        <v>26.1351897451278</v>
      </c>
      <c r="E178">
        <f t="shared" si="10"/>
        <v>39.192269391899337</v>
      </c>
      <c r="F178">
        <f t="shared" si="11"/>
        <v>39.668978748598839</v>
      </c>
      <c r="G178">
        <v>7.4245159655678599</v>
      </c>
      <c r="H178">
        <v>87.320217680919995</v>
      </c>
    </row>
    <row r="179" spans="1:8" x14ac:dyDescent="0.35">
      <c r="A179" t="s">
        <v>188</v>
      </c>
      <c r="B179">
        <f t="shared" si="8"/>
        <v>87.862928835161</v>
      </c>
      <c r="C179">
        <f t="shared" si="9"/>
        <v>92.827225457527334</v>
      </c>
      <c r="D179">
        <v>25.4505323469667</v>
      </c>
      <c r="E179">
        <f t="shared" si="10"/>
        <v>38.480890240973913</v>
      </c>
      <c r="F179">
        <f t="shared" si="11"/>
        <v>38.188592995280274</v>
      </c>
      <c r="G179">
        <v>7.5003978705196399</v>
      </c>
      <c r="H179">
        <v>87.862928835161</v>
      </c>
    </row>
    <row r="180" spans="1:8" x14ac:dyDescent="0.35">
      <c r="A180" t="s">
        <v>189</v>
      </c>
      <c r="B180">
        <f t="shared" si="8"/>
        <v>88.465994334446094</v>
      </c>
      <c r="C180">
        <f t="shared" si="9"/>
        <v>93.098620322491286</v>
      </c>
      <c r="D180">
        <v>24.793314049097098</v>
      </c>
      <c r="E180">
        <f t="shared" si="10"/>
        <v>37.6903993518861</v>
      </c>
      <c r="F180">
        <f t="shared" si="11"/>
        <v>36.564880699506283</v>
      </c>
      <c r="G180">
        <v>7.5762797754714102</v>
      </c>
      <c r="H180">
        <v>88.465994334446094</v>
      </c>
    </row>
    <row r="181" spans="1:8" x14ac:dyDescent="0.35">
      <c r="A181" t="s">
        <v>190</v>
      </c>
      <c r="B181">
        <f t="shared" si="8"/>
        <v>88.695280017905503</v>
      </c>
      <c r="C181">
        <f t="shared" si="9"/>
        <v>93.299370231873525</v>
      </c>
      <c r="D181">
        <v>24.3096319265604</v>
      </c>
      <c r="E181">
        <f t="shared" si="10"/>
        <v>37.38985447908572</v>
      </c>
      <c r="F181">
        <f t="shared" si="11"/>
        <v>35.953338119757618</v>
      </c>
      <c r="G181">
        <v>7.6521616804231902</v>
      </c>
      <c r="H181">
        <v>88.695280017905503</v>
      </c>
    </row>
    <row r="182" spans="1:8" x14ac:dyDescent="0.35">
      <c r="A182" t="s">
        <v>191</v>
      </c>
      <c r="B182">
        <f t="shared" si="8"/>
        <v>88.856498777828804</v>
      </c>
      <c r="C182">
        <f t="shared" si="9"/>
        <v>93.292219585144636</v>
      </c>
      <c r="D182">
        <v>24.3268247743984</v>
      </c>
      <c r="E182">
        <f t="shared" si="10"/>
        <v>37.178530898114033</v>
      </c>
      <c r="F182">
        <f t="shared" si="11"/>
        <v>35.525230945891316</v>
      </c>
      <c r="G182">
        <v>7.7280435853749703</v>
      </c>
      <c r="H182">
        <v>88.856498777828804</v>
      </c>
    </row>
    <row r="183" spans="1:8" x14ac:dyDescent="0.35">
      <c r="A183" t="s">
        <v>192</v>
      </c>
      <c r="B183">
        <f t="shared" si="8"/>
        <v>89.705467575054698</v>
      </c>
      <c r="C183">
        <f t="shared" si="9"/>
        <v>93.426180854329615</v>
      </c>
      <c r="D183">
        <v>24.0051686188731</v>
      </c>
      <c r="E183">
        <f t="shared" si="10"/>
        <v>36.065712970173415</v>
      </c>
      <c r="F183">
        <f t="shared" si="11"/>
        <v>33.296230000489771</v>
      </c>
      <c r="G183">
        <v>7.8039254903267503</v>
      </c>
      <c r="H183">
        <v>89.705467575054698</v>
      </c>
    </row>
    <row r="184" spans="1:8" x14ac:dyDescent="0.35">
      <c r="A184" t="s">
        <v>193</v>
      </c>
      <c r="B184">
        <f t="shared" si="8"/>
        <v>91.246627509472106</v>
      </c>
      <c r="C184">
        <f t="shared" si="9"/>
        <v>93.583776533943052</v>
      </c>
      <c r="D184">
        <v>23.627942478906299</v>
      </c>
      <c r="E184">
        <f t="shared" si="10"/>
        <v>34.045579355784369</v>
      </c>
      <c r="F184">
        <f t="shared" si="11"/>
        <v>29.355845436796617</v>
      </c>
      <c r="G184">
        <v>7.8798073952785197</v>
      </c>
      <c r="H184">
        <v>91.246627509472106</v>
      </c>
    </row>
    <row r="185" spans="1:8" x14ac:dyDescent="0.35">
      <c r="A185" t="s">
        <v>194</v>
      </c>
      <c r="B185">
        <f t="shared" si="8"/>
        <v>92.289120470378606</v>
      </c>
      <c r="C185">
        <f t="shared" si="9"/>
        <v>93.782950999659732</v>
      </c>
      <c r="D185">
        <v>23.1530056648289</v>
      </c>
      <c r="E185">
        <f t="shared" si="10"/>
        <v>32.679092318287317</v>
      </c>
      <c r="F185">
        <f t="shared" si="11"/>
        <v>26.765054093332001</v>
      </c>
      <c r="G185">
        <v>7.9556893002302997</v>
      </c>
      <c r="H185">
        <v>92.289120470378606</v>
      </c>
    </row>
    <row r="186" spans="1:8" x14ac:dyDescent="0.35">
      <c r="A186" t="s">
        <v>195</v>
      </c>
      <c r="B186">
        <f t="shared" si="8"/>
        <v>91.778103726605593</v>
      </c>
      <c r="C186">
        <f t="shared" si="9"/>
        <v>93.990536284489593</v>
      </c>
      <c r="D186">
        <v>22.660155192081699</v>
      </c>
      <c r="E186">
        <f t="shared" si="10"/>
        <v>33.348926823167396</v>
      </c>
      <c r="F186">
        <f t="shared" si="11"/>
        <v>28.027672679236527</v>
      </c>
      <c r="G186">
        <v>7.9556893002302997</v>
      </c>
      <c r="H186">
        <v>91.778103726605593</v>
      </c>
    </row>
    <row r="187" spans="1:8" x14ac:dyDescent="0.35">
      <c r="A187" t="s">
        <v>196</v>
      </c>
      <c r="B187">
        <f t="shared" si="8"/>
        <v>91.111230412168595</v>
      </c>
      <c r="C187">
        <f t="shared" si="9"/>
        <v>94.151958261656588</v>
      </c>
      <c r="D187">
        <v>22.2784080340722</v>
      </c>
      <c r="E187">
        <f t="shared" si="10"/>
        <v>34.223056216845464</v>
      </c>
      <c r="F187">
        <f t="shared" si="11"/>
        <v>29.69668284598594</v>
      </c>
      <c r="G187">
        <v>7.9556893002302997</v>
      </c>
      <c r="H187">
        <v>91.111230412168595</v>
      </c>
    </row>
    <row r="188" spans="1:8" x14ac:dyDescent="0.35">
      <c r="A188" t="s">
        <v>197</v>
      </c>
      <c r="B188">
        <f t="shared" si="8"/>
        <v>91.336234976316106</v>
      </c>
      <c r="C188">
        <f t="shared" si="9"/>
        <v>94.288018112572416</v>
      </c>
      <c r="D188">
        <v>21.957655008774601</v>
      </c>
      <c r="E188">
        <f t="shared" si="10"/>
        <v>33.928122982938646</v>
      </c>
      <c r="F188">
        <f t="shared" si="11"/>
        <v>29.130830728003499</v>
      </c>
      <c r="G188">
        <v>7.9556893002302997</v>
      </c>
      <c r="H188">
        <v>91.336234976316106</v>
      </c>
    </row>
    <row r="189" spans="1:8" x14ac:dyDescent="0.35">
      <c r="A189" t="s">
        <v>198</v>
      </c>
      <c r="B189">
        <f t="shared" si="8"/>
        <v>92.991254348225198</v>
      </c>
      <c r="C189">
        <f t="shared" si="9"/>
        <v>94.447603189191653</v>
      </c>
      <c r="D189">
        <v>21.582620299742899</v>
      </c>
      <c r="E189">
        <f t="shared" si="10"/>
        <v>31.75874380885411</v>
      </c>
      <c r="F189">
        <f t="shared" si="11"/>
        <v>25.052856232290011</v>
      </c>
      <c r="G189">
        <v>7.9556893002302997</v>
      </c>
      <c r="H189">
        <v>92.991254348225198</v>
      </c>
    </row>
    <row r="190" spans="1:8" x14ac:dyDescent="0.35">
      <c r="A190" t="s">
        <v>199</v>
      </c>
      <c r="B190">
        <f t="shared" si="8"/>
        <v>93.910709160333298</v>
      </c>
      <c r="C190">
        <f t="shared" si="9"/>
        <v>94.60626446226847</v>
      </c>
      <c r="D190">
        <v>21.211010863218998</v>
      </c>
      <c r="E190">
        <f t="shared" si="10"/>
        <v>30.553533673701271</v>
      </c>
      <c r="F190">
        <f t="shared" si="11"/>
        <v>22.849423487594535</v>
      </c>
      <c r="G190">
        <v>7.9556893002302997</v>
      </c>
      <c r="H190">
        <v>93.910709160333298</v>
      </c>
    </row>
    <row r="191" spans="1:8" x14ac:dyDescent="0.35">
      <c r="A191" t="s">
        <v>200</v>
      </c>
      <c r="B191">
        <f t="shared" si="8"/>
        <v>94.340101892646899</v>
      </c>
      <c r="C191">
        <f t="shared" si="9"/>
        <v>94.700701498403106</v>
      </c>
      <c r="D191">
        <v>20.990415747282899</v>
      </c>
      <c r="E191">
        <f t="shared" si="10"/>
        <v>29.990690925879012</v>
      </c>
      <c r="F191">
        <f t="shared" si="11"/>
        <v>21.835115458176272</v>
      </c>
      <c r="G191">
        <v>7.9556893002302997</v>
      </c>
      <c r="H191">
        <v>94.340101892646899</v>
      </c>
    </row>
    <row r="192" spans="1:8" x14ac:dyDescent="0.35">
      <c r="A192" t="s">
        <v>201</v>
      </c>
      <c r="B192">
        <f t="shared" si="8"/>
        <v>91.905168559583899</v>
      </c>
      <c r="C192">
        <f t="shared" si="9"/>
        <v>94.498689580503452</v>
      </c>
      <c r="D192">
        <v>21.462831797925801</v>
      </c>
      <c r="E192">
        <f t="shared" si="10"/>
        <v>33.182371792392317</v>
      </c>
      <c r="F192">
        <f t="shared" si="11"/>
        <v>27.712409690249849</v>
      </c>
      <c r="G192">
        <v>7.9556893002302997</v>
      </c>
      <c r="H192">
        <v>91.905168559583899</v>
      </c>
    </row>
    <row r="193" spans="1:8" x14ac:dyDescent="0.35">
      <c r="A193" t="s">
        <v>202</v>
      </c>
      <c r="B193">
        <f t="shared" si="8"/>
        <v>90.692007240682003</v>
      </c>
      <c r="C193">
        <f t="shared" si="9"/>
        <v>94.363958058786224</v>
      </c>
      <c r="D193">
        <v>21.7790332899547</v>
      </c>
      <c r="E193">
        <f t="shared" si="10"/>
        <v>34.772568828572545</v>
      </c>
      <c r="F193">
        <f t="shared" si="11"/>
        <v>30.75845416180978</v>
      </c>
      <c r="G193">
        <v>7.9556893002302997</v>
      </c>
      <c r="H193">
        <v>90.692007240682003</v>
      </c>
    </row>
    <row r="194" spans="1:8" x14ac:dyDescent="0.35">
      <c r="A194" t="s">
        <v>203</v>
      </c>
      <c r="B194">
        <f t="shared" si="8"/>
        <v>91.127879384176097</v>
      </c>
      <c r="C194">
        <f t="shared" si="9"/>
        <v>94.361721492525689</v>
      </c>
      <c r="D194">
        <v>21.784289907736799</v>
      </c>
      <c r="E194">
        <f t="shared" si="10"/>
        <v>34.201232947730894</v>
      </c>
      <c r="F194">
        <f t="shared" si="11"/>
        <v>29.654717492805748</v>
      </c>
      <c r="G194">
        <v>7.9556893002302997</v>
      </c>
      <c r="H194">
        <v>91.127879384176097</v>
      </c>
    </row>
    <row r="195" spans="1:8" x14ac:dyDescent="0.35">
      <c r="A195" t="s">
        <v>204</v>
      </c>
      <c r="B195">
        <f t="shared" si="8"/>
        <v>90.832410203776504</v>
      </c>
      <c r="C195">
        <f t="shared" si="9"/>
        <v>94.38785569091678</v>
      </c>
      <c r="D195">
        <v>21.722882064640402</v>
      </c>
      <c r="E195">
        <f t="shared" si="10"/>
        <v>34.588530339786992</v>
      </c>
      <c r="F195">
        <f t="shared" si="11"/>
        <v>30.401762418733274</v>
      </c>
      <c r="G195">
        <v>7.9556893002302997</v>
      </c>
      <c r="H195">
        <v>90.832410203776504</v>
      </c>
    </row>
    <row r="196" spans="1:8" x14ac:dyDescent="0.35">
      <c r="A196" t="s">
        <v>205</v>
      </c>
      <c r="B196">
        <f t="shared" si="8"/>
        <v>90.541507313268198</v>
      </c>
      <c r="C196">
        <f t="shared" si="9"/>
        <v>94.433845655043555</v>
      </c>
      <c r="D196">
        <v>21.614901421455698</v>
      </c>
      <c r="E196">
        <f t="shared" si="10"/>
        <v>34.969842294837854</v>
      </c>
      <c r="F196">
        <f t="shared" si="11"/>
        <v>31.142025538430595</v>
      </c>
      <c r="G196">
        <v>7.9556893002302997</v>
      </c>
      <c r="H196">
        <v>90.541507313268198</v>
      </c>
    </row>
    <row r="197" spans="1:8" x14ac:dyDescent="0.35">
      <c r="A197" t="s">
        <v>206</v>
      </c>
      <c r="B197">
        <f t="shared" si="8"/>
        <v>89.139884377342099</v>
      </c>
      <c r="C197">
        <f t="shared" si="9"/>
        <v>94.397300094370379</v>
      </c>
      <c r="D197">
        <v>21.7006987993243</v>
      </c>
      <c r="E197">
        <f t="shared" si="10"/>
        <v>36.807072516264121</v>
      </c>
      <c r="F197">
        <f t="shared" si="11"/>
        <v>34.776470060252628</v>
      </c>
      <c r="G197">
        <v>7.9556893002302997</v>
      </c>
      <c r="H197">
        <v>89.139884377342099</v>
      </c>
    </row>
    <row r="198" spans="1:8" x14ac:dyDescent="0.35">
      <c r="A198" t="s">
        <v>207</v>
      </c>
      <c r="B198">
        <f t="shared" si="8"/>
        <v>89.196377799312003</v>
      </c>
      <c r="C198">
        <f t="shared" si="9"/>
        <v>94.222812675289958</v>
      </c>
      <c r="D198">
        <v>22.111257364107701</v>
      </c>
      <c r="E198">
        <f t="shared" si="10"/>
        <v>36.733021628900239</v>
      </c>
      <c r="F198">
        <f t="shared" si="11"/>
        <v>34.627772024312655</v>
      </c>
      <c r="G198">
        <v>7.9556893002302997</v>
      </c>
      <c r="H198">
        <v>89.196377799312003</v>
      </c>
    </row>
    <row r="199" spans="1:8" x14ac:dyDescent="0.35">
      <c r="A199" t="s">
        <v>208</v>
      </c>
      <c r="B199">
        <f t="shared" ref="B199:B217" si="12" xml:space="preserve"> H199/(1-$B$5*G199)</f>
        <v>88.246985573437101</v>
      </c>
      <c r="C199">
        <f t="shared" ref="C199:C217" si="13">$B$2/(1+$B$4*((D199/100)/$B$3))</f>
        <v>93.665218543098476</v>
      </c>
      <c r="D199">
        <v>23.433497740271601</v>
      </c>
      <c r="E199">
        <f t="shared" ref="E199:E217" si="14" xml:space="preserve"> (117.22 - B199)/0.7629</f>
        <v>37.977473360286929</v>
      </c>
      <c r="F199">
        <f t="shared" ref="F199:F217" si="15" xml:space="preserve"> ((($B$3 *($B$2-B199))/($B$4*B199)))*100</f>
        <v>37.151980429696209</v>
      </c>
      <c r="G199">
        <v>7.9556893002302997</v>
      </c>
      <c r="H199">
        <v>88.246985573437101</v>
      </c>
    </row>
    <row r="200" spans="1:8" x14ac:dyDescent="0.35">
      <c r="A200" t="s">
        <v>209</v>
      </c>
      <c r="B200">
        <f t="shared" si="12"/>
        <v>87.394158129947201</v>
      </c>
      <c r="C200">
        <f t="shared" si="13"/>
        <v>93.359484310523655</v>
      </c>
      <c r="D200">
        <v>24.165199178723402</v>
      </c>
      <c r="E200">
        <f t="shared" si="14"/>
        <v>39.095349154611085</v>
      </c>
      <c r="F200">
        <f t="shared" si="15"/>
        <v>39.466205104618965</v>
      </c>
      <c r="G200">
        <v>7.9556893002302997</v>
      </c>
      <c r="H200">
        <v>87.394158129947201</v>
      </c>
    </row>
    <row r="201" spans="1:8" x14ac:dyDescent="0.35">
      <c r="A201" t="s">
        <v>210</v>
      </c>
      <c r="B201">
        <f t="shared" si="12"/>
        <v>88.170237930904094</v>
      </c>
      <c r="C201">
        <f t="shared" si="13"/>
        <v>92.647119177342631</v>
      </c>
      <c r="D201">
        <v>25.888808864436701</v>
      </c>
      <c r="E201">
        <f t="shared" si="14"/>
        <v>38.078073232528382</v>
      </c>
      <c r="F201">
        <f t="shared" si="15"/>
        <v>37.35840899161385</v>
      </c>
      <c r="G201">
        <v>7.9556893002302997</v>
      </c>
      <c r="H201">
        <v>88.170237930904094</v>
      </c>
    </row>
    <row r="202" spans="1:8" x14ac:dyDescent="0.35">
      <c r="A202" t="s">
        <v>211</v>
      </c>
      <c r="B202">
        <f t="shared" si="12"/>
        <v>90.209130002369093</v>
      </c>
      <c r="C202">
        <f t="shared" si="13"/>
        <v>92.713291340032868</v>
      </c>
      <c r="D202">
        <v>25.7275854757075</v>
      </c>
      <c r="E202">
        <f t="shared" si="14"/>
        <v>35.405518413462978</v>
      </c>
      <c r="F202">
        <f t="shared" si="15"/>
        <v>31.993672870382671</v>
      </c>
      <c r="G202">
        <v>7.9556893002302997</v>
      </c>
      <c r="H202">
        <v>90.209130002369093</v>
      </c>
    </row>
    <row r="203" spans="1:8" x14ac:dyDescent="0.35">
      <c r="A203" t="s">
        <v>212</v>
      </c>
      <c r="B203">
        <f t="shared" si="12"/>
        <v>92.157964273354395</v>
      </c>
      <c r="C203">
        <f t="shared" si="13"/>
        <v>92.741454134301804</v>
      </c>
      <c r="D203">
        <v>25.659038787390799</v>
      </c>
      <c r="E203">
        <f t="shared" si="14"/>
        <v>32.851010259071444</v>
      </c>
      <c r="F203">
        <f t="shared" si="15"/>
        <v>27.087778692853899</v>
      </c>
      <c r="G203">
        <v>7.9556893002302997</v>
      </c>
      <c r="H203">
        <v>92.157964273354395</v>
      </c>
    </row>
    <row r="204" spans="1:8" x14ac:dyDescent="0.35">
      <c r="A204" t="s">
        <v>213</v>
      </c>
      <c r="B204">
        <f t="shared" si="12"/>
        <v>93.544076112532593</v>
      </c>
      <c r="C204">
        <f t="shared" si="13"/>
        <v>92.744424222102964</v>
      </c>
      <c r="D204">
        <v>25.651812184132002</v>
      </c>
      <c r="E204">
        <f t="shared" si="14"/>
        <v>31.034111793770357</v>
      </c>
      <c r="F204">
        <f t="shared" si="15"/>
        <v>23.722850931953467</v>
      </c>
      <c r="G204">
        <v>0</v>
      </c>
      <c r="H204">
        <v>93.544076112532593</v>
      </c>
    </row>
    <row r="205" spans="1:8" x14ac:dyDescent="0.35">
      <c r="A205" t="s">
        <v>214</v>
      </c>
      <c r="B205">
        <f t="shared" si="12"/>
        <v>94.665946814513205</v>
      </c>
      <c r="C205">
        <f t="shared" si="13"/>
        <v>92.747394500147038</v>
      </c>
      <c r="D205">
        <v>25.644585580873201</v>
      </c>
      <c r="E205">
        <f t="shared" si="14"/>
        <v>29.563577382994879</v>
      </c>
      <c r="F205">
        <f t="shared" si="15"/>
        <v>21.071547899872499</v>
      </c>
      <c r="G205">
        <v>0</v>
      </c>
      <c r="H205">
        <v>94.665946814513205</v>
      </c>
    </row>
    <row r="206" spans="1:8" x14ac:dyDescent="0.35">
      <c r="A206" t="s">
        <v>215</v>
      </c>
      <c r="B206">
        <f t="shared" si="12"/>
        <v>92.197418722156996</v>
      </c>
      <c r="C206">
        <f t="shared" si="13"/>
        <v>92.72270447765132</v>
      </c>
      <c r="D206">
        <v>25.704669784903</v>
      </c>
      <c r="E206">
        <f t="shared" si="14"/>
        <v>32.799293849577928</v>
      </c>
      <c r="F206">
        <f t="shared" si="15"/>
        <v>26.990600016245452</v>
      </c>
      <c r="G206">
        <v>0</v>
      </c>
      <c r="H206">
        <v>92.197418722156996</v>
      </c>
    </row>
    <row r="207" spans="1:8" x14ac:dyDescent="0.35">
      <c r="A207" t="s">
        <v>216</v>
      </c>
      <c r="B207">
        <f t="shared" si="12"/>
        <v>92.733535645691902</v>
      </c>
      <c r="C207">
        <f t="shared" si="13"/>
        <v>92.796596178444076</v>
      </c>
      <c r="D207">
        <v>25.524946577219801</v>
      </c>
      <c r="E207">
        <f t="shared" si="14"/>
        <v>32.096558335703364</v>
      </c>
      <c r="F207">
        <f t="shared" si="15"/>
        <v>25.678307744580025</v>
      </c>
      <c r="G207">
        <v>0</v>
      </c>
      <c r="H207">
        <v>92.733535645691902</v>
      </c>
    </row>
    <row r="208" spans="1:8" x14ac:dyDescent="0.35">
      <c r="A208" t="s">
        <v>217</v>
      </c>
      <c r="B208">
        <f t="shared" si="12"/>
        <v>93.299148177001399</v>
      </c>
      <c r="C208">
        <f t="shared" si="13"/>
        <v>92.856723129800415</v>
      </c>
      <c r="D208">
        <v>25.378913774904198</v>
      </c>
      <c r="E208">
        <f t="shared" si="14"/>
        <v>31.355160339492201</v>
      </c>
      <c r="F208">
        <f t="shared" si="15"/>
        <v>24.310165790455297</v>
      </c>
      <c r="G208">
        <v>0</v>
      </c>
      <c r="H208">
        <v>93.299148177001399</v>
      </c>
    </row>
    <row r="209" spans="1:8" x14ac:dyDescent="0.35">
      <c r="A209" t="s">
        <v>218</v>
      </c>
      <c r="B209">
        <f t="shared" si="12"/>
        <v>94.536960736998296</v>
      </c>
      <c r="C209">
        <f t="shared" si="13"/>
        <v>92.913100846914872</v>
      </c>
      <c r="D209">
        <v>25.242158586146701</v>
      </c>
      <c r="E209">
        <f t="shared" si="14"/>
        <v>29.732650757637572</v>
      </c>
      <c r="F209">
        <f t="shared" si="15"/>
        <v>21.373177565047406</v>
      </c>
      <c r="G209">
        <v>0</v>
      </c>
      <c r="H209">
        <v>94.536960736998296</v>
      </c>
    </row>
    <row r="210" spans="1:8" x14ac:dyDescent="0.35">
      <c r="A210" t="s">
        <v>219</v>
      </c>
      <c r="B210">
        <f t="shared" si="12"/>
        <v>96.189267560924506</v>
      </c>
      <c r="C210">
        <f t="shared" si="13"/>
        <v>92.985245752557347</v>
      </c>
      <c r="D210">
        <v>25.067398879416999</v>
      </c>
      <c r="E210">
        <f t="shared" si="14"/>
        <v>27.566827158311039</v>
      </c>
      <c r="F210">
        <f t="shared" si="15"/>
        <v>17.570503720033663</v>
      </c>
      <c r="G210">
        <v>0</v>
      </c>
      <c r="H210">
        <v>96.189267560924506</v>
      </c>
    </row>
    <row r="211" spans="1:8" x14ac:dyDescent="0.35">
      <c r="A211" t="s">
        <v>220</v>
      </c>
      <c r="B211">
        <f t="shared" si="12"/>
        <v>98.206833102678402</v>
      </c>
      <c r="C211">
        <f t="shared" si="13"/>
        <v>93.051339734433867</v>
      </c>
      <c r="D211">
        <v>24.907534436572998</v>
      </c>
      <c r="E211">
        <f t="shared" si="14"/>
        <v>24.922226893854496</v>
      </c>
      <c r="F211">
        <f t="shared" si="15"/>
        <v>13.100725626806403</v>
      </c>
      <c r="G211">
        <v>0</v>
      </c>
      <c r="H211">
        <v>98.206833102678402</v>
      </c>
    </row>
    <row r="212" spans="1:8" x14ac:dyDescent="0.35">
      <c r="A212" t="s">
        <v>221</v>
      </c>
      <c r="B212">
        <f t="shared" si="12"/>
        <v>97.368186090897893</v>
      </c>
      <c r="C212">
        <f t="shared" si="13"/>
        <v>93.093890236950358</v>
      </c>
      <c r="D212">
        <v>24.8047357611104</v>
      </c>
      <c r="E212">
        <f t="shared" si="14"/>
        <v>26.021515151529826</v>
      </c>
      <c r="F212">
        <f t="shared" si="15"/>
        <v>14.936194622689092</v>
      </c>
      <c r="G212">
        <v>0</v>
      </c>
      <c r="H212">
        <v>97.368186090897893</v>
      </c>
    </row>
    <row r="213" spans="1:8" x14ac:dyDescent="0.35">
      <c r="A213" t="s">
        <v>222</v>
      </c>
      <c r="B213">
        <f t="shared" si="12"/>
        <v>97.058323360595594</v>
      </c>
      <c r="C213">
        <f t="shared" si="13"/>
        <v>93.083029483667588</v>
      </c>
      <c r="D213">
        <v>24.830965556009001</v>
      </c>
      <c r="E213">
        <f t="shared" si="14"/>
        <v>26.427679432958978</v>
      </c>
      <c r="F213">
        <f t="shared" si="15"/>
        <v>15.622387355064395</v>
      </c>
      <c r="G213">
        <v>0</v>
      </c>
      <c r="H213">
        <v>97.058323360595594</v>
      </c>
    </row>
    <row r="214" spans="1:8" x14ac:dyDescent="0.35">
      <c r="A214" t="s">
        <v>223</v>
      </c>
      <c r="B214">
        <f t="shared" si="12"/>
        <v>95.755312777065797</v>
      </c>
      <c r="C214">
        <f t="shared" si="13"/>
        <v>93.130907376774147</v>
      </c>
      <c r="D214">
        <v>24.7153816619062</v>
      </c>
      <c r="E214">
        <f t="shared" si="14"/>
        <v>28.13564978756613</v>
      </c>
      <c r="F214">
        <f t="shared" si="15"/>
        <v>18.556514398476889</v>
      </c>
      <c r="G214">
        <v>0</v>
      </c>
      <c r="H214">
        <v>95.755312777065797</v>
      </c>
    </row>
    <row r="215" spans="1:8" x14ac:dyDescent="0.35">
      <c r="A215" t="s">
        <v>224</v>
      </c>
      <c r="B215">
        <f t="shared" si="12"/>
        <v>96.855821210384605</v>
      </c>
      <c r="C215">
        <f t="shared" si="13"/>
        <v>93.174607564262843</v>
      </c>
      <c r="D215">
        <v>24.609987020952701</v>
      </c>
      <c r="E215">
        <f t="shared" si="14"/>
        <v>26.69311677757949</v>
      </c>
      <c r="F215">
        <f t="shared" si="15"/>
        <v>16.073201735938653</v>
      </c>
      <c r="G215">
        <v>0</v>
      </c>
      <c r="H215">
        <v>96.855821210384605</v>
      </c>
    </row>
    <row r="216" spans="1:8" x14ac:dyDescent="0.35">
      <c r="A216" t="s">
        <v>225</v>
      </c>
      <c r="B216">
        <f t="shared" si="12"/>
        <v>95.565330515737003</v>
      </c>
      <c r="C216">
        <f t="shared" si="13"/>
        <v>93.199969532340717</v>
      </c>
      <c r="D216">
        <v>24.548865205684098</v>
      </c>
      <c r="E216">
        <f t="shared" si="14"/>
        <v>28.384676214789614</v>
      </c>
      <c r="F216">
        <f t="shared" si="15"/>
        <v>18.991001053935317</v>
      </c>
      <c r="G216">
        <v>0</v>
      </c>
      <c r="H216">
        <v>95.565330515737003</v>
      </c>
    </row>
    <row r="217" spans="1:8" x14ac:dyDescent="0.35">
      <c r="A217" t="s">
        <v>226</v>
      </c>
      <c r="B217">
        <f t="shared" si="12"/>
        <v>94.332144972745795</v>
      </c>
      <c r="C217">
        <f t="shared" si="13"/>
        <v>92.975034069710304</v>
      </c>
      <c r="D217">
        <v>25.092118600356699</v>
      </c>
      <c r="E217">
        <f t="shared" si="14"/>
        <v>30.001120759279335</v>
      </c>
      <c r="F217">
        <f t="shared" si="15"/>
        <v>21.853827258331599</v>
      </c>
      <c r="G217">
        <v>0</v>
      </c>
      <c r="H217">
        <v>94.332144972745795</v>
      </c>
    </row>
    <row r="218" spans="1:8" x14ac:dyDescent="0.35">
      <c r="A218" t="s">
        <v>227</v>
      </c>
      <c r="B218">
        <f t="shared" ref="B218:B264" si="16" xml:space="preserve"> H218/(1-$B$5*G218)</f>
        <v>92.654768622631806</v>
      </c>
      <c r="C218">
        <f t="shared" ref="C218:C264" si="17">$B$2/(1+$B$4*((D218/100)/$B$3))</f>
        <v>90.795832551545118</v>
      </c>
      <c r="D218">
        <v>30.494581167153999</v>
      </c>
      <c r="E218">
        <f t="shared" ref="E218:E264" si="18" xml:space="preserve"> (117.22 - B218)/0.7629</f>
        <v>32.199805187269881</v>
      </c>
      <c r="F218">
        <f t="shared" ref="F218:F264" si="19" xml:space="preserve"> ((($B$3 *($B$2-B218))/($B$4*B218)))*100</f>
        <v>25.870159807183295</v>
      </c>
      <c r="G218">
        <v>0</v>
      </c>
      <c r="H218">
        <v>92.654768622631806</v>
      </c>
    </row>
    <row r="219" spans="1:8" x14ac:dyDescent="0.35">
      <c r="A219" t="s">
        <v>228</v>
      </c>
      <c r="B219">
        <f t="shared" si="16"/>
        <v>92.809903337080101</v>
      </c>
      <c r="C219">
        <f t="shared" si="17"/>
        <v>91.087588243182097</v>
      </c>
      <c r="D219">
        <v>29.756301592032699</v>
      </c>
      <c r="E219">
        <f t="shared" si="18"/>
        <v>31.996456498780834</v>
      </c>
      <c r="F219">
        <f t="shared" si="19"/>
        <v>25.492610628871866</v>
      </c>
      <c r="G219">
        <v>0</v>
      </c>
      <c r="H219">
        <v>92.809903337080101</v>
      </c>
    </row>
    <row r="220" spans="1:8" x14ac:dyDescent="0.35">
      <c r="A220" t="s">
        <v>229</v>
      </c>
      <c r="B220">
        <f t="shared" si="16"/>
        <v>91.932959796892405</v>
      </c>
      <c r="C220">
        <f t="shared" si="17"/>
        <v>90.59210042014729</v>
      </c>
      <c r="D220">
        <v>31.0129393030074</v>
      </c>
      <c r="E220">
        <f t="shared" si="18"/>
        <v>33.145943378041153</v>
      </c>
      <c r="F220">
        <f t="shared" si="19"/>
        <v>27.643572467671845</v>
      </c>
      <c r="G220">
        <v>0</v>
      </c>
      <c r="H220">
        <v>91.932959796892405</v>
      </c>
    </row>
    <row r="221" spans="1:8" x14ac:dyDescent="0.35">
      <c r="A221" t="s">
        <v>230</v>
      </c>
      <c r="B221">
        <f t="shared" si="16"/>
        <v>91.187886603887804</v>
      </c>
      <c r="C221">
        <f t="shared" si="17"/>
        <v>90.555766850505307</v>
      </c>
      <c r="D221">
        <v>31.105628316753201</v>
      </c>
      <c r="E221">
        <f t="shared" si="18"/>
        <v>34.122576217213521</v>
      </c>
      <c r="F221">
        <f t="shared" si="19"/>
        <v>29.50359060957965</v>
      </c>
      <c r="G221">
        <v>0</v>
      </c>
      <c r="H221">
        <v>91.187886603887804</v>
      </c>
    </row>
    <row r="222" spans="1:8" x14ac:dyDescent="0.35">
      <c r="A222" t="s">
        <v>231</v>
      </c>
      <c r="B222">
        <f t="shared" si="16"/>
        <v>91.187886603887804</v>
      </c>
      <c r="C222">
        <f t="shared" si="17"/>
        <v>90.761228480390784</v>
      </c>
      <c r="D222">
        <v>30.582460661745898</v>
      </c>
      <c r="E222">
        <f t="shared" si="18"/>
        <v>34.122576217213521</v>
      </c>
      <c r="F222">
        <f t="shared" si="19"/>
        <v>29.50359060957965</v>
      </c>
      <c r="G222">
        <v>0</v>
      </c>
      <c r="H222">
        <v>91.187886603887804</v>
      </c>
    </row>
    <row r="223" spans="1:8" x14ac:dyDescent="0.35">
      <c r="A223" t="s">
        <v>232</v>
      </c>
      <c r="B223">
        <f t="shared" si="16"/>
        <v>90.930464249934701</v>
      </c>
      <c r="C223">
        <f t="shared" si="17"/>
        <v>90.257893544227542</v>
      </c>
      <c r="D223">
        <v>31.868333880808699</v>
      </c>
      <c r="E223">
        <f t="shared" si="18"/>
        <v>34.460002293964209</v>
      </c>
      <c r="F223">
        <f t="shared" si="19"/>
        <v>30.153310755877587</v>
      </c>
      <c r="G223">
        <v>0</v>
      </c>
      <c r="H223">
        <v>90.930464249934701</v>
      </c>
    </row>
    <row r="224" spans="1:8" x14ac:dyDescent="0.35">
      <c r="A224" t="s">
        <v>233</v>
      </c>
      <c r="B224">
        <f t="shared" si="16"/>
        <v>90.540474481035204</v>
      </c>
      <c r="C224">
        <f t="shared" si="17"/>
        <v>89.253320072096557</v>
      </c>
      <c r="D224">
        <v>34.478083042584601</v>
      </c>
      <c r="E224">
        <f t="shared" si="18"/>
        <v>34.971196118711227</v>
      </c>
      <c r="F224">
        <f t="shared" si="19"/>
        <v>31.144662270077344</v>
      </c>
      <c r="G224">
        <v>0</v>
      </c>
      <c r="H224">
        <v>90.540474481035204</v>
      </c>
    </row>
    <row r="225" spans="1:8" x14ac:dyDescent="0.35">
      <c r="A225" t="s">
        <v>234</v>
      </c>
      <c r="B225">
        <f t="shared" si="16"/>
        <v>90.540474481035204</v>
      </c>
      <c r="C225">
        <f t="shared" si="17"/>
        <v>88.426554230670149</v>
      </c>
      <c r="D225">
        <v>36.670393613875802</v>
      </c>
      <c r="E225">
        <f t="shared" si="18"/>
        <v>34.971196118711227</v>
      </c>
      <c r="F225">
        <f t="shared" si="19"/>
        <v>31.144662270077344</v>
      </c>
      <c r="G225">
        <v>0</v>
      </c>
      <c r="H225">
        <v>90.540474481035204</v>
      </c>
    </row>
    <row r="226" spans="1:8" x14ac:dyDescent="0.35">
      <c r="A226" t="s">
        <v>235</v>
      </c>
      <c r="B226">
        <f t="shared" si="16"/>
        <v>91.700890388738401</v>
      </c>
      <c r="C226">
        <f t="shared" si="17"/>
        <v>88.395930295674518</v>
      </c>
      <c r="D226">
        <v>36.752385835974501</v>
      </c>
      <c r="E226">
        <f t="shared" si="18"/>
        <v>33.450137123163714</v>
      </c>
      <c r="F226">
        <f t="shared" si="19"/>
        <v>28.219674934165717</v>
      </c>
      <c r="G226">
        <v>0</v>
      </c>
      <c r="H226">
        <v>91.700890388738401</v>
      </c>
    </row>
    <row r="227" spans="1:8" x14ac:dyDescent="0.35">
      <c r="A227" t="s">
        <v>236</v>
      </c>
      <c r="B227">
        <f t="shared" si="16"/>
        <v>91.279753308598998</v>
      </c>
      <c r="C227">
        <f t="shared" si="17"/>
        <v>88.541346511219842</v>
      </c>
      <c r="D227">
        <v>36.363554659059503</v>
      </c>
      <c r="E227">
        <f t="shared" si="18"/>
        <v>34.002158462971558</v>
      </c>
      <c r="F227">
        <f t="shared" si="19"/>
        <v>29.272611254087643</v>
      </c>
      <c r="G227">
        <v>0</v>
      </c>
      <c r="H227">
        <v>91.279753308598998</v>
      </c>
    </row>
    <row r="228" spans="1:8" x14ac:dyDescent="0.35">
      <c r="A228" t="s">
        <v>237</v>
      </c>
      <c r="B228">
        <f t="shared" si="16"/>
        <v>90.857174218345804</v>
      </c>
      <c r="C228">
        <f t="shared" si="17"/>
        <v>88.900380495422041</v>
      </c>
      <c r="D228">
        <v>35.408974394312402</v>
      </c>
      <c r="E228">
        <f t="shared" si="18"/>
        <v>34.556069972020175</v>
      </c>
      <c r="F228">
        <f t="shared" si="19"/>
        <v>30.338964157061412</v>
      </c>
      <c r="G228">
        <v>0</v>
      </c>
      <c r="H228">
        <v>90.857174218345804</v>
      </c>
    </row>
    <row r="229" spans="1:8" x14ac:dyDescent="0.35">
      <c r="A229" t="s">
        <v>238</v>
      </c>
      <c r="B229">
        <f t="shared" si="16"/>
        <v>90.536140475912205</v>
      </c>
      <c r="C229">
        <f t="shared" si="17"/>
        <v>88.667691406775447</v>
      </c>
      <c r="D229">
        <v>36.0267540933433</v>
      </c>
      <c r="E229">
        <f t="shared" si="18"/>
        <v>34.976877079679895</v>
      </c>
      <c r="F229">
        <f t="shared" si="19"/>
        <v>31.155727267383021</v>
      </c>
      <c r="G229">
        <v>0</v>
      </c>
      <c r="H229">
        <v>90.536140475912205</v>
      </c>
    </row>
    <row r="230" spans="1:8" x14ac:dyDescent="0.35">
      <c r="A230" t="s">
        <v>239</v>
      </c>
      <c r="B230">
        <f t="shared" si="16"/>
        <v>90.259980389787899</v>
      </c>
      <c r="C230">
        <f t="shared" si="17"/>
        <v>88.978554629353553</v>
      </c>
      <c r="D230">
        <v>35.202150482981899</v>
      </c>
      <c r="E230">
        <f t="shared" si="18"/>
        <v>35.338864346850308</v>
      </c>
      <c r="F230">
        <f t="shared" si="19"/>
        <v>31.862972995496541</v>
      </c>
      <c r="G230">
        <v>0</v>
      </c>
      <c r="H230">
        <v>90.259980389787899</v>
      </c>
    </row>
    <row r="231" spans="1:8" x14ac:dyDescent="0.35">
      <c r="A231" t="s">
        <v>240</v>
      </c>
      <c r="B231">
        <f t="shared" si="16"/>
        <v>90.106837566112006</v>
      </c>
      <c r="C231">
        <f t="shared" si="17"/>
        <v>89.443839943216886</v>
      </c>
      <c r="D231">
        <v>33.978632949764602</v>
      </c>
      <c r="E231">
        <f t="shared" si="18"/>
        <v>35.539602089248909</v>
      </c>
      <c r="F231">
        <f t="shared" si="19"/>
        <v>32.257040208923769</v>
      </c>
      <c r="G231">
        <v>0</v>
      </c>
      <c r="H231">
        <v>90.106837566112006</v>
      </c>
    </row>
    <row r="232" spans="1:8" x14ac:dyDescent="0.35">
      <c r="A232" t="s">
        <v>241</v>
      </c>
      <c r="B232">
        <f t="shared" si="16"/>
        <v>90.285311021201693</v>
      </c>
      <c r="C232">
        <f t="shared" si="17"/>
        <v>89.481081607720043</v>
      </c>
      <c r="D232">
        <v>33.881251988418803</v>
      </c>
      <c r="E232">
        <f t="shared" si="18"/>
        <v>35.305661264645835</v>
      </c>
      <c r="F232">
        <f t="shared" si="19"/>
        <v>31.797921045838013</v>
      </c>
      <c r="G232">
        <v>0</v>
      </c>
      <c r="H232">
        <v>90.285311021201693</v>
      </c>
    </row>
    <row r="233" spans="1:8" x14ac:dyDescent="0.35">
      <c r="A233" t="s">
        <v>242</v>
      </c>
      <c r="B233">
        <f t="shared" si="16"/>
        <v>90.132588170227095</v>
      </c>
      <c r="C233">
        <f t="shared" si="17"/>
        <v>89.557964200023875</v>
      </c>
      <c r="D233">
        <v>33.680472559087697</v>
      </c>
      <c r="E233">
        <f t="shared" si="18"/>
        <v>35.505848511958192</v>
      </c>
      <c r="F233">
        <f t="shared" si="19"/>
        <v>32.190685084581091</v>
      </c>
      <c r="G233">
        <v>0</v>
      </c>
      <c r="H233">
        <v>90.132588170227095</v>
      </c>
    </row>
    <row r="234" spans="1:8" x14ac:dyDescent="0.35">
      <c r="A234" t="s">
        <v>243</v>
      </c>
      <c r="B234">
        <f t="shared" si="16"/>
        <v>91.224769878188795</v>
      </c>
      <c r="C234">
        <f t="shared" si="17"/>
        <v>89.618408259265735</v>
      </c>
      <c r="D234">
        <v>33.522864355579301</v>
      </c>
      <c r="E234">
        <f t="shared" si="18"/>
        <v>34.074230071845854</v>
      </c>
      <c r="F234">
        <f t="shared" si="19"/>
        <v>29.410799540916837</v>
      </c>
      <c r="G234">
        <v>0</v>
      </c>
      <c r="H234">
        <v>91.224769878188795</v>
      </c>
    </row>
    <row r="235" spans="1:8" x14ac:dyDescent="0.35">
      <c r="A235" t="s">
        <v>244</v>
      </c>
      <c r="B235">
        <f t="shared" si="16"/>
        <v>91.567717665916106</v>
      </c>
      <c r="C235">
        <f t="shared" si="17"/>
        <v>89.723243689779792</v>
      </c>
      <c r="D235">
        <v>33.250008972594699</v>
      </c>
      <c r="E235">
        <f t="shared" si="18"/>
        <v>33.624698301328998</v>
      </c>
      <c r="F235">
        <f t="shared" si="19"/>
        <v>28.551589240728308</v>
      </c>
      <c r="G235">
        <v>0</v>
      </c>
      <c r="H235">
        <v>91.567717665916106</v>
      </c>
    </row>
    <row r="236" spans="1:8" x14ac:dyDescent="0.35">
      <c r="A236" t="s">
        <v>245</v>
      </c>
      <c r="B236">
        <f t="shared" si="16"/>
        <v>93.226674705982802</v>
      </c>
      <c r="C236">
        <f t="shared" si="17"/>
        <v>89.850095891005736</v>
      </c>
      <c r="D236">
        <v>32.920701844085499</v>
      </c>
      <c r="E236">
        <f t="shared" si="18"/>
        <v>31.450157679928164</v>
      </c>
      <c r="F236">
        <f t="shared" si="19"/>
        <v>24.484542237441751</v>
      </c>
      <c r="G236">
        <v>0</v>
      </c>
      <c r="H236">
        <v>93.226674705982802</v>
      </c>
    </row>
    <row r="237" spans="1:8" x14ac:dyDescent="0.35">
      <c r="A237" t="s">
        <v>246</v>
      </c>
      <c r="B237">
        <f t="shared" si="16"/>
        <v>93.024895916720297</v>
      </c>
      <c r="C237">
        <f t="shared" si="17"/>
        <v>89.959835051464538</v>
      </c>
      <c r="D237">
        <v>32.6365692391377</v>
      </c>
      <c r="E237">
        <f t="shared" si="18"/>
        <v>31.714646851854372</v>
      </c>
      <c r="F237">
        <f t="shared" si="19"/>
        <v>24.971468008166283</v>
      </c>
      <c r="G237">
        <v>0</v>
      </c>
      <c r="H237">
        <v>93.024895916720297</v>
      </c>
    </row>
    <row r="238" spans="1:8" x14ac:dyDescent="0.35">
      <c r="A238" t="s">
        <v>247</v>
      </c>
      <c r="B238">
        <f t="shared" si="16"/>
        <v>92.556138660769903</v>
      </c>
      <c r="C238">
        <f t="shared" si="17"/>
        <v>89.857376903043701</v>
      </c>
      <c r="D238">
        <v>32.901828619733003</v>
      </c>
      <c r="E238">
        <f t="shared" si="18"/>
        <v>32.329088136361378</v>
      </c>
      <c r="F238">
        <f t="shared" si="19"/>
        <v>26.11085227307337</v>
      </c>
      <c r="G238">
        <v>0</v>
      </c>
      <c r="H238">
        <v>92.556138660769903</v>
      </c>
    </row>
    <row r="239" spans="1:8" x14ac:dyDescent="0.35">
      <c r="A239" t="s">
        <v>248</v>
      </c>
      <c r="B239">
        <f t="shared" si="16"/>
        <v>91.452917344981898</v>
      </c>
      <c r="C239">
        <f t="shared" si="17"/>
        <v>89.495442701922585</v>
      </c>
      <c r="D239">
        <v>33.843721689773297</v>
      </c>
      <c r="E239">
        <f t="shared" si="18"/>
        <v>33.775177159546601</v>
      </c>
      <c r="F239">
        <f t="shared" si="19"/>
        <v>28.838488735644184</v>
      </c>
      <c r="G239">
        <v>0</v>
      </c>
      <c r="H239">
        <v>91.452917344981898</v>
      </c>
    </row>
    <row r="240" spans="1:8" x14ac:dyDescent="0.35">
      <c r="A240" t="s">
        <v>249</v>
      </c>
      <c r="B240">
        <f t="shared" si="16"/>
        <v>91.437113142573196</v>
      </c>
      <c r="C240">
        <f t="shared" si="17"/>
        <v>89.496951822098268</v>
      </c>
      <c r="D240">
        <v>33.8397785579551</v>
      </c>
      <c r="E240">
        <f t="shared" si="18"/>
        <v>33.795893114991223</v>
      </c>
      <c r="F240">
        <f t="shared" si="19"/>
        <v>28.87804171003917</v>
      </c>
      <c r="G240">
        <v>0</v>
      </c>
      <c r="H240">
        <v>91.437113142573196</v>
      </c>
    </row>
    <row r="241" spans="1:8" x14ac:dyDescent="0.35">
      <c r="A241" t="s">
        <v>250</v>
      </c>
      <c r="B241">
        <f t="shared" si="16"/>
        <v>91.403378970908193</v>
      </c>
      <c r="C241">
        <f t="shared" si="17"/>
        <v>89.297454919934339</v>
      </c>
      <c r="D241">
        <v>34.362193350928102</v>
      </c>
      <c r="E241">
        <f t="shared" si="18"/>
        <v>33.840111455094778</v>
      </c>
      <c r="F241">
        <f t="shared" si="19"/>
        <v>28.962513545066777</v>
      </c>
      <c r="G241">
        <v>0</v>
      </c>
      <c r="H241">
        <v>91.403378970908193</v>
      </c>
    </row>
    <row r="242" spans="1:8" x14ac:dyDescent="0.35">
      <c r="A242" t="s">
        <v>251</v>
      </c>
      <c r="B242">
        <f t="shared" si="16"/>
        <v>90.909854744549804</v>
      </c>
      <c r="C242">
        <f t="shared" si="17"/>
        <v>88.6210162430297</v>
      </c>
      <c r="D242">
        <v>36.151065321793602</v>
      </c>
      <c r="E242">
        <f t="shared" si="18"/>
        <v>34.487016981845841</v>
      </c>
      <c r="F242">
        <f t="shared" si="19"/>
        <v>30.20548712235297</v>
      </c>
      <c r="G242">
        <v>0</v>
      </c>
      <c r="H242">
        <v>90.909854744549804</v>
      </c>
    </row>
    <row r="243" spans="1:8" x14ac:dyDescent="0.35">
      <c r="A243" t="s">
        <v>252</v>
      </c>
      <c r="B243">
        <f t="shared" si="16"/>
        <v>90.862665955683795</v>
      </c>
      <c r="C243">
        <f t="shared" si="17"/>
        <v>89.016353774877231</v>
      </c>
      <c r="D243">
        <v>35.102276247107497</v>
      </c>
      <c r="E243">
        <f t="shared" si="18"/>
        <v>34.54887146980758</v>
      </c>
      <c r="F243">
        <f t="shared" si="19"/>
        <v>30.325042475625473</v>
      </c>
      <c r="G243">
        <v>0</v>
      </c>
      <c r="H243">
        <v>90.862665955683795</v>
      </c>
    </row>
    <row r="244" spans="1:8" x14ac:dyDescent="0.35">
      <c r="A244" t="s">
        <v>253</v>
      </c>
      <c r="B244">
        <f t="shared" si="16"/>
        <v>91.821672151572102</v>
      </c>
      <c r="C244">
        <f t="shared" si="17"/>
        <v>89.210900359099213</v>
      </c>
      <c r="D244">
        <v>34.589577186762</v>
      </c>
      <c r="E244">
        <f t="shared" si="18"/>
        <v>33.291817863976796</v>
      </c>
      <c r="F244">
        <f t="shared" si="19"/>
        <v>27.919475928789499</v>
      </c>
      <c r="G244">
        <v>0</v>
      </c>
      <c r="H244">
        <v>91.821672151572102</v>
      </c>
    </row>
    <row r="245" spans="1:8" x14ac:dyDescent="0.35">
      <c r="A245" t="s">
        <v>254</v>
      </c>
      <c r="B245">
        <f t="shared" si="16"/>
        <v>92.880262641201796</v>
      </c>
      <c r="C245">
        <f t="shared" si="17"/>
        <v>89.207725495351923</v>
      </c>
      <c r="D245">
        <v>34.597926126721703</v>
      </c>
      <c r="E245">
        <f t="shared" si="18"/>
        <v>31.904230382485519</v>
      </c>
      <c r="F245">
        <f t="shared" si="19"/>
        <v>25.321793894322774</v>
      </c>
      <c r="G245">
        <v>0</v>
      </c>
      <c r="H245">
        <v>92.880262641201796</v>
      </c>
    </row>
    <row r="246" spans="1:8" x14ac:dyDescent="0.35">
      <c r="A246" t="s">
        <v>255</v>
      </c>
      <c r="B246">
        <f t="shared" si="16"/>
        <v>93.075313683334798</v>
      </c>
      <c r="C246">
        <f t="shared" si="17"/>
        <v>89.041950417542836</v>
      </c>
      <c r="D246">
        <v>35.034692047449397</v>
      </c>
      <c r="E246">
        <f t="shared" si="18"/>
        <v>31.648559859306857</v>
      </c>
      <c r="F246">
        <f t="shared" si="19"/>
        <v>24.849603697211098</v>
      </c>
      <c r="G246">
        <v>0</v>
      </c>
      <c r="H246">
        <v>93.075313683334798</v>
      </c>
    </row>
    <row r="247" spans="1:8" x14ac:dyDescent="0.35">
      <c r="A247" t="s">
        <v>256</v>
      </c>
      <c r="B247">
        <f t="shared" si="16"/>
        <v>92.678274802482306</v>
      </c>
      <c r="C247">
        <f t="shared" si="17"/>
        <v>89.152762223597335</v>
      </c>
      <c r="D247">
        <v>34.742557310828197</v>
      </c>
      <c r="E247">
        <f t="shared" si="18"/>
        <v>32.168993573886084</v>
      </c>
      <c r="F247">
        <f t="shared" si="19"/>
        <v>25.812871897901385</v>
      </c>
      <c r="G247">
        <v>0</v>
      </c>
      <c r="H247">
        <v>92.678274802482306</v>
      </c>
    </row>
    <row r="248" spans="1:8" x14ac:dyDescent="0.35">
      <c r="A248" t="s">
        <v>257</v>
      </c>
      <c r="B248">
        <f t="shared" si="16"/>
        <v>93.078260606356906</v>
      </c>
      <c r="C248">
        <f t="shared" si="17"/>
        <v>89.275336561303604</v>
      </c>
      <c r="D248">
        <v>34.420257618638402</v>
      </c>
      <c r="E248">
        <f t="shared" si="18"/>
        <v>31.644697068610686</v>
      </c>
      <c r="F248">
        <f t="shared" si="19"/>
        <v>24.84248480103351</v>
      </c>
      <c r="G248">
        <v>0</v>
      </c>
      <c r="H248">
        <v>93.078260606356906</v>
      </c>
    </row>
    <row r="249" spans="1:8" x14ac:dyDescent="0.35">
      <c r="A249" t="s">
        <v>258</v>
      </c>
      <c r="B249">
        <f t="shared" si="16"/>
        <v>93.3586230008803</v>
      </c>
      <c r="C249">
        <f t="shared" si="17"/>
        <v>89.412291551599878</v>
      </c>
      <c r="D249">
        <v>34.0611903858197</v>
      </c>
      <c r="E249">
        <f t="shared" si="18"/>
        <v>31.277201466928428</v>
      </c>
      <c r="F249">
        <f t="shared" si="19"/>
        <v>24.167267286002112</v>
      </c>
      <c r="G249">
        <v>0</v>
      </c>
      <c r="H249">
        <v>93.3586230008803</v>
      </c>
    </row>
    <row r="250" spans="1:8" x14ac:dyDescent="0.35">
      <c r="A250" t="s">
        <v>259</v>
      </c>
      <c r="B250">
        <f t="shared" si="16"/>
        <v>92.825209211582404</v>
      </c>
      <c r="C250">
        <f t="shared" si="17"/>
        <v>89.540644402550384</v>
      </c>
      <c r="D250">
        <v>33.7256732440419</v>
      </c>
      <c r="E250">
        <f t="shared" si="18"/>
        <v>31.976393745468073</v>
      </c>
      <c r="F250">
        <f t="shared" si="19"/>
        <v>25.455429332661527</v>
      </c>
      <c r="G250">
        <v>0</v>
      </c>
      <c r="H250">
        <v>92.825209211582404</v>
      </c>
    </row>
    <row r="251" spans="1:8" x14ac:dyDescent="0.35">
      <c r="A251" t="s">
        <v>260</v>
      </c>
      <c r="B251">
        <f t="shared" si="16"/>
        <v>91.657559153081095</v>
      </c>
      <c r="C251">
        <f t="shared" si="17"/>
        <v>89.206493872705963</v>
      </c>
      <c r="D251">
        <v>34.601165085075202</v>
      </c>
      <c r="E251">
        <f t="shared" si="18"/>
        <v>33.50693517750544</v>
      </c>
      <c r="F251">
        <f t="shared" si="19"/>
        <v>28.327566095653989</v>
      </c>
      <c r="G251">
        <v>0</v>
      </c>
      <c r="H251">
        <v>91.657559153081095</v>
      </c>
    </row>
    <row r="252" spans="1:8" x14ac:dyDescent="0.35">
      <c r="A252" t="s">
        <v>261</v>
      </c>
      <c r="B252">
        <f t="shared" si="16"/>
        <v>90.958142906558507</v>
      </c>
      <c r="C252">
        <f t="shared" si="17"/>
        <v>89.285333350189788</v>
      </c>
      <c r="D252">
        <v>34.394010868605399</v>
      </c>
      <c r="E252">
        <f t="shared" si="18"/>
        <v>34.423721448999203</v>
      </c>
      <c r="F252">
        <f t="shared" si="19"/>
        <v>30.083274866229004</v>
      </c>
      <c r="G252">
        <v>0</v>
      </c>
      <c r="H252">
        <v>90.958142906558507</v>
      </c>
    </row>
    <row r="253" spans="1:8" x14ac:dyDescent="0.35">
      <c r="A253" t="s">
        <v>262</v>
      </c>
      <c r="B253">
        <f t="shared" si="16"/>
        <v>91.158984657268704</v>
      </c>
      <c r="C253">
        <f t="shared" si="17"/>
        <v>89.303770594199747</v>
      </c>
      <c r="D253">
        <v>34.345618963715999</v>
      </c>
      <c r="E253">
        <f t="shared" si="18"/>
        <v>34.160460535759988</v>
      </c>
      <c r="F253">
        <f t="shared" si="19"/>
        <v>29.576354699149405</v>
      </c>
      <c r="G253">
        <v>0</v>
      </c>
      <c r="H253">
        <v>91.158984657268704</v>
      </c>
    </row>
    <row r="254" spans="1:8" x14ac:dyDescent="0.35">
      <c r="A254" t="s">
        <v>263</v>
      </c>
      <c r="B254">
        <f t="shared" si="16"/>
        <v>91.422786677936799</v>
      </c>
      <c r="C254">
        <f t="shared" si="17"/>
        <v>89.373673753166173</v>
      </c>
      <c r="D254">
        <v>34.162326743897999</v>
      </c>
      <c r="E254">
        <f t="shared" si="18"/>
        <v>33.814672069816751</v>
      </c>
      <c r="F254">
        <f t="shared" si="19"/>
        <v>28.913908185890076</v>
      </c>
      <c r="G254">
        <v>0</v>
      </c>
      <c r="H254">
        <v>91.422786677936799</v>
      </c>
    </row>
    <row r="255" spans="1:8" x14ac:dyDescent="0.35">
      <c r="A255" t="s">
        <v>264</v>
      </c>
      <c r="B255">
        <f t="shared" si="16"/>
        <v>91.028729533056904</v>
      </c>
      <c r="C255">
        <f t="shared" si="17"/>
        <v>88.90871931244493</v>
      </c>
      <c r="D255">
        <v>35.386895205924603</v>
      </c>
      <c r="E255">
        <f t="shared" si="18"/>
        <v>34.331197361309599</v>
      </c>
      <c r="F255">
        <f t="shared" si="19"/>
        <v>29.904860839472619</v>
      </c>
      <c r="G255">
        <v>0</v>
      </c>
      <c r="H255">
        <v>91.028729533056904</v>
      </c>
    </row>
    <row r="256" spans="1:8" x14ac:dyDescent="0.35">
      <c r="A256" t="s">
        <v>265</v>
      </c>
      <c r="B256">
        <f t="shared" si="16"/>
        <v>90.675749900499895</v>
      </c>
      <c r="C256">
        <f t="shared" si="17"/>
        <v>88.606049330108533</v>
      </c>
      <c r="D256">
        <v>36.190954837889102</v>
      </c>
      <c r="E256">
        <f t="shared" si="18"/>
        <v>34.793878751474772</v>
      </c>
      <c r="F256">
        <f t="shared" si="19"/>
        <v>30.799827061326162</v>
      </c>
      <c r="G256">
        <v>0</v>
      </c>
      <c r="H256">
        <v>90.675749900499895</v>
      </c>
    </row>
    <row r="257" spans="1:8" x14ac:dyDescent="0.35">
      <c r="A257" t="s">
        <v>266</v>
      </c>
      <c r="B257">
        <f t="shared" si="16"/>
        <v>90.518657433349205</v>
      </c>
      <c r="C257">
        <f t="shared" si="17"/>
        <v>88.853833670815376</v>
      </c>
      <c r="D257">
        <v>35.532295356270701</v>
      </c>
      <c r="E257">
        <f t="shared" si="18"/>
        <v>34.999793638289148</v>
      </c>
      <c r="F257">
        <f t="shared" si="19"/>
        <v>31.200373371656866</v>
      </c>
      <c r="G257">
        <v>0</v>
      </c>
      <c r="H257">
        <v>90.518657433349205</v>
      </c>
    </row>
    <row r="258" spans="1:8" x14ac:dyDescent="0.35">
      <c r="A258" t="s">
        <v>267</v>
      </c>
      <c r="B258">
        <f t="shared" si="16"/>
        <v>90.430762862047402</v>
      </c>
      <c r="C258">
        <f t="shared" si="17"/>
        <v>88.690709822041725</v>
      </c>
      <c r="D258">
        <v>35.965496698396599</v>
      </c>
      <c r="E258">
        <f t="shared" si="18"/>
        <v>35.115004768583823</v>
      </c>
      <c r="F258">
        <f t="shared" si="19"/>
        <v>31.425089575072267</v>
      </c>
      <c r="G258">
        <v>0</v>
      </c>
      <c r="H258">
        <v>90.430762862047402</v>
      </c>
    </row>
    <row r="259" spans="1:8" x14ac:dyDescent="0.35">
      <c r="A259" t="s">
        <v>268</v>
      </c>
      <c r="B259">
        <f t="shared" si="16"/>
        <v>90.257741707434604</v>
      </c>
      <c r="C259">
        <f t="shared" si="17"/>
        <v>88.519481736125996</v>
      </c>
      <c r="D259">
        <v>36.421937693637197</v>
      </c>
      <c r="E259">
        <f t="shared" si="18"/>
        <v>35.341798784330045</v>
      </c>
      <c r="F259">
        <f t="shared" si="19"/>
        <v>31.868723943129485</v>
      </c>
      <c r="G259">
        <v>0</v>
      </c>
      <c r="H259">
        <v>90.257741707434604</v>
      </c>
    </row>
    <row r="260" spans="1:8" x14ac:dyDescent="0.35">
      <c r="A260" t="s">
        <v>269</v>
      </c>
      <c r="B260">
        <f t="shared" si="16"/>
        <v>91.302401394171895</v>
      </c>
      <c r="C260">
        <f t="shared" si="17"/>
        <v>88.444163239092447</v>
      </c>
      <c r="D260">
        <v>36.6232731391963</v>
      </c>
      <c r="E260">
        <f t="shared" si="18"/>
        <v>33.972471629083891</v>
      </c>
      <c r="F260">
        <f t="shared" si="19"/>
        <v>29.215738864753803</v>
      </c>
      <c r="G260">
        <v>0</v>
      </c>
      <c r="H260">
        <v>91.302401394171895</v>
      </c>
    </row>
    <row r="261" spans="1:8" x14ac:dyDescent="0.35">
      <c r="A261" t="s">
        <v>270</v>
      </c>
      <c r="B261">
        <f t="shared" si="16"/>
        <v>92.431374885741803</v>
      </c>
      <c r="C261">
        <f t="shared" si="17"/>
        <v>88.259789512417441</v>
      </c>
      <c r="D261">
        <v>37.1175765465319</v>
      </c>
      <c r="E261">
        <f t="shared" si="18"/>
        <v>32.492626968486299</v>
      </c>
      <c r="F261">
        <f t="shared" si="19"/>
        <v>26.416056469584369</v>
      </c>
      <c r="G261">
        <v>0</v>
      </c>
      <c r="H261">
        <v>92.431374885741803</v>
      </c>
    </row>
    <row r="262" spans="1:8" x14ac:dyDescent="0.35">
      <c r="A262" t="s">
        <v>271</v>
      </c>
      <c r="B262">
        <f t="shared" si="16"/>
        <v>93.039400042436299</v>
      </c>
      <c r="C262">
        <f t="shared" si="17"/>
        <v>88.501206922314296</v>
      </c>
      <c r="D262">
        <v>36.470756992747397</v>
      </c>
      <c r="E262">
        <f t="shared" si="18"/>
        <v>31.695635021056102</v>
      </c>
      <c r="F262">
        <f t="shared" si="19"/>
        <v>24.936396689423734</v>
      </c>
      <c r="G262">
        <v>0</v>
      </c>
      <c r="H262">
        <v>93.039400042436299</v>
      </c>
    </row>
    <row r="263" spans="1:8" x14ac:dyDescent="0.35">
      <c r="A263" t="s">
        <v>272</v>
      </c>
      <c r="B263">
        <f t="shared" si="16"/>
        <v>94.4870980493818</v>
      </c>
      <c r="C263">
        <f t="shared" si="17"/>
        <v>88.702545967696437</v>
      </c>
      <c r="D263">
        <v>35.934010319308598</v>
      </c>
      <c r="E263">
        <f t="shared" si="18"/>
        <v>29.79801015941565</v>
      </c>
      <c r="F263">
        <f t="shared" si="19"/>
        <v>21.490000515772685</v>
      </c>
      <c r="G263">
        <v>0</v>
      </c>
      <c r="H263">
        <v>94.4870980493818</v>
      </c>
    </row>
    <row r="264" spans="1:8" x14ac:dyDescent="0.35">
      <c r="A264" t="s">
        <v>273</v>
      </c>
      <c r="B264">
        <f t="shared" si="16"/>
        <v>95.283105547060401</v>
      </c>
      <c r="C264">
        <f t="shared" si="17"/>
        <v>88.999875503097783</v>
      </c>
      <c r="D264">
        <v>35.145805287817602</v>
      </c>
      <c r="E264">
        <f t="shared" si="18"/>
        <v>28.754613255917679</v>
      </c>
      <c r="F264">
        <f t="shared" si="19"/>
        <v>19.639644148196965</v>
      </c>
      <c r="G264">
        <v>0</v>
      </c>
      <c r="H264">
        <v>95.283105547060401</v>
      </c>
    </row>
    <row r="265" spans="1:8" x14ac:dyDescent="0.35">
      <c r="A265" t="s">
        <v>274</v>
      </c>
      <c r="B265">
        <f t="shared" ref="B265:B266" si="20" xml:space="preserve"> H265/(1-$B$5*G265)</f>
        <v>94.769532488572096</v>
      </c>
      <c r="C265">
        <f t="shared" ref="C265:C266" si="21">$B$2/(1+$B$4*((D265/100)/$B$3))</f>
        <v>89.147373434848831</v>
      </c>
      <c r="D265">
        <v>34.756747050838399</v>
      </c>
      <c r="E265">
        <f t="shared" ref="E265:E266" si="22" xml:space="preserve"> (117.22 - B265)/0.7629</f>
        <v>29.427798546897236</v>
      </c>
      <c r="F265">
        <f t="shared" ref="F265:F266" si="23" xml:space="preserve"> ((($B$3 *($B$2-B265))/($B$4*B265)))*100</f>
        <v>20.829910691129154</v>
      </c>
      <c r="G265">
        <v>0</v>
      </c>
      <c r="H265">
        <v>94.769532488572096</v>
      </c>
    </row>
    <row r="266" spans="1:8" x14ac:dyDescent="0.35">
      <c r="A266" t="s">
        <v>275</v>
      </c>
      <c r="B266">
        <f t="shared" si="20"/>
        <v>93.584660215296296</v>
      </c>
      <c r="C266">
        <f t="shared" si="21"/>
        <v>89.032916375718699</v>
      </c>
      <c r="D266">
        <v>35.058540679219703</v>
      </c>
      <c r="E266">
        <f t="shared" si="22"/>
        <v>30.980914647665095</v>
      </c>
      <c r="F266">
        <f t="shared" si="23"/>
        <v>23.625830852466908</v>
      </c>
      <c r="G266">
        <v>0</v>
      </c>
      <c r="H266">
        <v>93.584660215296296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CE2F-1FAA-474A-9C53-F2D5911EFD4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50C6-4CF4-4A0C-9197-47394224CCD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selhausen_SM_EGR_daily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2023-09-04T15:01:05Z</dcterms:created>
  <dcterms:modified xsi:type="dcterms:W3CDTF">2026-10-26T14:29:38Z</dcterms:modified>
</cp:coreProperties>
</file>