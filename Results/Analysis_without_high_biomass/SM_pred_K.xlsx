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ta_3rd_chapter\Depth_sensitivity_analysis_without_high_biomass\"/>
    </mc:Choice>
  </mc:AlternateContent>
  <xr:revisionPtr revIDLastSave="0" documentId="13_ncr:1_{B8D7BFAB-4806-4B09-927F-4DEE5CF1793B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elhausen_SM_Kdose_daily" sheetId="1" r:id="rId1"/>
    <sheet name="Sheet1" sheetId="2" r:id="rId2"/>
  </sheets>
  <definedNames>
    <definedName name="solver_adj" localSheetId="0" hidden="1">selhausen_SM_Kdose_daily!$B$2,selhausen_SM_Kdose_daily!$B$4</definedName>
    <definedName name="solver_cvg" localSheetId="0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0,0001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)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0,075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)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selhausen_SM_Kdose_daily!$K$6</definedName>
    <definedName name="solver_pre" localSheetId="0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0,000001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)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9" i="1" l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282" i="1" l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8" i="1"/>
  <c r="O6" i="1" s="1" a="1"/>
  <c r="F231" i="1" l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8" i="1"/>
  <c r="F8" i="1"/>
  <c r="P6" i="1" l="1" a="1"/>
  <c r="K5" i="1"/>
  <c r="K6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<sst xmlns="http://schemas.openxmlformats.org/spreadsheetml/2006/main" count="446" uniqueCount="437">
  <si>
    <t>Timestamp GMT</t>
  </si>
  <si>
    <t>Parameters</t>
  </si>
  <si>
    <t>Estimates</t>
  </si>
  <si>
    <t>Ndry</t>
  </si>
  <si>
    <t>BD</t>
  </si>
  <si>
    <t>ratio</t>
  </si>
  <si>
    <t>R-squared</t>
  </si>
  <si>
    <t>RMSE</t>
  </si>
  <si>
    <t>SM_predicted_empirical</t>
  </si>
  <si>
    <t>K-dose prediction</t>
  </si>
  <si>
    <t xml:space="preserve">Empirical </t>
  </si>
  <si>
    <t>SM prediction</t>
  </si>
  <si>
    <t>SM_ref</t>
  </si>
  <si>
    <t>Predicted_kdose_1.87</t>
  </si>
  <si>
    <t>SM_predicted_theory</t>
  </si>
  <si>
    <t>Beta</t>
  </si>
  <si>
    <t>R2</t>
  </si>
  <si>
    <t>0-3.5</t>
  </si>
  <si>
    <t>0-7.5</t>
  </si>
  <si>
    <t>0-15</t>
  </si>
  <si>
    <t>Sensitivity weighted SM</t>
  </si>
  <si>
    <t>0-25</t>
  </si>
  <si>
    <t>K</t>
  </si>
  <si>
    <t>Corrected K</t>
  </si>
  <si>
    <t>2023-02-05 00:00:00+00:00</t>
  </si>
  <si>
    <t>2023-02-06 00:00:00+00:00</t>
  </si>
  <si>
    <t>2023-02-07 00:00:00+00:00</t>
  </si>
  <si>
    <t>2023-02-08 00:00:00+00:00</t>
  </si>
  <si>
    <t>2023-02-09 00:00:00+00:00</t>
  </si>
  <si>
    <t>2023-02-10 00:00:00+00:00</t>
  </si>
  <si>
    <t>2023-02-11 00:00:00+00:00</t>
  </si>
  <si>
    <t>2023-02-12 00:00:00+00:00</t>
  </si>
  <si>
    <t>2023-02-13 00:00:00+00:00</t>
  </si>
  <si>
    <t>2023-02-14 00:00:00+00:00</t>
  </si>
  <si>
    <t>2023-02-15 00:00:00+00:00</t>
  </si>
  <si>
    <t>2023-02-16 00:00:00+00:00</t>
  </si>
  <si>
    <t>2023-02-17 00:00:00+00:00</t>
  </si>
  <si>
    <t>2023-02-18 00:00:00+00:00</t>
  </si>
  <si>
    <t>2023-02-19 00:00:00+00:00</t>
  </si>
  <si>
    <t>2023-02-20 00:00:00+00:00</t>
  </si>
  <si>
    <t>2023-02-21 00:00:00+00:00</t>
  </si>
  <si>
    <t>2023-02-22 00:00:00+00:00</t>
  </si>
  <si>
    <t>2023-02-23 00:00:00+00:00</t>
  </si>
  <si>
    <t>2023-02-24 00:00:00+00:00</t>
  </si>
  <si>
    <t>2023-02-25 00:00:00+00:00</t>
  </si>
  <si>
    <t>2023-02-26 00:00:00+00:00</t>
  </si>
  <si>
    <t>2023-02-27 00:00:00+00:00</t>
  </si>
  <si>
    <t>2023-02-28 00:00:00+00:00</t>
  </si>
  <si>
    <t>2023-03-01 00:00:00+00:00</t>
  </si>
  <si>
    <t>2023-03-02 00:00:00+00:00</t>
  </si>
  <si>
    <t>2023-03-03 00:00:00+00:00</t>
  </si>
  <si>
    <t>2023-03-04 00:00:00+00:00</t>
  </si>
  <si>
    <t>2023-03-05 00:00:00+00:00</t>
  </si>
  <si>
    <t>2023-03-06 00:00:00+00:00</t>
  </si>
  <si>
    <t>2023-03-07 00:00:00+00:00</t>
  </si>
  <si>
    <t>2023-03-08 00:00:00+00:00</t>
  </si>
  <si>
    <t>2023-03-09 00:00:00+00:00</t>
  </si>
  <si>
    <t>2023-03-10 00:00:00+00:00</t>
  </si>
  <si>
    <t>2023-03-11 00:00:00+00:00</t>
  </si>
  <si>
    <t>2023-03-12 00:00:00+00:00</t>
  </si>
  <si>
    <t>2023-03-13 00:00:00+00:00</t>
  </si>
  <si>
    <t>2023-03-14 00:00:00+00:00</t>
  </si>
  <si>
    <t>2023-03-15 00:00:00+00:00</t>
  </si>
  <si>
    <t>2023-03-16 00:00:00+00:00</t>
  </si>
  <si>
    <t>2023-03-17 00:00:00+00:00</t>
  </si>
  <si>
    <t>2023-03-18 00:00:00+00:00</t>
  </si>
  <si>
    <t>2023-03-19 00:00:00+00:00</t>
  </si>
  <si>
    <t>2023-03-20 00:00:00+00:00</t>
  </si>
  <si>
    <t>2023-03-21 00:00:00+00:00</t>
  </si>
  <si>
    <t>2023-03-22 00:00:00+00:00</t>
  </si>
  <si>
    <t>2023-03-23 00:00:00+00:00</t>
  </si>
  <si>
    <t>2023-03-24 00:00:00+00:00</t>
  </si>
  <si>
    <t>2023-03-25 00:00:00+00:00</t>
  </si>
  <si>
    <t>2023-03-26 00:00:00+00:00</t>
  </si>
  <si>
    <t>2023-03-27 00:00:00+00:00</t>
  </si>
  <si>
    <t>2023-03-28 00:00:00+00:00</t>
  </si>
  <si>
    <t>2023-03-29 00:00:00+00:00</t>
  </si>
  <si>
    <t>2023-03-30 00:00:00+00:00</t>
  </si>
  <si>
    <t>2023-03-31 00:00:00+00:00</t>
  </si>
  <si>
    <t>2023-04-01 00:00:00+00:00</t>
  </si>
  <si>
    <t>2023-04-02 00:00:00+00:00</t>
  </si>
  <si>
    <t>2023-04-03 00:00:00+00:00</t>
  </si>
  <si>
    <t>2023-04-04 00:00:00+00:00</t>
  </si>
  <si>
    <t>2023-04-05 00:00:00+00:00</t>
  </si>
  <si>
    <t>2023-04-06 00:00:00+00:00</t>
  </si>
  <si>
    <t>2023-04-07 00:00:00+00:00</t>
  </si>
  <si>
    <t>2023-04-08 00:00:00+00:00</t>
  </si>
  <si>
    <t>2023-04-09 00:00:00+00:00</t>
  </si>
  <si>
    <t>2023-08-21 00:00:00+00:00</t>
  </si>
  <si>
    <t>2023-08-22 00:00:00+00:00</t>
  </si>
  <si>
    <t>2023-08-23 00:00:00+00:00</t>
  </si>
  <si>
    <t>2023-08-24 00:00:00+00:00</t>
  </si>
  <si>
    <t>2023-08-25 00:00:00+00:00</t>
  </si>
  <si>
    <t>2023-08-26 00:00:00+00:00</t>
  </si>
  <si>
    <t>2023-08-27 00:00:00+00:00</t>
  </si>
  <si>
    <t>2023-08-28 00:00:00+00:00</t>
  </si>
  <si>
    <t>2023-08-29 00:00:00+00:00</t>
  </si>
  <si>
    <t>2023-08-30 00:00:00+00:00</t>
  </si>
  <si>
    <t>2023-08-31 00:00:00+00:00</t>
  </si>
  <si>
    <t>2023-09-01 00:00:00+00:00</t>
  </si>
  <si>
    <t>2023-09-02 00:00:00+00:00</t>
  </si>
  <si>
    <t>2023-09-03 00:00:00+00:00</t>
  </si>
  <si>
    <t>2023-09-04 00:00:00+00:00</t>
  </si>
  <si>
    <t>2023-09-05 00:00:00+00:00</t>
  </si>
  <si>
    <t>2023-09-06 00:00:00+00:00</t>
  </si>
  <si>
    <t>2023-09-07 00:00:00+00:00</t>
  </si>
  <si>
    <t>2023-09-08 00:00:00+00:00</t>
  </si>
  <si>
    <t>2023-09-09 00:00:00+00:00</t>
  </si>
  <si>
    <t>2023-09-10 00:00:00+00:00</t>
  </si>
  <si>
    <t>2023-09-11 00:00:00+00:00</t>
  </si>
  <si>
    <t>2023-09-12 00:00:00+00:00</t>
  </si>
  <si>
    <t>2023-09-13 00:00:00+00:00</t>
  </si>
  <si>
    <t>2023-09-14 00:00:00+00:00</t>
  </si>
  <si>
    <t>2023-09-15 00:00:00+00:00</t>
  </si>
  <si>
    <t>2023-09-16 00:00:00+00:00</t>
  </si>
  <si>
    <t>2023-09-17 00:00:00+00:00</t>
  </si>
  <si>
    <t>2023-09-18 00:00:00+00:00</t>
  </si>
  <si>
    <t>2023-09-19 00:00:00+00:00</t>
  </si>
  <si>
    <t>2023-09-20 00:00:00+00:00</t>
  </si>
  <si>
    <t>2023-09-21 00:00:00+00:00</t>
  </si>
  <si>
    <t>2023-09-22 00:00:00+00:00</t>
  </si>
  <si>
    <t>2023-09-23 00:00:00+00:00</t>
  </si>
  <si>
    <t>2023-09-24 00:00:00+00:00</t>
  </si>
  <si>
    <t>2023-09-25 00:00:00+00:00</t>
  </si>
  <si>
    <t>2023-09-26 00:00:00+00:00</t>
  </si>
  <si>
    <t>2023-09-27 00:00:00+00:00</t>
  </si>
  <si>
    <t>2023-09-28 00:00:00+00:00</t>
  </si>
  <si>
    <t>2023-09-29 00:00:00+00:00</t>
  </si>
  <si>
    <t>2023-09-30 00:00:00+00:00</t>
  </si>
  <si>
    <t>2023-10-01 00:00:00+00:00</t>
  </si>
  <si>
    <t>2023-10-02 00:00:00+00:00</t>
  </si>
  <si>
    <t>2023-10-03 00:00:00+00:00</t>
  </si>
  <si>
    <t>2023-10-04 00:00:00+00:00</t>
  </si>
  <si>
    <t>2023-10-05 00:00:00+00:00</t>
  </si>
  <si>
    <t>2023-10-06 00:00:00+00:00</t>
  </si>
  <si>
    <t>2023-10-07 00:00:00+00:00</t>
  </si>
  <si>
    <t>2023-10-08 00:00:00+00:00</t>
  </si>
  <si>
    <t>2023-10-09 00:00:00+00:00</t>
  </si>
  <si>
    <t>2023-10-10 00:00:00+00:00</t>
  </si>
  <si>
    <t>2023-10-11 00:00:00+00:00</t>
  </si>
  <si>
    <t>2023-10-12 00:00:00+00:00</t>
  </si>
  <si>
    <t>2023-10-13 00:00:00+00:00</t>
  </si>
  <si>
    <t>2023-10-14 00:00:00+00:00</t>
  </si>
  <si>
    <t>2023-10-15 00:00:00+00:00</t>
  </si>
  <si>
    <t>2023-10-16 00:00:00+00:00</t>
  </si>
  <si>
    <t>2023-10-17 00:00:00+00:00</t>
  </si>
  <si>
    <t>2023-10-18 00:00:00+00:00</t>
  </si>
  <si>
    <t>2023-10-19 00:00:00+00:00</t>
  </si>
  <si>
    <t>2023-10-20 00:00:00+00:00</t>
  </si>
  <si>
    <t>2023-10-21 00:00:00+00:00</t>
  </si>
  <si>
    <t>2023-10-22 00:00:00+00:00</t>
  </si>
  <si>
    <t>2023-10-23 00:00:00+00:00</t>
  </si>
  <si>
    <t>2023-10-24 00:00:00+00:00</t>
  </si>
  <si>
    <t>2023-10-25 00:00:00+00:00</t>
  </si>
  <si>
    <t>2023-10-26 00:00:00+00:00</t>
  </si>
  <si>
    <t>2023-10-27 00:00:00+00:00</t>
  </si>
  <si>
    <t>2023-10-28 00:00:00+00:00</t>
  </si>
  <si>
    <t>2023-10-29 00:00:00+00:00</t>
  </si>
  <si>
    <t>2023-10-30 00:00:00+00:00</t>
  </si>
  <si>
    <t>2023-10-31 00:00:00+00:00</t>
  </si>
  <si>
    <t>2023-11-01 00:00:00+00:00</t>
  </si>
  <si>
    <t>2023-11-02 00:00:00+00:00</t>
  </si>
  <si>
    <t>2023-11-03 00:00:00+00:00</t>
  </si>
  <si>
    <t>2023-11-04 00:00:00+00:00</t>
  </si>
  <si>
    <t>2023-11-05 00:00:00+00:00</t>
  </si>
  <si>
    <t>2023-11-06 00:00:00+00:00</t>
  </si>
  <si>
    <t>2023-11-07 00:00:00+00:00</t>
  </si>
  <si>
    <t>2023-11-08 00:00:00+00:00</t>
  </si>
  <si>
    <t>2023-11-09 00:00:00+00:00</t>
  </si>
  <si>
    <t>2023-11-10 00:00:00+00:00</t>
  </si>
  <si>
    <t>2023-11-11 00:00:00+00:00</t>
  </si>
  <si>
    <t>2023-11-12 00:00:00+00:00</t>
  </si>
  <si>
    <t>2023-11-13 00:00:00+00:00</t>
  </si>
  <si>
    <t>2023-11-14 00:00:00+00:00</t>
  </si>
  <si>
    <t>2023-11-15 00:00:00+00:00</t>
  </si>
  <si>
    <t>2023-11-16 00:00:00+00:00</t>
  </si>
  <si>
    <t>2023-11-17 00:00:00+00:00</t>
  </si>
  <si>
    <t>2023-11-18 00:00:00+00:00</t>
  </si>
  <si>
    <t>2023-11-19 00:00:00+00:00</t>
  </si>
  <si>
    <t>2023-11-20 00:00:00+00:00</t>
  </si>
  <si>
    <t>2023-11-21 00:00:00+00:00</t>
  </si>
  <si>
    <t>2023-11-22 00:00:00+00:00</t>
  </si>
  <si>
    <t>2023-11-23 00:00:00+00:00</t>
  </si>
  <si>
    <t>2023-11-24 00:00:00+00:00</t>
  </si>
  <si>
    <t>2023-11-25 00:00:00+00:00</t>
  </si>
  <si>
    <t>2023-11-26 00:00:00+00:00</t>
  </si>
  <si>
    <t>2023-11-27 00:00:00+00:00</t>
  </si>
  <si>
    <t>2023-11-28 00:00:00+00:00</t>
  </si>
  <si>
    <t>2023-11-29 00:00:00+00:00</t>
  </si>
  <si>
    <t>2023-11-30 00:00:00+00:00</t>
  </si>
  <si>
    <t>2023-12-01 00:00:00+00:00</t>
  </si>
  <si>
    <t>2023-12-02 00:00:00+00:00</t>
  </si>
  <si>
    <t>2023-12-03 00:00:00+00:00</t>
  </si>
  <si>
    <t>2023-12-04 00:00:00+00:00</t>
  </si>
  <si>
    <t>2023-12-05 00:00:00+00:00</t>
  </si>
  <si>
    <t>2023-12-06 00:00:00+00:00</t>
  </si>
  <si>
    <t>2023-12-07 00:00:00+00:00</t>
  </si>
  <si>
    <t>2023-12-08 00:00:00+00:00</t>
  </si>
  <si>
    <t>2023-12-09 00:00:00+00:00</t>
  </si>
  <si>
    <t>2023-12-10 00:00:00+00:00</t>
  </si>
  <si>
    <t>2023-12-11 00:00:00+00:00</t>
  </si>
  <si>
    <t>2023-12-12 00:00:00+00:00</t>
  </si>
  <si>
    <t>2023-12-13 00:00:00+00:00</t>
  </si>
  <si>
    <t>2023-12-14 00:00:00+00:00</t>
  </si>
  <si>
    <t>2023-12-15 00:00:00+00:00</t>
  </si>
  <si>
    <t>2023-12-16 00:00:00+00:00</t>
  </si>
  <si>
    <t>2023-12-17 00:00:00+00:00</t>
  </si>
  <si>
    <t>2023-12-18 00:00:00+00:00</t>
  </si>
  <si>
    <t>2023-12-19 00:00:00+00:00</t>
  </si>
  <si>
    <t>2023-12-20 00:00:00+00:00</t>
  </si>
  <si>
    <t>2023-12-21 00:00:00+00:00</t>
  </si>
  <si>
    <t>2023-12-22 00:00:00+00:00</t>
  </si>
  <si>
    <t>2023-12-23 00:00:00+00:00</t>
  </si>
  <si>
    <t>2023-12-24 00:00:00+00:00</t>
  </si>
  <si>
    <t>2023-12-25 00:00:00+00:00</t>
  </si>
  <si>
    <t>2023-12-26 00:00:00+00:00</t>
  </si>
  <si>
    <t>2023-12-27 00:00:00+00:00</t>
  </si>
  <si>
    <t>2023-12-28 00:00:00+00:00</t>
  </si>
  <si>
    <t>2023-12-29 00:00:00+00:00</t>
  </si>
  <si>
    <t>2023-12-30 00:00:00+00:00</t>
  </si>
  <si>
    <t>2023-12-31 00:00:00+00:00</t>
  </si>
  <si>
    <t>2024-01-01 00:00:00+00:00</t>
  </si>
  <si>
    <t>2024-01-02 00:00:00+00:00</t>
  </si>
  <si>
    <t>2024-01-03 00:00:00+00:00</t>
  </si>
  <si>
    <t>2024-01-04 00:00:00+00:00</t>
  </si>
  <si>
    <t>2024-01-05 00:00:00+00:00</t>
  </si>
  <si>
    <t>2024-01-06 00:00:00+00:00</t>
  </si>
  <si>
    <t>2024-01-07 00:00:00+00:00</t>
  </si>
  <si>
    <t>2024-01-08 00:00:00+00:00</t>
  </si>
  <si>
    <t>2024-01-09 00:00:00+00:00</t>
  </si>
  <si>
    <t>2024-01-10 00:00:00+00:00</t>
  </si>
  <si>
    <t>2024-01-11 00:00:00+00:00</t>
  </si>
  <si>
    <t>2024-01-12 00:00:00+00:00</t>
  </si>
  <si>
    <t>2024-01-13 00:00:00+00:00</t>
  </si>
  <si>
    <t>2024-01-14 00:00:00+00:00</t>
  </si>
  <si>
    <t>2024-01-15 00:00:00+00:00</t>
  </si>
  <si>
    <t>2024-01-16 00:00:00+00:00</t>
  </si>
  <si>
    <t>2024-01-17 00:00:00+00:00</t>
  </si>
  <si>
    <t>2024-01-18 00:00:00+00:00</t>
  </si>
  <si>
    <t>2024-01-19 00:00:00+00:00</t>
  </si>
  <si>
    <t>2024-01-20 00:00:00+00:00</t>
  </si>
  <si>
    <t>2024-01-21 00:00:00+00:00</t>
  </si>
  <si>
    <t>2024-01-22 00:00:00+00:00</t>
  </si>
  <si>
    <t>2024-01-23 00:00:00+00:00</t>
  </si>
  <si>
    <t>2024-01-24 00:00:00+00:00</t>
  </si>
  <si>
    <t>2024-01-25 00:00:00+00:00</t>
  </si>
  <si>
    <t>2024-01-26 00:00:00+00:00</t>
  </si>
  <si>
    <t>2024-01-27 00:00:00+00:00</t>
  </si>
  <si>
    <t>2024-01-28 00:00:00+00:00</t>
  </si>
  <si>
    <t>2024-01-29 00:00:00+00:00</t>
  </si>
  <si>
    <t>2024-01-30 00:00:00+00:00</t>
  </si>
  <si>
    <t>2024-01-31 00:00:00+00:00</t>
  </si>
  <si>
    <t>beta</t>
  </si>
  <si>
    <t>2024-02-01 00:00:00+00:00</t>
  </si>
  <si>
    <t>2024-02-02 00:00:00+00:00</t>
  </si>
  <si>
    <t>2024-02-03 00:00:00+00:00</t>
  </si>
  <si>
    <t>2024-02-04 00:00:00+00:00</t>
  </si>
  <si>
    <t>2024-02-05 00:00:00+00:00</t>
  </si>
  <si>
    <t>2024-02-06 00:00:00+00:00</t>
  </si>
  <si>
    <t>2024-02-07 00:00:00+00:00</t>
  </si>
  <si>
    <t>2024-02-08 00:00:00+00:00</t>
  </si>
  <si>
    <t>2024-02-09 00:00:00+00:00</t>
  </si>
  <si>
    <t>2024-02-10 00:00:00+00:00</t>
  </si>
  <si>
    <t>2024-02-11 00:00:00+00:00</t>
  </si>
  <si>
    <t>2024-02-12 00:00:00+00:00</t>
  </si>
  <si>
    <t>2024-02-13 00:00:00+00:00</t>
  </si>
  <si>
    <t>2024-02-14 00:00:00+00:00</t>
  </si>
  <si>
    <t>2024-02-15 00:00:00+00:00</t>
  </si>
  <si>
    <t>2024-02-16 00:00:00+00:00</t>
  </si>
  <si>
    <t>2024-02-17 00:00:00+00:00</t>
  </si>
  <si>
    <t>2024-02-18 00:00:00+00:00</t>
  </si>
  <si>
    <t>2024-02-19 00:00:00+00:00</t>
  </si>
  <si>
    <t>2024-02-20 00:00:00+00:00</t>
  </si>
  <si>
    <t>2024-02-21 00:00:00+00:00</t>
  </si>
  <si>
    <t>2024-02-22 00:00:00+00:00</t>
  </si>
  <si>
    <t>2024-02-23 00:00:00+00:00</t>
  </si>
  <si>
    <t>2024-02-24 00:00:00+00:00</t>
  </si>
  <si>
    <t>2024-02-25 00:00:00+00:00</t>
  </si>
  <si>
    <t>2024-02-26 00:00:00+00:00</t>
  </si>
  <si>
    <t>2024-02-27 00:00:00+00:00</t>
  </si>
  <si>
    <t>2024-02-28 00:00:00+00:00</t>
  </si>
  <si>
    <t>2024-02-29 00:00:00+00:00</t>
  </si>
  <si>
    <t>2024-03-01 00:00:00+00:00</t>
  </si>
  <si>
    <t>2024-03-02 00:00:00+00:00</t>
  </si>
  <si>
    <t>2024-03-12 00:00:00+00:00</t>
  </si>
  <si>
    <t>2024-03-13 00:00:00+00:00</t>
  </si>
  <si>
    <t>2024-03-14 00:00:00+00:00</t>
  </si>
  <si>
    <t>2024-03-15 00:00:00+00:00</t>
  </si>
  <si>
    <t>2024-03-16 00:00:00+00:00</t>
  </si>
  <si>
    <t>2024-03-17 00:00:00+00:00</t>
  </si>
  <si>
    <t>2024-03-18 00:00:00+00:00</t>
  </si>
  <si>
    <t>2024-03-19 00:00:00+00:00</t>
  </si>
  <si>
    <t>2024-03-20 00:00:00+00:00</t>
  </si>
  <si>
    <t>2024-03-21 00:00:00+00:00</t>
  </si>
  <si>
    <t>2024-03-22 00:00:00+00:00</t>
  </si>
  <si>
    <t>2024-03-23 00:00:00+00:00</t>
  </si>
  <si>
    <t>2024-03-24 00:00:00+00:00</t>
  </si>
  <si>
    <t>2024-03-25 00:00:00+00:00</t>
  </si>
  <si>
    <t>2024-03-26 00:00:00+00:00</t>
  </si>
  <si>
    <t>2024-03-27 00:00:00+00:00</t>
  </si>
  <si>
    <t>2024-03-28 00:00:00+00:00</t>
  </si>
  <si>
    <t>2024-03-29 00:00:00+00:00</t>
  </si>
  <si>
    <t>2024-03-30 00:00:00+00:00</t>
  </si>
  <si>
    <t>2024-03-31 00:00:00+00:00</t>
  </si>
  <si>
    <t>2024-04-03 00:00:00+00:00</t>
  </si>
  <si>
    <t>2024-04-04 00:00:00+00:00</t>
  </si>
  <si>
    <t>2024-04-05 00:00:00+00:00</t>
  </si>
  <si>
    <t>2024-04-06 00:00:00+00:00</t>
  </si>
  <si>
    <t>2024-04-07 00:00:00+00:00</t>
  </si>
  <si>
    <t>2024-04-08 00:00:00+00:00</t>
  </si>
  <si>
    <t>2024-04-09 00:00:00+00:00</t>
  </si>
  <si>
    <t>2024-04-10 00:00:00+00:00</t>
  </si>
  <si>
    <t>2024-04-11 00:00:00+00:00</t>
  </si>
  <si>
    <t>2024-04-12 00:00:00+00:00</t>
  </si>
  <si>
    <t>2024-04-13 00:00:00+00:00</t>
  </si>
  <si>
    <t>2024-04-14 00:00:00+00:00</t>
  </si>
  <si>
    <t>2024-04-15 00:00:00+00:00</t>
  </si>
  <si>
    <t>2024-05-02 00:00:00+00:00</t>
  </si>
  <si>
    <t>2024-05-03 00:00:00+00:00</t>
  </si>
  <si>
    <t>2024-05-04 00:00:00+00:00</t>
  </si>
  <si>
    <t>2024-05-05 00:00:00+00:00</t>
  </si>
  <si>
    <t>2024-05-06 00:00:00+00:00</t>
  </si>
  <si>
    <t>2024-05-07 00:00:00+00:00</t>
  </si>
  <si>
    <t>2024-05-08 00:00:00+00:00</t>
  </si>
  <si>
    <t>2024-05-09 00:00:00+00:00</t>
  </si>
  <si>
    <t>2024-05-10 00:00:00+00:00</t>
  </si>
  <si>
    <t>2024-05-11 00:00:00+00:00</t>
  </si>
  <si>
    <t>2024-05-12 00:00:00+00:00</t>
  </si>
  <si>
    <t>2024-05-13 00:00:00+00:00</t>
  </si>
  <si>
    <t>2024-05-14 00:00:00+00:00</t>
  </si>
  <si>
    <t>2024-05-15 00:00:00+00:00</t>
  </si>
  <si>
    <t>2024-05-16 00:00:00+00:00</t>
  </si>
  <si>
    <t>2024-05-17 00:00:00+00:00</t>
  </si>
  <si>
    <t>2024-05-18 00:00:00+00:00</t>
  </si>
  <si>
    <t>2024-05-19 00:00:00+00:00</t>
  </si>
  <si>
    <t>2024-05-21 00:00:00+00:00</t>
  </si>
  <si>
    <t>2024-05-22 00:00:00+00:00</t>
  </si>
  <si>
    <t>2024-05-23 00:00:00+00:00</t>
  </si>
  <si>
    <t>2024-05-24 00:00:00+00:00</t>
  </si>
  <si>
    <t>2024-05-25 00:00:00+00:00</t>
  </si>
  <si>
    <t>2024-05-26 00:00:00+00:00</t>
  </si>
  <si>
    <t>2024-05-27 00:00:00+00:00</t>
  </si>
  <si>
    <t>2024-05-28 00:00:00+00:00</t>
  </si>
  <si>
    <t>2024-05-29 00:00:00+00:00</t>
  </si>
  <si>
    <t>2024-05-30 00:00:00+00:00</t>
  </si>
  <si>
    <t>2024-05-31 00:00:00+00:00</t>
  </si>
  <si>
    <t>2024-06-01 00:00:00+00:00</t>
  </si>
  <si>
    <t>2024-06-02 00:00:00+00:00</t>
  </si>
  <si>
    <t>2024-06-03 00:00:00+00:00</t>
  </si>
  <si>
    <t>2024-06-04 00:00:00+00:00</t>
  </si>
  <si>
    <t>2024-06-05 00:00:00+00:00</t>
  </si>
  <si>
    <t>2024-06-06 00:00:00+00:00</t>
  </si>
  <si>
    <t>2024-06-07 00:00:00+00:00</t>
  </si>
  <si>
    <t>2024-06-08 00:00:00+00:00</t>
  </si>
  <si>
    <t>2024-06-09 00:00:00+00:00</t>
  </si>
  <si>
    <t>2024-06-10 00:00:00+00:00</t>
  </si>
  <si>
    <t>2024-06-11 00:00:00+00:00</t>
  </si>
  <si>
    <t>2024-06-12 00:00:00+00:00</t>
  </si>
  <si>
    <t>2024-06-13 00:00:00+00:00</t>
  </si>
  <si>
    <t>2024-06-14 00:00:00+00:00</t>
  </si>
  <si>
    <t>2024-06-15 00:00:00+00:00</t>
  </si>
  <si>
    <t>2024-06-16 00:00:00+00:00</t>
  </si>
  <si>
    <t>2024-06-17 00:00:00+00:00</t>
  </si>
  <si>
    <t>2024-06-18 00:00:00+00:00</t>
  </si>
  <si>
    <t>2024-06-19 00:00:00+00:00</t>
  </si>
  <si>
    <t>2024-06-20 00:00:00+00:00</t>
  </si>
  <si>
    <t>2024-06-21 00:00:00+00:00</t>
  </si>
  <si>
    <t>2024-06-22 00:00:00+00:00</t>
  </si>
  <si>
    <t>2024-06-23 00:00:00+00:00</t>
  </si>
  <si>
    <t>2024-06-24 00:00:00+00:00</t>
  </si>
  <si>
    <t>2024-06-25 00:00:00+00:00</t>
  </si>
  <si>
    <t>2024-06-26 00:00:00+00:00</t>
  </si>
  <si>
    <t>2024-09-16 00:00:00+00:00</t>
  </si>
  <si>
    <t>2024-09-17 00:00:00+00:00</t>
  </si>
  <si>
    <t>2024-10-31 00:00:00+00:00</t>
  </si>
  <si>
    <t>2024-11-01 00:00:00+00:00</t>
  </si>
  <si>
    <t>2024-11-02 00:00:00+00:00</t>
  </si>
  <si>
    <t>2024-11-03 00:00:00+00:00</t>
  </si>
  <si>
    <t>2024-11-04 00:00:00+00:00</t>
  </si>
  <si>
    <t>2024-11-05 00:00:00+00:00</t>
  </si>
  <si>
    <t>2024-11-06 00:00:00+00:00</t>
  </si>
  <si>
    <t>2024-11-07 00:00:00+00:00</t>
  </si>
  <si>
    <t>2024-11-08 00:00:00+00:00</t>
  </si>
  <si>
    <t>2024-11-09 00:00:00+00:00</t>
  </si>
  <si>
    <t>2024-11-10 00:00:00+00:00</t>
  </si>
  <si>
    <t>2024-11-11 00:00:00+00:00</t>
  </si>
  <si>
    <t>2024-11-12 00:00:00+00:00</t>
  </si>
  <si>
    <t>2024-11-13 00:00:00+00:00</t>
  </si>
  <si>
    <t>2024-11-14 00:00:00+00:00</t>
  </si>
  <si>
    <t>2024-11-15 00:00:00+00:00</t>
  </si>
  <si>
    <t>2024-11-16 00:00:00+00:00</t>
  </si>
  <si>
    <t>2024-11-17 00:00:00+00:00</t>
  </si>
  <si>
    <t>2024-11-18 00:00:00+00:00</t>
  </si>
  <si>
    <t>2024-11-19 00:00:00+00:00</t>
  </si>
  <si>
    <t>2024-11-20 00:00:00+00:00</t>
  </si>
  <si>
    <t>2024-11-21 00:00:00+00:00</t>
  </si>
  <si>
    <t>2024-11-22 00:00:00+00:00</t>
  </si>
  <si>
    <t>2024-11-23 00:00:00+00:00</t>
  </si>
  <si>
    <t>2024-11-24 00:00:00+00:00</t>
  </si>
  <si>
    <t>2024-11-25 00:00:00+00:00</t>
  </si>
  <si>
    <t>2024-11-26 00:00:00+00:00</t>
  </si>
  <si>
    <t>2024-11-27 00:00:00+00:00</t>
  </si>
  <si>
    <t>2024-11-28 00:00:00+00:00</t>
  </si>
  <si>
    <t>2024-11-29 00:00:00+00:00</t>
  </si>
  <si>
    <t>2024-11-30 00:00:00+00:00</t>
  </si>
  <si>
    <t>2024-12-01 00:00:00+00:00</t>
  </si>
  <si>
    <t>2024-12-02 00:00:00+00:00</t>
  </si>
  <si>
    <t>2024-12-03 00:00:00+00:00</t>
  </si>
  <si>
    <t>2024-12-04 00:00:00+00:00</t>
  </si>
  <si>
    <t>2024-12-05 00:00:00+00:00</t>
  </si>
  <si>
    <t>2024-12-06 00:00:00+00:00</t>
  </si>
  <si>
    <t>2024-12-07 00:00:00+00:00</t>
  </si>
  <si>
    <t>2024-12-08 00:00:00+00:00</t>
  </si>
  <si>
    <t>2024-12-09 00:00:00+00:00</t>
  </si>
  <si>
    <t>2024-12-10 00:00:00+00:00</t>
  </si>
  <si>
    <t>2024-12-11 00:00:00+00:00</t>
  </si>
  <si>
    <t>2024-12-12 00:00:00+00:00</t>
  </si>
  <si>
    <t>2024-12-13 00:00:00+00:00</t>
  </si>
  <si>
    <t>2024-12-14 00:00:00+00:00</t>
  </si>
  <si>
    <t>2024-12-15 00:00:00+00:00</t>
  </si>
  <si>
    <t>2024-12-16 00:00:00+00:00</t>
  </si>
  <si>
    <t>2024-12-17 00:00:00+00:00</t>
  </si>
  <si>
    <t>2024-12-18 00:00:00+00:00</t>
  </si>
  <si>
    <t>2024-12-19 00:00:00+00:00</t>
  </si>
  <si>
    <t>2024-12-20 00:00:00+00:00</t>
  </si>
  <si>
    <t>2024-12-21 00:00:00+00:00</t>
  </si>
  <si>
    <t>2024-12-22 00:00:00+00:00</t>
  </si>
  <si>
    <t>2024-12-23 00:00:00+00:00</t>
  </si>
  <si>
    <t>2024-12-24 00:00:00+00:00</t>
  </si>
  <si>
    <t>2024-12-25 00:00:00+00:00</t>
  </si>
  <si>
    <t>2024-12-26 00:00:00+00:00</t>
  </si>
  <si>
    <t>2024-12-27 00:00:00+00:00</t>
  </si>
  <si>
    <t>2024-12-28 00:00:00+00:00</t>
  </si>
  <si>
    <t>2024-12-29 00:00:00+00:00</t>
  </si>
  <si>
    <t>2024-12-30 00:00:00+00:00</t>
  </si>
  <si>
    <t>2024-12-31 00:00:00+00:00</t>
  </si>
  <si>
    <t>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</si>
</sst>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Kdose_SM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642541557305337E-2"/>
                  <c:y val="-0.557239355497229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selhausen_SM_Kdose_daily!$D$8:$D$400</c:f>
              <c:numCache>
                <c:formatCode>General</c:formatCode>
                <c:ptCount val="393"/>
                <c:pt idx="0">
                  <c:v>35.267864366824199</c:v>
                </c:pt>
                <c:pt idx="1">
                  <c:v>35.1993709636075</c:v>
                </c:pt>
                <c:pt idx="2">
                  <c:v>34.623326589406403</c:v>
                </c:pt>
                <c:pt idx="3">
                  <c:v>34.047282215205399</c:v>
                </c:pt>
                <c:pt idx="4">
                  <c:v>33.471237841004303</c:v>
                </c:pt>
                <c:pt idx="5">
                  <c:v>32.895193466803299</c:v>
                </c:pt>
                <c:pt idx="6">
                  <c:v>32.731530427774302</c:v>
                </c:pt>
                <c:pt idx="7">
                  <c:v>32.596651251184497</c:v>
                </c:pt>
                <c:pt idx="8">
                  <c:v>32.4536587751696</c:v>
                </c:pt>
                <c:pt idx="9">
                  <c:v>32.176603565747101</c:v>
                </c:pt>
                <c:pt idx="10">
                  <c:v>31.936275817145599</c:v>
                </c:pt>
                <c:pt idx="11">
                  <c:v>31.824461490872402</c:v>
                </c:pt>
                <c:pt idx="12">
                  <c:v>31.659673067343999</c:v>
                </c:pt>
                <c:pt idx="13">
                  <c:v>31.473443625845999</c:v>
                </c:pt>
                <c:pt idx="14">
                  <c:v>31.851141941655001</c:v>
                </c:pt>
                <c:pt idx="15">
                  <c:v>31.8194347825062</c:v>
                </c:pt>
                <c:pt idx="16">
                  <c:v>31.599505151353402</c:v>
                </c:pt>
                <c:pt idx="17">
                  <c:v>31.463331280833</c:v>
                </c:pt>
                <c:pt idx="18">
                  <c:v>33.151635158716701</c:v>
                </c:pt>
                <c:pt idx="19">
                  <c:v>32.998640120501001</c:v>
                </c:pt>
                <c:pt idx="20">
                  <c:v>32.794448674991102</c:v>
                </c:pt>
                <c:pt idx="21">
                  <c:v>32.166767682053397</c:v>
                </c:pt>
                <c:pt idx="22">
                  <c:v>31.524188101936598</c:v>
                </c:pt>
                <c:pt idx="23">
                  <c:v>31.138822162791101</c:v>
                </c:pt>
                <c:pt idx="24">
                  <c:v>30.705000572561101</c:v>
                </c:pt>
                <c:pt idx="25">
                  <c:v>30.488454813834799</c:v>
                </c:pt>
                <c:pt idx="26">
                  <c:v>30.405468680709301</c:v>
                </c:pt>
                <c:pt idx="27">
                  <c:v>30.4157502506878</c:v>
                </c:pt>
                <c:pt idx="28">
                  <c:v>30.3620788052596</c:v>
                </c:pt>
                <c:pt idx="29">
                  <c:v>30.335750368182499</c:v>
                </c:pt>
                <c:pt idx="30">
                  <c:v>32.315058318218497</c:v>
                </c:pt>
                <c:pt idx="31">
                  <c:v>36.337446053406097</c:v>
                </c:pt>
                <c:pt idx="32">
                  <c:v>37.0493163861155</c:v>
                </c:pt>
                <c:pt idx="33">
                  <c:v>37.159532534574801</c:v>
                </c:pt>
                <c:pt idx="34">
                  <c:v>36.058666854678798</c:v>
                </c:pt>
                <c:pt idx="35">
                  <c:v>35.3272768251298</c:v>
                </c:pt>
                <c:pt idx="36">
                  <c:v>34.870909228816899</c:v>
                </c:pt>
                <c:pt idx="37">
                  <c:v>36.107426871348601</c:v>
                </c:pt>
                <c:pt idx="38">
                  <c:v>36.894246105104102</c:v>
                </c:pt>
                <c:pt idx="39">
                  <c:v>35.586914151347898</c:v>
                </c:pt>
                <c:pt idx="40">
                  <c:v>34.740036497319103</c:v>
                </c:pt>
                <c:pt idx="41">
                  <c:v>34.1406571505727</c:v>
                </c:pt>
                <c:pt idx="42">
                  <c:v>33.755179624401798</c:v>
                </c:pt>
                <c:pt idx="43">
                  <c:v>33.440578497936897</c:v>
                </c:pt>
                <c:pt idx="44">
                  <c:v>33.366809618916299</c:v>
                </c:pt>
                <c:pt idx="45">
                  <c:v>33.2781730489151</c:v>
                </c:pt>
                <c:pt idx="46">
                  <c:v>32.989720538044701</c:v>
                </c:pt>
                <c:pt idx="47">
                  <c:v>32.6202136074062</c:v>
                </c:pt>
                <c:pt idx="48">
                  <c:v>32.632159117632497</c:v>
                </c:pt>
                <c:pt idx="49">
                  <c:v>35.194891389522901</c:v>
                </c:pt>
                <c:pt idx="50">
                  <c:v>35.5541925632211</c:v>
                </c:pt>
                <c:pt idx="51">
                  <c:v>34.451621502619801</c:v>
                </c:pt>
                <c:pt idx="52">
                  <c:v>33.918666064892903</c:v>
                </c:pt>
                <c:pt idx="53">
                  <c:v>34.9264315009531</c:v>
                </c:pt>
                <c:pt idx="54">
                  <c:v>35.9720499422329</c:v>
                </c:pt>
                <c:pt idx="55">
                  <c:v>37.452550331109897</c:v>
                </c:pt>
                <c:pt idx="56">
                  <c:v>36.853394534188098</c:v>
                </c:pt>
                <c:pt idx="57">
                  <c:v>35.419109861034798</c:v>
                </c:pt>
                <c:pt idx="58">
                  <c:v>34.230262953228298</c:v>
                </c:pt>
                <c:pt idx="59">
                  <c:v>33.353690098410297</c:v>
                </c:pt>
                <c:pt idx="60">
                  <c:v>32.906982665148497</c:v>
                </c:pt>
                <c:pt idx="61">
                  <c:v>34.001598062262502</c:v>
                </c:pt>
                <c:pt idx="62">
                  <c:v>33.594117494012103</c:v>
                </c:pt>
                <c:pt idx="63">
                  <c:v>32.863698666536798</c:v>
                </c:pt>
                <c:pt idx="64">
                  <c:v>26.7234445732221</c:v>
                </c:pt>
                <c:pt idx="65">
                  <c:v>25.654445621735999</c:v>
                </c:pt>
                <c:pt idx="66">
                  <c:v>24.529209716069399</c:v>
                </c:pt>
                <c:pt idx="67">
                  <c:v>23.790099215638801</c:v>
                </c:pt>
                <c:pt idx="68">
                  <c:v>26.870676620888801</c:v>
                </c:pt>
                <c:pt idx="69">
                  <c:v>28.727012494819299</c:v>
                </c:pt>
                <c:pt idx="70">
                  <c:v>27.4028524032916</c:v>
                </c:pt>
                <c:pt idx="71">
                  <c:v>26.6187733402259</c:v>
                </c:pt>
                <c:pt idx="72">
                  <c:v>25.998387141483601</c:v>
                </c:pt>
                <c:pt idx="73">
                  <c:v>26.047473524138798</c:v>
                </c:pt>
                <c:pt idx="74">
                  <c:v>27.095320503236</c:v>
                </c:pt>
                <c:pt idx="75">
                  <c:v>30.6466978299582</c:v>
                </c:pt>
                <c:pt idx="76">
                  <c:v>31.595901990735999</c:v>
                </c:pt>
                <c:pt idx="77">
                  <c:v>30.4030089779721</c:v>
                </c:pt>
                <c:pt idx="78">
                  <c:v>29.239402826499902</c:v>
                </c:pt>
                <c:pt idx="79">
                  <c:v>27.907813418013799</c:v>
                </c:pt>
                <c:pt idx="80">
                  <c:v>26.7159381721839</c:v>
                </c:pt>
                <c:pt idx="81">
                  <c:v>23.995684525626</c:v>
                </c:pt>
                <c:pt idx="82">
                  <c:v>23.7601182871337</c:v>
                </c:pt>
                <c:pt idx="83">
                  <c:v>23.499634694358502</c:v>
                </c:pt>
                <c:pt idx="84">
                  <c:v>23.244947879529199</c:v>
                </c:pt>
                <c:pt idx="85">
                  <c:v>22.945815931696501</c:v>
                </c:pt>
                <c:pt idx="86">
                  <c:v>24.033854082923799</c:v>
                </c:pt>
                <c:pt idx="87">
                  <c:v>29.503924314726401</c:v>
                </c:pt>
                <c:pt idx="88">
                  <c:v>28.741324029191901</c:v>
                </c:pt>
                <c:pt idx="89">
                  <c:v>27.9195067778133</c:v>
                </c:pt>
                <c:pt idx="90">
                  <c:v>27.538497196261599</c:v>
                </c:pt>
                <c:pt idx="91">
                  <c:v>27.4906890629847</c:v>
                </c:pt>
                <c:pt idx="92">
                  <c:v>27.149424685076301</c:v>
                </c:pt>
                <c:pt idx="93">
                  <c:v>26.665504798477802</c:v>
                </c:pt>
                <c:pt idx="94">
                  <c:v>26.0421322048668</c:v>
                </c:pt>
                <c:pt idx="95">
                  <c:v>26.1494750034615</c:v>
                </c:pt>
                <c:pt idx="96">
                  <c:v>28.088133900033</c:v>
                </c:pt>
                <c:pt idx="97">
                  <c:v>28.5459110472178</c:v>
                </c:pt>
                <c:pt idx="98">
                  <c:v>27.6599074387107</c:v>
                </c:pt>
                <c:pt idx="99">
                  <c:v>26.895821858144199</c:v>
                </c:pt>
                <c:pt idx="100">
                  <c:v>26.3374477187295</c:v>
                </c:pt>
                <c:pt idx="101">
                  <c:v>25.8871552580908</c:v>
                </c:pt>
                <c:pt idx="102">
                  <c:v>25.506677034009101</c:v>
                </c:pt>
                <c:pt idx="103">
                  <c:v>25.191092204862301</c:v>
                </c:pt>
                <c:pt idx="104">
                  <c:v>24.911594257879599</c:v>
                </c:pt>
                <c:pt idx="105">
                  <c:v>24.608016751176201</c:v>
                </c:pt>
                <c:pt idx="106">
                  <c:v>24.290534069230699</c:v>
                </c:pt>
                <c:pt idx="107">
                  <c:v>24.058565918509199</c:v>
                </c:pt>
                <c:pt idx="108">
                  <c:v>24.037524589978499</c:v>
                </c:pt>
                <c:pt idx="109">
                  <c:v>23.8442329907048</c:v>
                </c:pt>
                <c:pt idx="110">
                  <c:v>23.499316363920698</c:v>
                </c:pt>
                <c:pt idx="111">
                  <c:v>23.0075209086279</c:v>
                </c:pt>
                <c:pt idx="112">
                  <c:v>22.5017628295058</c:v>
                </c:pt>
                <c:pt idx="113">
                  <c:v>22.083467953183</c:v>
                </c:pt>
                <c:pt idx="114">
                  <c:v>21.609753503034899</c:v>
                </c:pt>
                <c:pt idx="115">
                  <c:v>21.0457879157969</c:v>
                </c:pt>
                <c:pt idx="116">
                  <c:v>20.4324574252689</c:v>
                </c:pt>
                <c:pt idx="117">
                  <c:v>20.281381125061799</c:v>
                </c:pt>
                <c:pt idx="118">
                  <c:v>20.465845404642501</c:v>
                </c:pt>
                <c:pt idx="119">
                  <c:v>20.799153317267098</c:v>
                </c:pt>
                <c:pt idx="120">
                  <c:v>20.9356204951224</c:v>
                </c:pt>
                <c:pt idx="121">
                  <c:v>20.872744858217601</c:v>
                </c:pt>
                <c:pt idx="122">
                  <c:v>21.0929165949312</c:v>
                </c:pt>
                <c:pt idx="123">
                  <c:v>24.210431733414801</c:v>
                </c:pt>
                <c:pt idx="124">
                  <c:v>29.412694938656099</c:v>
                </c:pt>
                <c:pt idx="125">
                  <c:v>32.923101578848701</c:v>
                </c:pt>
                <c:pt idx="126">
                  <c:v>32.142210303991497</c:v>
                </c:pt>
                <c:pt idx="127">
                  <c:v>32.631385721304099</c:v>
                </c:pt>
                <c:pt idx="128">
                  <c:v>33.575521381364801</c:v>
                </c:pt>
                <c:pt idx="129">
                  <c:v>34.460600721793199</c:v>
                </c:pt>
                <c:pt idx="130">
                  <c:v>34.0193149623856</c:v>
                </c:pt>
                <c:pt idx="131">
                  <c:v>35.350378631574301</c:v>
                </c:pt>
                <c:pt idx="132">
                  <c:v>34.567769313829501</c:v>
                </c:pt>
                <c:pt idx="133">
                  <c:v>33.672264810191301</c:v>
                </c:pt>
                <c:pt idx="134">
                  <c:v>34.058262461225901</c:v>
                </c:pt>
                <c:pt idx="135">
                  <c:v>34.927886847788798</c:v>
                </c:pt>
                <c:pt idx="136">
                  <c:v>35.117848816544999</c:v>
                </c:pt>
                <c:pt idx="137">
                  <c:v>34.620813410053501</c:v>
                </c:pt>
                <c:pt idx="138">
                  <c:v>31.7434225339444</c:v>
                </c:pt>
                <c:pt idx="139">
                  <c:v>31.2355184243332</c:v>
                </c:pt>
                <c:pt idx="140">
                  <c:v>31.592126725388798</c:v>
                </c:pt>
                <c:pt idx="141">
                  <c:v>31.905589145333199</c:v>
                </c:pt>
                <c:pt idx="142">
                  <c:v>31.654561910888798</c:v>
                </c:pt>
                <c:pt idx="143">
                  <c:v>31.478487529444301</c:v>
                </c:pt>
                <c:pt idx="144">
                  <c:v>32.727696565735997</c:v>
                </c:pt>
                <c:pt idx="145">
                  <c:v>34.985504359694303</c:v>
                </c:pt>
                <c:pt idx="146">
                  <c:v>36.117573445284599</c:v>
                </c:pt>
                <c:pt idx="147">
                  <c:v>34.855615928611002</c:v>
                </c:pt>
                <c:pt idx="148">
                  <c:v>35.393371734930398</c:v>
                </c:pt>
                <c:pt idx="149">
                  <c:v>36.915412255999399</c:v>
                </c:pt>
                <c:pt idx="150">
                  <c:v>36.5589696569632</c:v>
                </c:pt>
                <c:pt idx="151">
                  <c:v>35.518264992157199</c:v>
                </c:pt>
                <c:pt idx="152">
                  <c:v>36.796886413280298</c:v>
                </c:pt>
                <c:pt idx="153">
                  <c:v>37.2384811923638</c:v>
                </c:pt>
                <c:pt idx="154">
                  <c:v>37.1254049966279</c:v>
                </c:pt>
                <c:pt idx="155">
                  <c:v>36.931095282001898</c:v>
                </c:pt>
                <c:pt idx="156">
                  <c:v>37.351921598185697</c:v>
                </c:pt>
                <c:pt idx="157">
                  <c:v>36.421603679425097</c:v>
                </c:pt>
                <c:pt idx="158">
                  <c:v>35.855795303946202</c:v>
                </c:pt>
                <c:pt idx="159">
                  <c:v>37.374237942877102</c:v>
                </c:pt>
                <c:pt idx="160">
                  <c:v>37.683946984656302</c:v>
                </c:pt>
                <c:pt idx="161">
                  <c:v>37.645893852925099</c:v>
                </c:pt>
                <c:pt idx="162">
                  <c:v>39.207286499989003</c:v>
                </c:pt>
                <c:pt idx="163">
                  <c:v>38.704357218372998</c:v>
                </c:pt>
                <c:pt idx="164">
                  <c:v>37.534592205244998</c:v>
                </c:pt>
                <c:pt idx="165">
                  <c:v>37.210148148726198</c:v>
                </c:pt>
                <c:pt idx="166">
                  <c:v>36.950075435126202</c:v>
                </c:pt>
                <c:pt idx="167">
                  <c:v>36.4682711885836</c:v>
                </c:pt>
                <c:pt idx="168">
                  <c:v>35.812876792585598</c:v>
                </c:pt>
                <c:pt idx="169">
                  <c:v>36.286495541424202</c:v>
                </c:pt>
                <c:pt idx="170">
                  <c:v>38.6733617616187</c:v>
                </c:pt>
                <c:pt idx="171">
                  <c:v>38.173596798364102</c:v>
                </c:pt>
                <c:pt idx="172">
                  <c:v>37.410789125817097</c:v>
                </c:pt>
                <c:pt idx="173">
                  <c:v>37.5581926883549</c:v>
                </c:pt>
                <c:pt idx="174">
                  <c:v>37.623209145579402</c:v>
                </c:pt>
                <c:pt idx="175">
                  <c:v>37.728612629846602</c:v>
                </c:pt>
                <c:pt idx="176">
                  <c:v>37.71304724422</c:v>
                </c:pt>
                <c:pt idx="177">
                  <c:v>38.3655328539027</c:v>
                </c:pt>
                <c:pt idx="178">
                  <c:v>38.781087788155801</c:v>
                </c:pt>
                <c:pt idx="179">
                  <c:v>38.149409618447699</c:v>
                </c:pt>
                <c:pt idx="180">
                  <c:v>37.960801656700298</c:v>
                </c:pt>
                <c:pt idx="181">
                  <c:v>37.600125968260897</c:v>
                </c:pt>
                <c:pt idx="182">
                  <c:v>37.237026495168998</c:v>
                </c:pt>
                <c:pt idx="183">
                  <c:v>36.872246819696002</c:v>
                </c:pt>
                <c:pt idx="184">
                  <c:v>37.155280278940801</c:v>
                </c:pt>
                <c:pt idx="185">
                  <c:v>38.764227015145799</c:v>
                </c:pt>
                <c:pt idx="186">
                  <c:v>38.927309649202897</c:v>
                </c:pt>
                <c:pt idx="187">
                  <c:v>40.093474363694497</c:v>
                </c:pt>
                <c:pt idx="188">
                  <c:v>39.604227745787703</c:v>
                </c:pt>
                <c:pt idx="189">
                  <c:v>39.312630048909398</c:v>
                </c:pt>
                <c:pt idx="190">
                  <c:v>39.546169090370498</c:v>
                </c:pt>
                <c:pt idx="191">
                  <c:v>39.294561422320299</c:v>
                </c:pt>
                <c:pt idx="192">
                  <c:v>38.674690974476398</c:v>
                </c:pt>
                <c:pt idx="193">
                  <c:v>38.110974339970902</c:v>
                </c:pt>
                <c:pt idx="194">
                  <c:v>38.132267232782198</c:v>
                </c:pt>
                <c:pt idx="195">
                  <c:v>38.722027056319199</c:v>
                </c:pt>
                <c:pt idx="196">
                  <c:v>38.19657828335</c:v>
                </c:pt>
                <c:pt idx="197">
                  <c:v>37.759045780243902</c:v>
                </c:pt>
                <c:pt idx="198">
                  <c:v>39.355045714738502</c:v>
                </c:pt>
                <c:pt idx="199">
                  <c:v>39.567961146104601</c:v>
                </c:pt>
                <c:pt idx="200">
                  <c:v>40.107341797738101</c:v>
                </c:pt>
                <c:pt idx="201">
                  <c:v>39.226900913212702</c:v>
                </c:pt>
                <c:pt idx="202">
                  <c:v>39.728472595818097</c:v>
                </c:pt>
                <c:pt idx="203">
                  <c:v>39.605874709040499</c:v>
                </c:pt>
                <c:pt idx="204">
                  <c:v>38.854525458881803</c:v>
                </c:pt>
                <c:pt idx="205">
                  <c:v>38.740415868543103</c:v>
                </c:pt>
                <c:pt idx="206">
                  <c:v>38.754279923779698</c:v>
                </c:pt>
                <c:pt idx="207">
                  <c:v>38.767229336483197</c:v>
                </c:pt>
                <c:pt idx="208">
                  <c:v>38.743127476798399</c:v>
                </c:pt>
                <c:pt idx="209">
                  <c:v>38.719025617113701</c:v>
                </c:pt>
                <c:pt idx="210">
                  <c:v>38.694923757429002</c:v>
                </c:pt>
                <c:pt idx="211">
                  <c:v>38.670821897744297</c:v>
                </c:pt>
                <c:pt idx="212">
                  <c:v>38.646720038059598</c:v>
                </c:pt>
                <c:pt idx="213">
                  <c:v>38.6226181783748</c:v>
                </c:pt>
                <c:pt idx="214">
                  <c:v>38.598516318690102</c:v>
                </c:pt>
                <c:pt idx="215">
                  <c:v>38.574414459005403</c:v>
                </c:pt>
                <c:pt idx="216">
                  <c:v>38.550312599320698</c:v>
                </c:pt>
                <c:pt idx="217">
                  <c:v>38.526210739635999</c:v>
                </c:pt>
                <c:pt idx="218">
                  <c:v>38.502108879951301</c:v>
                </c:pt>
                <c:pt idx="219">
                  <c:v>38.197763899757099</c:v>
                </c:pt>
                <c:pt idx="220">
                  <c:v>37.998883200438101</c:v>
                </c:pt>
                <c:pt idx="221">
                  <c:v>37.558789281713203</c:v>
                </c:pt>
                <c:pt idx="222">
                  <c:v>38.231501503208897</c:v>
                </c:pt>
                <c:pt idx="223">
                  <c:v>37.930594108829197</c:v>
                </c:pt>
                <c:pt idx="224">
                  <c:v>37.203320865026697</c:v>
                </c:pt>
                <c:pt idx="225">
                  <c:v>36.8653056525118</c:v>
                </c:pt>
                <c:pt idx="226">
                  <c:v>36.632093418688399</c:v>
                </c:pt>
                <c:pt idx="227">
                  <c:v>36.316992311430297</c:v>
                </c:pt>
                <c:pt idx="228">
                  <c:v>37.250557261724602</c:v>
                </c:pt>
                <c:pt idx="229">
                  <c:v>36.827739288057799</c:v>
                </c:pt>
                <c:pt idx="230">
                  <c:v>36.502086615008203</c:v>
                </c:pt>
                <c:pt idx="231">
                  <c:v>37.820905597170601</c:v>
                </c:pt>
                <c:pt idx="232">
                  <c:v>37.385703514750197</c:v>
                </c:pt>
                <c:pt idx="233">
                  <c:v>36.330821405988701</c:v>
                </c:pt>
                <c:pt idx="234">
                  <c:v>38.522220074486697</c:v>
                </c:pt>
                <c:pt idx="235">
                  <c:v>39.199029022511397</c:v>
                </c:pt>
                <c:pt idx="236">
                  <c:v>38.994992077880099</c:v>
                </c:pt>
                <c:pt idx="237">
                  <c:v>38.558119855760197</c:v>
                </c:pt>
                <c:pt idx="238">
                  <c:v>38.523438943215801</c:v>
                </c:pt>
                <c:pt idx="239">
                  <c:v>37.951135763560401</c:v>
                </c:pt>
                <c:pt idx="240">
                  <c:v>37.3219873750744</c:v>
                </c:pt>
                <c:pt idx="241">
                  <c:v>36.929590288939401</c:v>
                </c:pt>
                <c:pt idx="242">
                  <c:v>37.077414175641501</c:v>
                </c:pt>
                <c:pt idx="243">
                  <c:v>36.905670172037802</c:v>
                </c:pt>
                <c:pt idx="244">
                  <c:v>37.364110724335703</c:v>
                </c:pt>
                <c:pt idx="245">
                  <c:v>37.744059991978702</c:v>
                </c:pt>
                <c:pt idx="246">
                  <c:v>38.451154163460501</c:v>
                </c:pt>
                <c:pt idx="247">
                  <c:v>38.264715277809898</c:v>
                </c:pt>
                <c:pt idx="248">
                  <c:v>37.437937154580602</c:v>
                </c:pt>
                <c:pt idx="249">
                  <c:v>38.649393085200501</c:v>
                </c:pt>
                <c:pt idx="250">
                  <c:v>38.492626629082899</c:v>
                </c:pt>
                <c:pt idx="251">
                  <c:v>37.409015079073001</c:v>
                </c:pt>
                <c:pt idx="252">
                  <c:v>36.832495049798197</c:v>
                </c:pt>
                <c:pt idx="253">
                  <c:v>38.891737159288901</c:v>
                </c:pt>
                <c:pt idx="254">
                  <c:v>38.694481583835099</c:v>
                </c:pt>
                <c:pt idx="255">
                  <c:v>37.887614657947402</c:v>
                </c:pt>
                <c:pt idx="256">
                  <c:v>37.644267541068402</c:v>
                </c:pt>
                <c:pt idx="257">
                  <c:v>37.714892073714701</c:v>
                </c:pt>
                <c:pt idx="258">
                  <c:v>37.785516606361</c:v>
                </c:pt>
                <c:pt idx="259">
                  <c:v>38.3216019609401</c:v>
                </c:pt>
                <c:pt idx="260">
                  <c:v>38.709285472713503</c:v>
                </c:pt>
                <c:pt idx="261">
                  <c:v>37.456798997182503</c:v>
                </c:pt>
                <c:pt idx="262">
                  <c:v>36.844163778936199</c:v>
                </c:pt>
                <c:pt idx="263">
                  <c:v>38.224117367542597</c:v>
                </c:pt>
                <c:pt idx="264">
                  <c:v>37.1468579436063</c:v>
                </c:pt>
                <c:pt idx="265">
                  <c:v>36.717923589951901</c:v>
                </c:pt>
                <c:pt idx="266">
                  <c:v>36.1140824782252</c:v>
                </c:pt>
                <c:pt idx="267">
                  <c:v>35.4904756034882</c:v>
                </c:pt>
                <c:pt idx="268">
                  <c:v>34.9526329184134</c:v>
                </c:pt>
                <c:pt idx="269">
                  <c:v>34.733795326231601</c:v>
                </c:pt>
                <c:pt idx="270">
                  <c:v>36.320441281008002</c:v>
                </c:pt>
                <c:pt idx="271">
                  <c:v>37.5800935134939</c:v>
                </c:pt>
                <c:pt idx="272">
                  <c:v>37.006157454053998</c:v>
                </c:pt>
                <c:pt idx="273">
                  <c:v>35.932403876890902</c:v>
                </c:pt>
                <c:pt idx="274">
                  <c:v>36.254133463046898</c:v>
                </c:pt>
                <c:pt idx="275">
                  <c:v>36.390973332691502</c:v>
                </c:pt>
                <c:pt idx="276">
                  <c:v>36.008973915065198</c:v>
                </c:pt>
                <c:pt idx="277">
                  <c:v>35.9239697832028</c:v>
                </c:pt>
                <c:pt idx="278">
                  <c:v>35.838965651340402</c:v>
                </c:pt>
                <c:pt idx="279">
                  <c:v>35.502528596995298</c:v>
                </c:pt>
                <c:pt idx="280">
                  <c:v>36.699949187168897</c:v>
                </c:pt>
                <c:pt idx="281">
                  <c:v>36.536614010711297</c:v>
                </c:pt>
                <c:pt idx="282">
                  <c:v>35.3305826550299</c:v>
                </c:pt>
                <c:pt idx="283">
                  <c:v>34.201074692677899</c:v>
                </c:pt>
                <c:pt idx="284">
                  <c:v>34.403486905825503</c:v>
                </c:pt>
                <c:pt idx="285">
                  <c:v>33.855690507900697</c:v>
                </c:pt>
                <c:pt idx="286">
                  <c:v>33.351948487343698</c:v>
                </c:pt>
                <c:pt idx="287">
                  <c:v>32.841713263601797</c:v>
                </c:pt>
                <c:pt idx="288">
                  <c:v>32.4797632307071</c:v>
                </c:pt>
                <c:pt idx="289">
                  <c:v>32.103782964479898</c:v>
                </c:pt>
                <c:pt idx="290">
                  <c:v>31.742797573479098</c:v>
                </c:pt>
                <c:pt idx="291">
                  <c:v>31.381812182478299</c:v>
                </c:pt>
                <c:pt idx="292">
                  <c:v>26.831183762971801</c:v>
                </c:pt>
                <c:pt idx="293">
                  <c:v>34.518864171282701</c:v>
                </c:pt>
                <c:pt idx="294">
                  <c:v>35.2391245748125</c:v>
                </c:pt>
                <c:pt idx="295">
                  <c:v>35.778244035441197</c:v>
                </c:pt>
                <c:pt idx="296">
                  <c:v>35.945191989545997</c:v>
                </c:pt>
                <c:pt idx="297">
                  <c:v>38.786420794270299</c:v>
                </c:pt>
                <c:pt idx="298">
                  <c:v>37.327950427753798</c:v>
                </c:pt>
                <c:pt idx="299">
                  <c:v>36.144562939614801</c:v>
                </c:pt>
                <c:pt idx="300">
                  <c:v>34.735708502413402</c:v>
                </c:pt>
                <c:pt idx="301">
                  <c:v>33.465459648726799</c:v>
                </c:pt>
                <c:pt idx="302">
                  <c:v>32.308438444707399</c:v>
                </c:pt>
                <c:pt idx="303">
                  <c:v>31.300998297678699</c:v>
                </c:pt>
                <c:pt idx="304">
                  <c:v>30.469237327995899</c:v>
                </c:pt>
                <c:pt idx="305">
                  <c:v>30.168969211969401</c:v>
                </c:pt>
                <c:pt idx="306">
                  <c:v>32.0910279215949</c:v>
                </c:pt>
                <c:pt idx="307">
                  <c:v>31.862592664967799</c:v>
                </c:pt>
                <c:pt idx="308">
                  <c:v>31.4583462654731</c:v>
                </c:pt>
                <c:pt idx="309">
                  <c:v>31.062609024766999</c:v>
                </c:pt>
                <c:pt idx="310">
                  <c:v>30.994080608836001</c:v>
                </c:pt>
                <c:pt idx="311">
                  <c:v>32.7750177828378</c:v>
                </c:pt>
                <c:pt idx="312">
                  <c:v>32.065218593262003</c:v>
                </c:pt>
                <c:pt idx="313">
                  <c:v>34.802265302004301</c:v>
                </c:pt>
                <c:pt idx="314">
                  <c:v>36.065530825288597</c:v>
                </c:pt>
                <c:pt idx="315">
                  <c:v>34.739342932042398</c:v>
                </c:pt>
                <c:pt idx="316">
                  <c:v>34.122340470902699</c:v>
                </c:pt>
                <c:pt idx="317">
                  <c:v>34.492350777914901</c:v>
                </c:pt>
                <c:pt idx="318">
                  <c:v>34.037416416620601</c:v>
                </c:pt>
                <c:pt idx="319">
                  <c:v>37.0387419568141</c:v>
                </c:pt>
                <c:pt idx="320">
                  <c:v>36.461872022930798</c:v>
                </c:pt>
                <c:pt idx="321">
                  <c:v>35.498626930236597</c:v>
                </c:pt>
                <c:pt idx="322">
                  <c:v>35.928328229430001</c:v>
                </c:pt>
                <c:pt idx="323">
                  <c:v>35.126552158502001</c:v>
                </c:pt>
                <c:pt idx="324">
                  <c:v>34.1167529843746</c:v>
                </c:pt>
                <c:pt idx="325">
                  <c:v>33.224320606064701</c:v>
                </c:pt>
                <c:pt idx="326">
                  <c:v>32.518967356221502</c:v>
                </c:pt>
                <c:pt idx="327">
                  <c:v>31.557899166655702</c:v>
                </c:pt>
                <c:pt idx="328">
                  <c:v>30.590635727977698</c:v>
                </c:pt>
                <c:pt idx="329">
                  <c:v>29.7898125302466</c:v>
                </c:pt>
                <c:pt idx="330">
                  <c:v>29.1723054063017</c:v>
                </c:pt>
                <c:pt idx="331">
                  <c:v>28.944480207266501</c:v>
                </c:pt>
                <c:pt idx="332">
                  <c:v>28.5637140906992</c:v>
                </c:pt>
                <c:pt idx="333">
                  <c:v>28.3356722144595</c:v>
                </c:pt>
                <c:pt idx="334">
                  <c:v>27.8769048488621</c:v>
                </c:pt>
                <c:pt idx="335">
                  <c:v>27.662044485460701</c:v>
                </c:pt>
                <c:pt idx="336">
                  <c:v>27.326281992673099</c:v>
                </c:pt>
                <c:pt idx="337">
                  <c:v>27.385899725779801</c:v>
                </c:pt>
                <c:pt idx="338">
                  <c:v>29.5353925470143</c:v>
                </c:pt>
                <c:pt idx="339">
                  <c:v>34.779335249115498</c:v>
                </c:pt>
                <c:pt idx="340">
                  <c:v>33.206981250376501</c:v>
                </c:pt>
                <c:pt idx="341">
                  <c:v>34.350204460009799</c:v>
                </c:pt>
                <c:pt idx="342">
                  <c:v>34.704479509313899</c:v>
                </c:pt>
                <c:pt idx="343">
                  <c:v>32.800289756108803</c:v>
                </c:pt>
                <c:pt idx="344">
                  <c:v>31.089399471392699</c:v>
                </c:pt>
                <c:pt idx="345">
                  <c:v>29.9702984372367</c:v>
                </c:pt>
                <c:pt idx="346">
                  <c:v>28.691059373047299</c:v>
                </c:pt>
                <c:pt idx="347">
                  <c:v>25.651812184132002</c:v>
                </c:pt>
                <c:pt idx="348">
                  <c:v>25.644585580873201</c:v>
                </c:pt>
                <c:pt idx="349">
                  <c:v>25.704669784903</c:v>
                </c:pt>
                <c:pt idx="350">
                  <c:v>25.524946577219801</c:v>
                </c:pt>
                <c:pt idx="351">
                  <c:v>25.378913774904198</c:v>
                </c:pt>
                <c:pt idx="352">
                  <c:v>25.242158586146701</c:v>
                </c:pt>
                <c:pt idx="353">
                  <c:v>25.067398879416999</c:v>
                </c:pt>
                <c:pt idx="354">
                  <c:v>24.907534436572998</c:v>
                </c:pt>
                <c:pt idx="355">
                  <c:v>24.8047357611104</c:v>
                </c:pt>
                <c:pt idx="356">
                  <c:v>24.830965556009001</c:v>
                </c:pt>
                <c:pt idx="357">
                  <c:v>24.7153816619062</c:v>
                </c:pt>
                <c:pt idx="358">
                  <c:v>24.609987020952701</c:v>
                </c:pt>
                <c:pt idx="359">
                  <c:v>24.548865205684098</c:v>
                </c:pt>
                <c:pt idx="360">
                  <c:v>25.092118600356699</c:v>
                </c:pt>
                <c:pt idx="361">
                  <c:v>30.494581167153999</c:v>
                </c:pt>
                <c:pt idx="362">
                  <c:v>29.756301592032699</c:v>
                </c:pt>
                <c:pt idx="363">
                  <c:v>31.0129393030074</c:v>
                </c:pt>
                <c:pt idx="364">
                  <c:v>31.105628316753201</c:v>
                </c:pt>
                <c:pt idx="365">
                  <c:v>30.582460661745898</c:v>
                </c:pt>
                <c:pt idx="366">
                  <c:v>31.868333880808699</c:v>
                </c:pt>
                <c:pt idx="367">
                  <c:v>34.478083042584601</c:v>
                </c:pt>
                <c:pt idx="368">
                  <c:v>36.670393613875802</c:v>
                </c:pt>
                <c:pt idx="369">
                  <c:v>36.752385835974501</c:v>
                </c:pt>
                <c:pt idx="370">
                  <c:v>36.363554659059503</c:v>
                </c:pt>
                <c:pt idx="371">
                  <c:v>35.408974394312402</c:v>
                </c:pt>
                <c:pt idx="372">
                  <c:v>36.0267540933433</c:v>
                </c:pt>
                <c:pt idx="373">
                  <c:v>35.202150482981899</c:v>
                </c:pt>
                <c:pt idx="374">
                  <c:v>33.978632949764602</c:v>
                </c:pt>
                <c:pt idx="375">
                  <c:v>33.881251988418803</c:v>
                </c:pt>
                <c:pt idx="376">
                  <c:v>33.680472559087697</c:v>
                </c:pt>
                <c:pt idx="377">
                  <c:v>33.522864355579301</c:v>
                </c:pt>
                <c:pt idx="378">
                  <c:v>33.250008972594699</c:v>
                </c:pt>
                <c:pt idx="379">
                  <c:v>32.920701844085499</c:v>
                </c:pt>
                <c:pt idx="380">
                  <c:v>32.6365692391377</c:v>
                </c:pt>
                <c:pt idx="381">
                  <c:v>32.901828619733003</c:v>
                </c:pt>
                <c:pt idx="382">
                  <c:v>33.843721689773297</c:v>
                </c:pt>
                <c:pt idx="383">
                  <c:v>33.8397785579551</c:v>
                </c:pt>
                <c:pt idx="384">
                  <c:v>34.362193350928102</c:v>
                </c:pt>
                <c:pt idx="385">
                  <c:v>36.151065321793602</c:v>
                </c:pt>
                <c:pt idx="386">
                  <c:v>35.102276247107497</c:v>
                </c:pt>
                <c:pt idx="387">
                  <c:v>34.589577186762</c:v>
                </c:pt>
                <c:pt idx="388">
                  <c:v>34.597926126721703</c:v>
                </c:pt>
                <c:pt idx="389">
                  <c:v>35.034692047449397</c:v>
                </c:pt>
                <c:pt idx="390">
                  <c:v>34.742557310828197</c:v>
                </c:pt>
                <c:pt idx="391">
                  <c:v>34.420257618638402</c:v>
                </c:pt>
                <c:pt idx="392">
                  <c:v>34.0611903858197</c:v>
                </c:pt>
              </c:numCache>
            </c:numRef>
          </c:xVal>
          <c:yVal>
            <c:numRef>
              <c:f>selhausen_SM_Kdose_daily!$B$8:$B$400</c:f>
              <c:numCache>
                <c:formatCode>General</c:formatCode>
                <c:ptCount val="393"/>
                <c:pt idx="0">
                  <c:v>9.6624901803118899</c:v>
                </c:pt>
                <c:pt idx="1">
                  <c:v>9.6824418981481397</c:v>
                </c:pt>
                <c:pt idx="2">
                  <c:v>9.7063027777777808</c:v>
                </c:pt>
                <c:pt idx="3">
                  <c:v>9.7083127777777793</c:v>
                </c:pt>
                <c:pt idx="4">
                  <c:v>9.7228461111111102</c:v>
                </c:pt>
                <c:pt idx="5">
                  <c:v>9.7789294444444401</c:v>
                </c:pt>
                <c:pt idx="6">
                  <c:v>9.8354888888888894</c:v>
                </c:pt>
                <c:pt idx="7">
                  <c:v>9.8960284722222198</c:v>
                </c:pt>
                <c:pt idx="8">
                  <c:v>9.9349652777777706</c:v>
                </c:pt>
                <c:pt idx="9">
                  <c:v>10.011000462962899</c:v>
                </c:pt>
                <c:pt idx="10">
                  <c:v>10.0192439814814</c:v>
                </c:pt>
                <c:pt idx="11">
                  <c:v>10.0786252314814</c:v>
                </c:pt>
                <c:pt idx="12">
                  <c:v>10.056317824074</c:v>
                </c:pt>
                <c:pt idx="13">
                  <c:v>10.0137576388888</c:v>
                </c:pt>
                <c:pt idx="14">
                  <c:v>9.9232726851851805</c:v>
                </c:pt>
                <c:pt idx="15">
                  <c:v>9.9298074074074005</c:v>
                </c:pt>
                <c:pt idx="16">
                  <c:v>10.006381944444399</c:v>
                </c:pt>
                <c:pt idx="17">
                  <c:v>10.002443518518501</c:v>
                </c:pt>
                <c:pt idx="18">
                  <c:v>9.8880222222222205</c:v>
                </c:pt>
                <c:pt idx="19">
                  <c:v>9.7480868055555501</c:v>
                </c:pt>
                <c:pt idx="20">
                  <c:v>9.7232756944444407</c:v>
                </c:pt>
                <c:pt idx="21">
                  <c:v>9.7947648148148101</c:v>
                </c:pt>
                <c:pt idx="22">
                  <c:v>9.87018611111111</c:v>
                </c:pt>
                <c:pt idx="23">
                  <c:v>9.9149729166666596</c:v>
                </c:pt>
                <c:pt idx="24">
                  <c:v>9.9455923611111103</c:v>
                </c:pt>
                <c:pt idx="25">
                  <c:v>9.9648916666666594</c:v>
                </c:pt>
                <c:pt idx="26">
                  <c:v>9.9738000000000007</c:v>
                </c:pt>
                <c:pt idx="27">
                  <c:v>9.9617488425925895</c:v>
                </c:pt>
                <c:pt idx="28">
                  <c:v>9.9480560185185194</c:v>
                </c:pt>
                <c:pt idx="29">
                  <c:v>9.8066381944444405</c:v>
                </c:pt>
                <c:pt idx="30">
                  <c:v>9.5084155092592599</c:v>
                </c:pt>
                <c:pt idx="31">
                  <c:v>9.3892960648148094</c:v>
                </c:pt>
                <c:pt idx="32">
                  <c:v>9.4182421296296308</c:v>
                </c:pt>
                <c:pt idx="33">
                  <c:v>9.6309670833333296</c:v>
                </c:pt>
                <c:pt idx="34">
                  <c:v>9.6721471759259199</c:v>
                </c:pt>
                <c:pt idx="35">
                  <c:v>9.7865307407407407</c:v>
                </c:pt>
                <c:pt idx="36">
                  <c:v>9.73269837962963</c:v>
                </c:pt>
                <c:pt idx="37">
                  <c:v>9.6868648148148093</c:v>
                </c:pt>
                <c:pt idx="38">
                  <c:v>9.6363523148148094</c:v>
                </c:pt>
                <c:pt idx="39">
                  <c:v>9.8070050925925898</c:v>
                </c:pt>
                <c:pt idx="40">
                  <c:v>9.9966270833333297</c:v>
                </c:pt>
                <c:pt idx="41">
                  <c:v>10.041658564814799</c:v>
                </c:pt>
                <c:pt idx="42">
                  <c:v>9.99295648148148</c:v>
                </c:pt>
                <c:pt idx="43">
                  <c:v>9.9231504629629601</c:v>
                </c:pt>
                <c:pt idx="44">
                  <c:v>9.9425055555555506</c:v>
                </c:pt>
                <c:pt idx="45">
                  <c:v>10.005364814814801</c:v>
                </c:pt>
                <c:pt idx="46">
                  <c:v>10.0463453703703</c:v>
                </c:pt>
                <c:pt idx="47">
                  <c:v>10.0018435185185</c:v>
                </c:pt>
                <c:pt idx="48">
                  <c:v>9.8517504629629595</c:v>
                </c:pt>
                <c:pt idx="49">
                  <c:v>9.7090030092592592</c:v>
                </c:pt>
                <c:pt idx="50">
                  <c:v>9.6825749999999999</c:v>
                </c:pt>
                <c:pt idx="51">
                  <c:v>9.7896460648148107</c:v>
                </c:pt>
                <c:pt idx="52">
                  <c:v>9.8709342592592595</c:v>
                </c:pt>
                <c:pt idx="53">
                  <c:v>9.8577016203703707</c:v>
                </c:pt>
                <c:pt idx="54">
                  <c:v>9.7073143518518492</c:v>
                </c:pt>
                <c:pt idx="55">
                  <c:v>9.6020754629629597</c:v>
                </c:pt>
                <c:pt idx="56">
                  <c:v>9.5780254629629606</c:v>
                </c:pt>
                <c:pt idx="57">
                  <c:v>9.6785706018518507</c:v>
                </c:pt>
                <c:pt idx="58">
                  <c:v>9.8225863425925901</c:v>
                </c:pt>
                <c:pt idx="59">
                  <c:v>9.8600405092592496</c:v>
                </c:pt>
                <c:pt idx="60">
                  <c:v>9.7688136574073994</c:v>
                </c:pt>
                <c:pt idx="61">
                  <c:v>9.7014750000000003</c:v>
                </c:pt>
                <c:pt idx="62">
                  <c:v>9.7375168981481401</c:v>
                </c:pt>
                <c:pt idx="63">
                  <c:v>9.8869543981481396</c:v>
                </c:pt>
                <c:pt idx="64">
                  <c:v>10.755942129629601</c:v>
                </c:pt>
                <c:pt idx="65">
                  <c:v>10.856089120370299</c:v>
                </c:pt>
                <c:pt idx="66">
                  <c:v>10.906479629629599</c:v>
                </c:pt>
                <c:pt idx="67">
                  <c:v>10.7610395833333</c:v>
                </c:pt>
                <c:pt idx="68">
                  <c:v>10.506660879629599</c:v>
                </c:pt>
                <c:pt idx="69">
                  <c:v>10.327778472222199</c:v>
                </c:pt>
                <c:pt idx="70">
                  <c:v>10.3200599537037</c:v>
                </c:pt>
                <c:pt idx="71">
                  <c:v>10.35745</c:v>
                </c:pt>
                <c:pt idx="72">
                  <c:v>10.314901388888799</c:v>
                </c:pt>
                <c:pt idx="73">
                  <c:v>10.251849305555499</c:v>
                </c:pt>
                <c:pt idx="74">
                  <c:v>10.118454398148099</c:v>
                </c:pt>
                <c:pt idx="75">
                  <c:v>10.140983796296201</c:v>
                </c:pt>
                <c:pt idx="76">
                  <c:v>10.1857986111111</c:v>
                </c:pt>
                <c:pt idx="77">
                  <c:v>10.3829643518518</c:v>
                </c:pt>
                <c:pt idx="78">
                  <c:v>10.5904768518518</c:v>
                </c:pt>
                <c:pt idx="79">
                  <c:v>10.872079629629599</c:v>
                </c:pt>
                <c:pt idx="80">
                  <c:v>11.1637266203703</c:v>
                </c:pt>
                <c:pt idx="81">
                  <c:v>11.423774537037</c:v>
                </c:pt>
                <c:pt idx="82">
                  <c:v>11.5800775462962</c:v>
                </c:pt>
                <c:pt idx="83">
                  <c:v>11.742655324074001</c:v>
                </c:pt>
                <c:pt idx="84">
                  <c:v>11.840356249999999</c:v>
                </c:pt>
                <c:pt idx="85">
                  <c:v>11.81759375</c:v>
                </c:pt>
                <c:pt idx="86">
                  <c:v>11.3154863425925</c:v>
                </c:pt>
                <c:pt idx="87">
                  <c:v>10.8287412037037</c:v>
                </c:pt>
                <c:pt idx="88">
                  <c:v>10.5430277777777</c:v>
                </c:pt>
                <c:pt idx="89">
                  <c:v>10.8245210648148</c:v>
                </c:pt>
                <c:pt idx="90">
                  <c:v>11.0153863425925</c:v>
                </c:pt>
                <c:pt idx="91">
                  <c:v>11.0795435185185</c:v>
                </c:pt>
                <c:pt idx="92">
                  <c:v>10.953448842592501</c:v>
                </c:pt>
                <c:pt idx="93">
                  <c:v>11.0082210648148</c:v>
                </c:pt>
                <c:pt idx="94">
                  <c:v>11.0268268518518</c:v>
                </c:pt>
                <c:pt idx="95">
                  <c:v>10.835220833333301</c:v>
                </c:pt>
                <c:pt idx="96">
                  <c:v>10.5503550925925</c:v>
                </c:pt>
                <c:pt idx="97">
                  <c:v>10.4199509259259</c:v>
                </c:pt>
                <c:pt idx="98">
                  <c:v>10.6398537037037</c:v>
                </c:pt>
                <c:pt idx="99">
                  <c:v>10.860381018518501</c:v>
                </c:pt>
                <c:pt idx="100">
                  <c:v>11.053596296296201</c:v>
                </c:pt>
                <c:pt idx="101">
                  <c:v>11.1946581018518</c:v>
                </c:pt>
                <c:pt idx="102">
                  <c:v>11.238350694444399</c:v>
                </c:pt>
                <c:pt idx="103">
                  <c:v>11.178202314814801</c:v>
                </c:pt>
                <c:pt idx="104">
                  <c:v>11.1477150462962</c:v>
                </c:pt>
                <c:pt idx="105">
                  <c:v>11.2423814814814</c:v>
                </c:pt>
                <c:pt idx="106">
                  <c:v>11.228382175925899</c:v>
                </c:pt>
                <c:pt idx="107">
                  <c:v>11.106705324073999</c:v>
                </c:pt>
                <c:pt idx="108">
                  <c:v>10.9386113425925</c:v>
                </c:pt>
                <c:pt idx="109">
                  <c:v>10.9539384259259</c:v>
                </c:pt>
                <c:pt idx="110">
                  <c:v>11.088259027777699</c:v>
                </c:pt>
                <c:pt idx="111">
                  <c:v>11.237245370370299</c:v>
                </c:pt>
                <c:pt idx="112">
                  <c:v>11.353516898148101</c:v>
                </c:pt>
                <c:pt idx="113">
                  <c:v>11.3963106481481</c:v>
                </c:pt>
                <c:pt idx="114">
                  <c:v>11.510054861111101</c:v>
                </c:pt>
                <c:pt idx="115">
                  <c:v>11.5059185185185</c:v>
                </c:pt>
                <c:pt idx="116">
                  <c:v>11.540931018518499</c:v>
                </c:pt>
                <c:pt idx="117">
                  <c:v>11.153098611111099</c:v>
                </c:pt>
                <c:pt idx="118">
                  <c:v>10.802577777777699</c:v>
                </c:pt>
                <c:pt idx="119">
                  <c:v>10.415200694444399</c:v>
                </c:pt>
                <c:pt idx="120">
                  <c:v>10.4038043981481</c:v>
                </c:pt>
                <c:pt idx="121">
                  <c:v>10.509411574074001</c:v>
                </c:pt>
                <c:pt idx="122">
                  <c:v>10.495975231481401</c:v>
                </c:pt>
                <c:pt idx="123">
                  <c:v>10.3706613425925</c:v>
                </c:pt>
                <c:pt idx="124">
                  <c:v>10.161891898148101</c:v>
                </c:pt>
                <c:pt idx="125">
                  <c:v>10.019836805555499</c:v>
                </c:pt>
                <c:pt idx="126">
                  <c:v>9.9122488425925894</c:v>
                </c:pt>
                <c:pt idx="127">
                  <c:v>9.8585006944444409</c:v>
                </c:pt>
                <c:pt idx="128">
                  <c:v>9.8144930555555501</c:v>
                </c:pt>
                <c:pt idx="129">
                  <c:v>9.7569214351851805</c:v>
                </c:pt>
                <c:pt idx="130">
                  <c:v>9.6996651851851805</c:v>
                </c:pt>
                <c:pt idx="131">
                  <c:v>9.6783721296296292</c:v>
                </c:pt>
                <c:pt idx="132">
                  <c:v>9.7535307870370307</c:v>
                </c:pt>
                <c:pt idx="133">
                  <c:v>9.7932539351851808</c:v>
                </c:pt>
                <c:pt idx="134">
                  <c:v>9.8270081018518507</c:v>
                </c:pt>
                <c:pt idx="135">
                  <c:v>9.7538451388888898</c:v>
                </c:pt>
                <c:pt idx="136">
                  <c:v>9.7510018055555499</c:v>
                </c:pt>
                <c:pt idx="137">
                  <c:v>9.7585754166666607</c:v>
                </c:pt>
                <c:pt idx="138">
                  <c:v>9.7879115277777693</c:v>
                </c:pt>
                <c:pt idx="139">
                  <c:v>9.7526525462962894</c:v>
                </c:pt>
                <c:pt idx="140">
                  <c:v>9.6996692129629594</c:v>
                </c:pt>
                <c:pt idx="141">
                  <c:v>9.6911738425925904</c:v>
                </c:pt>
                <c:pt idx="142">
                  <c:v>9.7326164351851805</c:v>
                </c:pt>
                <c:pt idx="143">
                  <c:v>9.7317951388888897</c:v>
                </c:pt>
                <c:pt idx="144">
                  <c:v>9.6604097222222194</c:v>
                </c:pt>
                <c:pt idx="145">
                  <c:v>9.5190935185185204</c:v>
                </c:pt>
                <c:pt idx="146">
                  <c:v>9.4382946759259205</c:v>
                </c:pt>
                <c:pt idx="147">
                  <c:v>9.4440199074073998</c:v>
                </c:pt>
                <c:pt idx="148">
                  <c:v>9.47042291666666</c:v>
                </c:pt>
                <c:pt idx="149">
                  <c:v>9.5080965277777807</c:v>
                </c:pt>
                <c:pt idx="150">
                  <c:v>9.4984199074073992</c:v>
                </c:pt>
                <c:pt idx="151">
                  <c:v>9.4829261574074</c:v>
                </c:pt>
                <c:pt idx="152">
                  <c:v>9.4367275462962894</c:v>
                </c:pt>
                <c:pt idx="153">
                  <c:v>9.4755180555555505</c:v>
                </c:pt>
                <c:pt idx="154">
                  <c:v>9.5042909722222202</c:v>
                </c:pt>
                <c:pt idx="155">
                  <c:v>9.4968368055555494</c:v>
                </c:pt>
                <c:pt idx="156">
                  <c:v>9.4266145833333308</c:v>
                </c:pt>
                <c:pt idx="157">
                  <c:v>9.4355456018518495</c:v>
                </c:pt>
                <c:pt idx="158">
                  <c:v>9.3810050925925896</c:v>
                </c:pt>
                <c:pt idx="159">
                  <c:v>9.3401615740740702</c:v>
                </c:pt>
                <c:pt idx="160">
                  <c:v>9.2687668981481401</c:v>
                </c:pt>
                <c:pt idx="161">
                  <c:v>9.3096458333333292</c:v>
                </c:pt>
                <c:pt idx="162">
                  <c:v>9.3035983796296193</c:v>
                </c:pt>
                <c:pt idx="163">
                  <c:v>9.2910085648148097</c:v>
                </c:pt>
                <c:pt idx="164">
                  <c:v>9.2658668981481398</c:v>
                </c:pt>
                <c:pt idx="165">
                  <c:v>9.2857231481481399</c:v>
                </c:pt>
                <c:pt idx="166">
                  <c:v>9.3328490740740708</c:v>
                </c:pt>
                <c:pt idx="167">
                  <c:v>9.3568738425925897</c:v>
                </c:pt>
                <c:pt idx="168">
                  <c:v>9.2917849537037007</c:v>
                </c:pt>
                <c:pt idx="169">
                  <c:v>9.3044511574073994</c:v>
                </c:pt>
                <c:pt idx="170">
                  <c:v>9.2803000000000004</c:v>
                </c:pt>
                <c:pt idx="171">
                  <c:v>9.32594305555555</c:v>
                </c:pt>
                <c:pt idx="172">
                  <c:v>9.2993618055555505</c:v>
                </c:pt>
                <c:pt idx="173">
                  <c:v>9.3252474537036996</c:v>
                </c:pt>
                <c:pt idx="174">
                  <c:v>9.3889465277777706</c:v>
                </c:pt>
                <c:pt idx="175">
                  <c:v>9.4047613425925896</c:v>
                </c:pt>
                <c:pt idx="176">
                  <c:v>9.4149865740740708</c:v>
                </c:pt>
                <c:pt idx="177">
                  <c:v>9.3667525462962899</c:v>
                </c:pt>
                <c:pt idx="178">
                  <c:v>9.37848333333333</c:v>
                </c:pt>
                <c:pt idx="179">
                  <c:v>9.3740245370370303</c:v>
                </c:pt>
                <c:pt idx="180">
                  <c:v>9.4164562499999995</c:v>
                </c:pt>
                <c:pt idx="181">
                  <c:v>9.4716002314814798</c:v>
                </c:pt>
                <c:pt idx="182">
                  <c:v>9.5297634259259194</c:v>
                </c:pt>
                <c:pt idx="183">
                  <c:v>9.5456743055555506</c:v>
                </c:pt>
                <c:pt idx="184">
                  <c:v>9.4503729166666606</c:v>
                </c:pt>
                <c:pt idx="185">
                  <c:v>9.3835678240740705</c:v>
                </c:pt>
                <c:pt idx="186">
                  <c:v>9.3006912037036997</c:v>
                </c:pt>
                <c:pt idx="187">
                  <c:v>9.2617386574074008</c:v>
                </c:pt>
                <c:pt idx="188">
                  <c:v>9.2832094907407399</c:v>
                </c:pt>
                <c:pt idx="189">
                  <c:v>9.3211324074074007</c:v>
                </c:pt>
                <c:pt idx="190">
                  <c:v>9.3675701388888797</c:v>
                </c:pt>
                <c:pt idx="191">
                  <c:v>9.3908134259259199</c:v>
                </c:pt>
                <c:pt idx="192">
                  <c:v>9.4658185185185193</c:v>
                </c:pt>
                <c:pt idx="193">
                  <c:v>9.5029199074073993</c:v>
                </c:pt>
                <c:pt idx="194">
                  <c:v>9.4879347222222208</c:v>
                </c:pt>
                <c:pt idx="195">
                  <c:v>9.4525319444444396</c:v>
                </c:pt>
                <c:pt idx="196">
                  <c:v>9.4550534722222199</c:v>
                </c:pt>
                <c:pt idx="197">
                  <c:v>9.4272337962962904</c:v>
                </c:pt>
                <c:pt idx="198">
                  <c:v>9.3864527777777695</c:v>
                </c:pt>
                <c:pt idx="199">
                  <c:v>9.3052824074074003</c:v>
                </c:pt>
                <c:pt idx="200">
                  <c:v>9.3092333333333297</c:v>
                </c:pt>
                <c:pt idx="201">
                  <c:v>9.2903412037037008</c:v>
                </c:pt>
                <c:pt idx="202">
                  <c:v>9.2853328703703699</c:v>
                </c:pt>
                <c:pt idx="203">
                  <c:v>9.3025652314814806</c:v>
                </c:pt>
                <c:pt idx="204">
                  <c:v>9.3458897685185196</c:v>
                </c:pt>
                <c:pt idx="205">
                  <c:v>9.3904237037036999</c:v>
                </c:pt>
                <c:pt idx="206">
                  <c:v>9.3931422222222203</c:v>
                </c:pt>
                <c:pt idx="207">
                  <c:v>9.32831907407407</c:v>
                </c:pt>
                <c:pt idx="208">
                  <c:v>9.2651082870370303</c:v>
                </c:pt>
                <c:pt idx="209">
                  <c:v>9.2040567129629594</c:v>
                </c:pt>
                <c:pt idx="210">
                  <c:v>9.1970843749999993</c:v>
                </c:pt>
                <c:pt idx="211">
                  <c:v>9.2343562499999994</c:v>
                </c:pt>
                <c:pt idx="212">
                  <c:v>9.2882301870748201</c:v>
                </c:pt>
                <c:pt idx="213">
                  <c:v>9.3421041241496603</c:v>
                </c:pt>
                <c:pt idx="214">
                  <c:v>9.3959780612244899</c:v>
                </c:pt>
                <c:pt idx="215">
                  <c:v>9.4498519982993194</c:v>
                </c:pt>
                <c:pt idx="216">
                  <c:v>9.5037259353741401</c:v>
                </c:pt>
                <c:pt idx="217">
                  <c:v>9.5575998724489803</c:v>
                </c:pt>
                <c:pt idx="218">
                  <c:v>9.6114738095238099</c:v>
                </c:pt>
                <c:pt idx="219">
                  <c:v>9.5860261408730096</c:v>
                </c:pt>
                <c:pt idx="220">
                  <c:v>9.5667299272486694</c:v>
                </c:pt>
                <c:pt idx="221">
                  <c:v>9.5536247685185192</c:v>
                </c:pt>
                <c:pt idx="222">
                  <c:v>9.5391393518518495</c:v>
                </c:pt>
                <c:pt idx="223">
                  <c:v>9.5765539351851796</c:v>
                </c:pt>
                <c:pt idx="224">
                  <c:v>9.6263328703703692</c:v>
                </c:pt>
                <c:pt idx="225">
                  <c:v>9.69900972222222</c:v>
                </c:pt>
                <c:pt idx="226">
                  <c:v>9.7093800925925908</c:v>
                </c:pt>
                <c:pt idx="227">
                  <c:v>9.6727689814814806</c:v>
                </c:pt>
                <c:pt idx="228">
                  <c:v>9.78842518939393</c:v>
                </c:pt>
                <c:pt idx="229">
                  <c:v>9.8325917929292892</c:v>
                </c:pt>
                <c:pt idx="230">
                  <c:v>9.8492458333333293</c:v>
                </c:pt>
                <c:pt idx="231">
                  <c:v>9.8654333333333302</c:v>
                </c:pt>
                <c:pt idx="232">
                  <c:v>9.8578541666666606</c:v>
                </c:pt>
                <c:pt idx="233">
                  <c:v>9.8476513888888899</c:v>
                </c:pt>
                <c:pt idx="234">
                  <c:v>9.7518624999999997</c:v>
                </c:pt>
                <c:pt idx="235">
                  <c:v>9.6934749999999994</c:v>
                </c:pt>
                <c:pt idx="236">
                  <c:v>9.7019472222222198</c:v>
                </c:pt>
                <c:pt idx="237">
                  <c:v>9.7632777777777697</c:v>
                </c:pt>
                <c:pt idx="238">
                  <c:v>9.7471638888888901</c:v>
                </c:pt>
                <c:pt idx="239">
                  <c:v>9.7309222222222207</c:v>
                </c:pt>
                <c:pt idx="240">
                  <c:v>9.7758777777777706</c:v>
                </c:pt>
                <c:pt idx="241">
                  <c:v>9.9101972222222194</c:v>
                </c:pt>
                <c:pt idx="242">
                  <c:v>10.019018055555501</c:v>
                </c:pt>
                <c:pt idx="243">
                  <c:v>10.0024</c:v>
                </c:pt>
                <c:pt idx="244">
                  <c:v>9.9267680555555504</c:v>
                </c:pt>
                <c:pt idx="245">
                  <c:v>9.8343486111111105</c:v>
                </c:pt>
                <c:pt idx="246">
                  <c:v>9.8528374999999997</c:v>
                </c:pt>
                <c:pt idx="247">
                  <c:v>9.8700152777777692</c:v>
                </c:pt>
                <c:pt idx="248">
                  <c:v>9.8897222222222201</c:v>
                </c:pt>
                <c:pt idx="249">
                  <c:v>9.7759402777777709</c:v>
                </c:pt>
                <c:pt idx="250">
                  <c:v>9.7120486111111095</c:v>
                </c:pt>
                <c:pt idx="251">
                  <c:v>9.7010263888888897</c:v>
                </c:pt>
                <c:pt idx="252">
                  <c:v>9.8362208333333303</c:v>
                </c:pt>
                <c:pt idx="253">
                  <c:v>9.8075472222222206</c:v>
                </c:pt>
                <c:pt idx="254">
                  <c:v>9.8061319444444397</c:v>
                </c:pt>
                <c:pt idx="255">
                  <c:v>9.7371305555555505</c:v>
                </c:pt>
                <c:pt idx="256">
                  <c:v>9.8166986111111108</c:v>
                </c:pt>
                <c:pt idx="257">
                  <c:v>9.8623444444444406</c:v>
                </c:pt>
                <c:pt idx="258">
                  <c:v>9.9816847222222194</c:v>
                </c:pt>
                <c:pt idx="259">
                  <c:v>9.8347315821256007</c:v>
                </c:pt>
                <c:pt idx="260">
                  <c:v>9.8352690821256008</c:v>
                </c:pt>
                <c:pt idx="261">
                  <c:v>9.9095621376811494</c:v>
                </c:pt>
                <c:pt idx="262">
                  <c:v>9.9127569444444408</c:v>
                </c:pt>
                <c:pt idx="263">
                  <c:v>9.85819861111111</c:v>
                </c:pt>
                <c:pt idx="264">
                  <c:v>9.8549486111111104</c:v>
                </c:pt>
                <c:pt idx="265">
                  <c:v>9.9747347222222196</c:v>
                </c:pt>
                <c:pt idx="266">
                  <c:v>10.0874305555555</c:v>
                </c:pt>
                <c:pt idx="267">
                  <c:v>10.1345888888888</c:v>
                </c:pt>
                <c:pt idx="268">
                  <c:v>10.1352305555555</c:v>
                </c:pt>
                <c:pt idx="269">
                  <c:v>9.9718347222222192</c:v>
                </c:pt>
                <c:pt idx="270">
                  <c:v>9.8358916666666598</c:v>
                </c:pt>
                <c:pt idx="271">
                  <c:v>9.7663083333333294</c:v>
                </c:pt>
                <c:pt idx="272">
                  <c:v>9.8151680555555494</c:v>
                </c:pt>
                <c:pt idx="273">
                  <c:v>9.9253236111111107</c:v>
                </c:pt>
                <c:pt idx="274">
                  <c:v>9.9696944444444409</c:v>
                </c:pt>
                <c:pt idx="275">
                  <c:v>10.0510208333333</c:v>
                </c:pt>
                <c:pt idx="276">
                  <c:v>10.0960472222222</c:v>
                </c:pt>
                <c:pt idx="277">
                  <c:v>10.137924999999999</c:v>
                </c:pt>
                <c:pt idx="278">
                  <c:v>10.048930555555501</c:v>
                </c:pt>
                <c:pt idx="279">
                  <c:v>9.9906694444444408</c:v>
                </c:pt>
                <c:pt idx="280">
                  <c:v>10.039016666666599</c:v>
                </c:pt>
                <c:pt idx="281">
                  <c:v>10.209300000000001</c:v>
                </c:pt>
                <c:pt idx="282">
                  <c:v>10.4134152777777</c:v>
                </c:pt>
                <c:pt idx="283">
                  <c:v>10.513515277777699</c:v>
                </c:pt>
                <c:pt idx="284">
                  <c:v>10.4126041666666</c:v>
                </c:pt>
                <c:pt idx="285">
                  <c:v>10.3272763888888</c:v>
                </c:pt>
                <c:pt idx="286">
                  <c:v>10.2460194444444</c:v>
                </c:pt>
                <c:pt idx="287">
                  <c:v>10.346198611111101</c:v>
                </c:pt>
                <c:pt idx="288">
                  <c:v>10.472669444444399</c:v>
                </c:pt>
                <c:pt idx="289">
                  <c:v>10.5711986111111</c:v>
                </c:pt>
                <c:pt idx="290">
                  <c:v>10.4098611111111</c:v>
                </c:pt>
                <c:pt idx="291">
                  <c:v>10.0475833333333</c:v>
                </c:pt>
                <c:pt idx="292">
                  <c:v>10.865697222222201</c:v>
                </c:pt>
                <c:pt idx="293">
                  <c:v>10.439447222222199</c:v>
                </c:pt>
                <c:pt idx="294">
                  <c:v>9.9731500000000004</c:v>
                </c:pt>
                <c:pt idx="295">
                  <c:v>9.9704208333333302</c:v>
                </c:pt>
                <c:pt idx="296">
                  <c:v>10.020777777777701</c:v>
                </c:pt>
                <c:pt idx="297">
                  <c:v>10.008451388888799</c:v>
                </c:pt>
                <c:pt idx="298">
                  <c:v>10.1276222222222</c:v>
                </c:pt>
                <c:pt idx="299">
                  <c:v>10.341126388888799</c:v>
                </c:pt>
                <c:pt idx="300">
                  <c:v>10.6640263888888</c:v>
                </c:pt>
                <c:pt idx="301">
                  <c:v>10.920715277777701</c:v>
                </c:pt>
                <c:pt idx="302">
                  <c:v>11.1637077380952</c:v>
                </c:pt>
                <c:pt idx="303">
                  <c:v>11.2885869047619</c:v>
                </c:pt>
                <c:pt idx="304">
                  <c:v>11.2764438492063</c:v>
                </c:pt>
                <c:pt idx="305">
                  <c:v>10.9588236111111</c:v>
                </c:pt>
                <c:pt idx="306">
                  <c:v>10.5872916666666</c:v>
                </c:pt>
                <c:pt idx="307">
                  <c:v>10.355555555555499</c:v>
                </c:pt>
                <c:pt idx="308">
                  <c:v>10.416650757575701</c:v>
                </c:pt>
                <c:pt idx="309">
                  <c:v>10.6083924242424</c:v>
                </c:pt>
                <c:pt idx="310">
                  <c:v>10.6259888888888</c:v>
                </c:pt>
                <c:pt idx="311">
                  <c:v>10.5975375</c:v>
                </c:pt>
                <c:pt idx="312">
                  <c:v>10.3439180555555</c:v>
                </c:pt>
                <c:pt idx="313">
                  <c:v>10.298325</c:v>
                </c:pt>
                <c:pt idx="314">
                  <c:v>10.191558333333299</c:v>
                </c:pt>
                <c:pt idx="315">
                  <c:v>10.248468055555501</c:v>
                </c:pt>
                <c:pt idx="316">
                  <c:v>10.261368055555501</c:v>
                </c:pt>
                <c:pt idx="317">
                  <c:v>10.2082083333333</c:v>
                </c:pt>
                <c:pt idx="318">
                  <c:v>10.086124999999999</c:v>
                </c:pt>
                <c:pt idx="319">
                  <c:v>10.0804125</c:v>
                </c:pt>
                <c:pt idx="320">
                  <c:v>10.023819444444401</c:v>
                </c:pt>
                <c:pt idx="321">
                  <c:v>10.038461111111101</c:v>
                </c:pt>
                <c:pt idx="322">
                  <c:v>10.047611111111101</c:v>
                </c:pt>
                <c:pt idx="323">
                  <c:v>10.221788888888801</c:v>
                </c:pt>
                <c:pt idx="324">
                  <c:v>10.340547222222201</c:v>
                </c:pt>
                <c:pt idx="325">
                  <c:v>10.532815277777701</c:v>
                </c:pt>
                <c:pt idx="326">
                  <c:v>10.627537500000001</c:v>
                </c:pt>
                <c:pt idx="327">
                  <c:v>10.858356944444401</c:v>
                </c:pt>
                <c:pt idx="328">
                  <c:v>11.011391666666601</c:v>
                </c:pt>
                <c:pt idx="329">
                  <c:v>10.9731583333333</c:v>
                </c:pt>
                <c:pt idx="330">
                  <c:v>10.9461333333333</c:v>
                </c:pt>
                <c:pt idx="331">
                  <c:v>10.830724999999999</c:v>
                </c:pt>
                <c:pt idx="332">
                  <c:v>10.9556541666666</c:v>
                </c:pt>
                <c:pt idx="333">
                  <c:v>11.0137611111111</c:v>
                </c:pt>
                <c:pt idx="334">
                  <c:v>11.069699999999999</c:v>
                </c:pt>
                <c:pt idx="335">
                  <c:v>11.03735</c:v>
                </c:pt>
                <c:pt idx="336">
                  <c:v>10.9892041666666</c:v>
                </c:pt>
                <c:pt idx="337">
                  <c:v>10.892973611111101</c:v>
                </c:pt>
                <c:pt idx="338">
                  <c:v>10.6214763888888</c:v>
                </c:pt>
                <c:pt idx="339">
                  <c:v>10.414947222222199</c:v>
                </c:pt>
                <c:pt idx="340">
                  <c:v>10.2627486111111</c:v>
                </c:pt>
                <c:pt idx="341">
                  <c:v>10.284988888888799</c:v>
                </c:pt>
                <c:pt idx="342">
                  <c:v>10.3891125</c:v>
                </c:pt>
                <c:pt idx="343">
                  <c:v>10.633125</c:v>
                </c:pt>
                <c:pt idx="344">
                  <c:v>10.911</c:v>
                </c:pt>
                <c:pt idx="345">
                  <c:v>11.148654166666599</c:v>
                </c:pt>
                <c:pt idx="346">
                  <c:v>11.363790277777699</c:v>
                </c:pt>
                <c:pt idx="347">
                  <c:v>10.9017736111111</c:v>
                </c:pt>
                <c:pt idx="348">
                  <c:v>11.0823013888888</c:v>
                </c:pt>
                <c:pt idx="349">
                  <c:v>10.551151388888799</c:v>
                </c:pt>
                <c:pt idx="350">
                  <c:v>10.541204166666599</c:v>
                </c:pt>
                <c:pt idx="351">
                  <c:v>10.483369444444399</c:v>
                </c:pt>
                <c:pt idx="352">
                  <c:v>10.494145833333301</c:v>
                </c:pt>
                <c:pt idx="353">
                  <c:v>10.532490277777701</c:v>
                </c:pt>
                <c:pt idx="354">
                  <c:v>10.5872777777777</c:v>
                </c:pt>
                <c:pt idx="355">
                  <c:v>10.566976388888801</c:v>
                </c:pt>
                <c:pt idx="356">
                  <c:v>10.5554138888888</c:v>
                </c:pt>
                <c:pt idx="357">
                  <c:v>10.5165805555555</c:v>
                </c:pt>
                <c:pt idx="358">
                  <c:v>10.5410277777777</c:v>
                </c:pt>
                <c:pt idx="359">
                  <c:v>10.464655555555501</c:v>
                </c:pt>
                <c:pt idx="360">
                  <c:v>10.296952777777699</c:v>
                </c:pt>
                <c:pt idx="361">
                  <c:v>10.0838902777777</c:v>
                </c:pt>
                <c:pt idx="362">
                  <c:v>9.9633236111111092</c:v>
                </c:pt>
                <c:pt idx="363">
                  <c:v>9.9029208333333294</c:v>
                </c:pt>
                <c:pt idx="364">
                  <c:v>9.9203069444444392</c:v>
                </c:pt>
                <c:pt idx="365">
                  <c:v>9.8994736111111106</c:v>
                </c:pt>
                <c:pt idx="366">
                  <c:v>9.8584388888888892</c:v>
                </c:pt>
                <c:pt idx="367">
                  <c:v>9.74898611111111</c:v>
                </c:pt>
                <c:pt idx="368">
                  <c:v>9.5912305555555495</c:v>
                </c:pt>
                <c:pt idx="369">
                  <c:v>9.5204458333333299</c:v>
                </c:pt>
                <c:pt idx="370">
                  <c:v>9.4968305555555492</c:v>
                </c:pt>
                <c:pt idx="371">
                  <c:v>9.5346847222222202</c:v>
                </c:pt>
                <c:pt idx="372">
                  <c:v>9.7111458333333296</c:v>
                </c:pt>
                <c:pt idx="373">
                  <c:v>9.9330361111111092</c:v>
                </c:pt>
                <c:pt idx="374">
                  <c:v>10.0613833333333</c:v>
                </c:pt>
                <c:pt idx="375">
                  <c:v>10.0218541666666</c:v>
                </c:pt>
                <c:pt idx="376">
                  <c:v>9.9124736111111105</c:v>
                </c:pt>
                <c:pt idx="377">
                  <c:v>9.9332944444444404</c:v>
                </c:pt>
                <c:pt idx="378">
                  <c:v>9.9623041666666605</c:v>
                </c:pt>
                <c:pt idx="379">
                  <c:v>9.9605208333333302</c:v>
                </c:pt>
                <c:pt idx="380">
                  <c:v>9.9538444444444405</c:v>
                </c:pt>
                <c:pt idx="381">
                  <c:v>9.8764097222222205</c:v>
                </c:pt>
                <c:pt idx="382">
                  <c:v>9.7763902777777698</c:v>
                </c:pt>
                <c:pt idx="383">
                  <c:v>9.7147527777777807</c:v>
                </c:pt>
                <c:pt idx="384">
                  <c:v>9.6852374999999995</c:v>
                </c:pt>
                <c:pt idx="385">
                  <c:v>9.7444249999999997</c:v>
                </c:pt>
                <c:pt idx="386">
                  <c:v>9.7627374999999894</c:v>
                </c:pt>
                <c:pt idx="387">
                  <c:v>9.8135694444444397</c:v>
                </c:pt>
                <c:pt idx="388">
                  <c:v>9.8254736111111107</c:v>
                </c:pt>
                <c:pt idx="389">
                  <c:v>9.7887805555555492</c:v>
                </c:pt>
                <c:pt idx="390">
                  <c:v>9.7431486111111099</c:v>
                </c:pt>
                <c:pt idx="391">
                  <c:v>9.7663444444444405</c:v>
                </c:pt>
                <c:pt idx="392">
                  <c:v>9.7858944444444393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41B-4835-B713-78E4F5BF7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0887920"/>
        <c:axId val="1786283104"/>
      </c:scatterChart>
      <c:valAx>
        <c:axId val="850887920"/>
        <c:scaling>
          <c:orientation val="minMax"/>
          <c:max val="5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283104"/>
        <c:crosses val="autoZero"/>
        <c:crossBetween val="midCat"/>
      </c:valAx>
      <c:valAx>
        <c:axId val="1786283104"/>
        <c:scaling>
          <c:orientation val="minMax"/>
          <c:max val="13"/>
          <c:min val="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K-dose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887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110936132983366"/>
                  <c:y val="0.160419947506561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selhausen_SM_Kdose_daily!$D$8:$D$400</c:f>
              <c:numCache>
                <c:formatCode>General</c:formatCode>
                <c:ptCount val="393"/>
                <c:pt idx="0">
                  <c:v>35.267864366824199</c:v>
                </c:pt>
                <c:pt idx="1">
                  <c:v>35.1993709636075</c:v>
                </c:pt>
                <c:pt idx="2">
                  <c:v>34.623326589406403</c:v>
                </c:pt>
                <c:pt idx="3">
                  <c:v>34.047282215205399</c:v>
                </c:pt>
                <c:pt idx="4">
                  <c:v>33.471237841004303</c:v>
                </c:pt>
                <c:pt idx="5">
                  <c:v>32.895193466803299</c:v>
                </c:pt>
                <c:pt idx="6">
                  <c:v>32.731530427774302</c:v>
                </c:pt>
                <c:pt idx="7">
                  <c:v>32.596651251184497</c:v>
                </c:pt>
                <c:pt idx="8">
                  <c:v>32.4536587751696</c:v>
                </c:pt>
                <c:pt idx="9">
                  <c:v>32.176603565747101</c:v>
                </c:pt>
                <c:pt idx="10">
                  <c:v>31.936275817145599</c:v>
                </c:pt>
                <c:pt idx="11">
                  <c:v>31.824461490872402</c:v>
                </c:pt>
                <c:pt idx="12">
                  <c:v>31.659673067343999</c:v>
                </c:pt>
                <c:pt idx="13">
                  <c:v>31.473443625845999</c:v>
                </c:pt>
                <c:pt idx="14">
                  <c:v>31.851141941655001</c:v>
                </c:pt>
                <c:pt idx="15">
                  <c:v>31.8194347825062</c:v>
                </c:pt>
                <c:pt idx="16">
                  <c:v>31.599505151353402</c:v>
                </c:pt>
                <c:pt idx="17">
                  <c:v>31.463331280833</c:v>
                </c:pt>
                <c:pt idx="18">
                  <c:v>33.151635158716701</c:v>
                </c:pt>
                <c:pt idx="19">
                  <c:v>32.998640120501001</c:v>
                </c:pt>
                <c:pt idx="20">
                  <c:v>32.794448674991102</c:v>
                </c:pt>
                <c:pt idx="21">
                  <c:v>32.166767682053397</c:v>
                </c:pt>
                <c:pt idx="22">
                  <c:v>31.524188101936598</c:v>
                </c:pt>
                <c:pt idx="23">
                  <c:v>31.138822162791101</c:v>
                </c:pt>
                <c:pt idx="24">
                  <c:v>30.705000572561101</c:v>
                </c:pt>
                <c:pt idx="25">
                  <c:v>30.488454813834799</c:v>
                </c:pt>
                <c:pt idx="26">
                  <c:v>30.405468680709301</c:v>
                </c:pt>
                <c:pt idx="27">
                  <c:v>30.4157502506878</c:v>
                </c:pt>
                <c:pt idx="28">
                  <c:v>30.3620788052596</c:v>
                </c:pt>
                <c:pt idx="29">
                  <c:v>30.335750368182499</c:v>
                </c:pt>
                <c:pt idx="30">
                  <c:v>32.315058318218497</c:v>
                </c:pt>
                <c:pt idx="31">
                  <c:v>36.337446053406097</c:v>
                </c:pt>
                <c:pt idx="32">
                  <c:v>37.0493163861155</c:v>
                </c:pt>
                <c:pt idx="33">
                  <c:v>37.159532534574801</c:v>
                </c:pt>
                <c:pt idx="34">
                  <c:v>36.058666854678798</c:v>
                </c:pt>
                <c:pt idx="35">
                  <c:v>35.3272768251298</c:v>
                </c:pt>
                <c:pt idx="36">
                  <c:v>34.870909228816899</c:v>
                </c:pt>
                <c:pt idx="37">
                  <c:v>36.107426871348601</c:v>
                </c:pt>
                <c:pt idx="38">
                  <c:v>36.894246105104102</c:v>
                </c:pt>
                <c:pt idx="39">
                  <c:v>35.586914151347898</c:v>
                </c:pt>
                <c:pt idx="40">
                  <c:v>34.740036497319103</c:v>
                </c:pt>
                <c:pt idx="41">
                  <c:v>34.1406571505727</c:v>
                </c:pt>
                <c:pt idx="42">
                  <c:v>33.755179624401798</c:v>
                </c:pt>
                <c:pt idx="43">
                  <c:v>33.440578497936897</c:v>
                </c:pt>
                <c:pt idx="44">
                  <c:v>33.366809618916299</c:v>
                </c:pt>
                <c:pt idx="45">
                  <c:v>33.2781730489151</c:v>
                </c:pt>
                <c:pt idx="46">
                  <c:v>32.989720538044701</c:v>
                </c:pt>
                <c:pt idx="47">
                  <c:v>32.6202136074062</c:v>
                </c:pt>
                <c:pt idx="48">
                  <c:v>32.632159117632497</c:v>
                </c:pt>
                <c:pt idx="49">
                  <c:v>35.194891389522901</c:v>
                </c:pt>
                <c:pt idx="50">
                  <c:v>35.5541925632211</c:v>
                </c:pt>
                <c:pt idx="51">
                  <c:v>34.451621502619801</c:v>
                </c:pt>
                <c:pt idx="52">
                  <c:v>33.918666064892903</c:v>
                </c:pt>
                <c:pt idx="53">
                  <c:v>34.9264315009531</c:v>
                </c:pt>
                <c:pt idx="54">
                  <c:v>35.9720499422329</c:v>
                </c:pt>
                <c:pt idx="55">
                  <c:v>37.452550331109897</c:v>
                </c:pt>
                <c:pt idx="56">
                  <c:v>36.853394534188098</c:v>
                </c:pt>
                <c:pt idx="57">
                  <c:v>35.419109861034798</c:v>
                </c:pt>
                <c:pt idx="58">
                  <c:v>34.230262953228298</c:v>
                </c:pt>
                <c:pt idx="59">
                  <c:v>33.353690098410297</c:v>
                </c:pt>
                <c:pt idx="60">
                  <c:v>32.906982665148497</c:v>
                </c:pt>
                <c:pt idx="61">
                  <c:v>34.001598062262502</c:v>
                </c:pt>
                <c:pt idx="62">
                  <c:v>33.594117494012103</c:v>
                </c:pt>
                <c:pt idx="63">
                  <c:v>32.863698666536798</c:v>
                </c:pt>
                <c:pt idx="64">
                  <c:v>26.7234445732221</c:v>
                </c:pt>
                <c:pt idx="65">
                  <c:v>25.654445621735999</c:v>
                </c:pt>
                <c:pt idx="66">
                  <c:v>24.529209716069399</c:v>
                </c:pt>
                <c:pt idx="67">
                  <c:v>23.790099215638801</c:v>
                </c:pt>
                <c:pt idx="68">
                  <c:v>26.870676620888801</c:v>
                </c:pt>
                <c:pt idx="69">
                  <c:v>28.727012494819299</c:v>
                </c:pt>
                <c:pt idx="70">
                  <c:v>27.4028524032916</c:v>
                </c:pt>
                <c:pt idx="71">
                  <c:v>26.6187733402259</c:v>
                </c:pt>
                <c:pt idx="72">
                  <c:v>25.998387141483601</c:v>
                </c:pt>
                <c:pt idx="73">
                  <c:v>26.047473524138798</c:v>
                </c:pt>
                <c:pt idx="74">
                  <c:v>27.095320503236</c:v>
                </c:pt>
                <c:pt idx="75">
                  <c:v>30.6466978299582</c:v>
                </c:pt>
                <c:pt idx="76">
                  <c:v>31.595901990735999</c:v>
                </c:pt>
                <c:pt idx="77">
                  <c:v>30.4030089779721</c:v>
                </c:pt>
                <c:pt idx="78">
                  <c:v>29.239402826499902</c:v>
                </c:pt>
                <c:pt idx="79">
                  <c:v>27.907813418013799</c:v>
                </c:pt>
                <c:pt idx="80">
                  <c:v>26.7159381721839</c:v>
                </c:pt>
                <c:pt idx="81">
                  <c:v>23.995684525626</c:v>
                </c:pt>
                <c:pt idx="82">
                  <c:v>23.7601182871337</c:v>
                </c:pt>
                <c:pt idx="83">
                  <c:v>23.499634694358502</c:v>
                </c:pt>
                <c:pt idx="84">
                  <c:v>23.244947879529199</c:v>
                </c:pt>
                <c:pt idx="85">
                  <c:v>22.945815931696501</c:v>
                </c:pt>
                <c:pt idx="86">
                  <c:v>24.033854082923799</c:v>
                </c:pt>
                <c:pt idx="87">
                  <c:v>29.503924314726401</c:v>
                </c:pt>
                <c:pt idx="88">
                  <c:v>28.741324029191901</c:v>
                </c:pt>
                <c:pt idx="89">
                  <c:v>27.9195067778133</c:v>
                </c:pt>
                <c:pt idx="90">
                  <c:v>27.538497196261599</c:v>
                </c:pt>
                <c:pt idx="91">
                  <c:v>27.4906890629847</c:v>
                </c:pt>
                <c:pt idx="92">
                  <c:v>27.149424685076301</c:v>
                </c:pt>
                <c:pt idx="93">
                  <c:v>26.665504798477802</c:v>
                </c:pt>
                <c:pt idx="94">
                  <c:v>26.0421322048668</c:v>
                </c:pt>
                <c:pt idx="95">
                  <c:v>26.1494750034615</c:v>
                </c:pt>
                <c:pt idx="96">
                  <c:v>28.088133900033</c:v>
                </c:pt>
                <c:pt idx="97">
                  <c:v>28.5459110472178</c:v>
                </c:pt>
                <c:pt idx="98">
                  <c:v>27.6599074387107</c:v>
                </c:pt>
                <c:pt idx="99">
                  <c:v>26.895821858144199</c:v>
                </c:pt>
                <c:pt idx="100">
                  <c:v>26.3374477187295</c:v>
                </c:pt>
                <c:pt idx="101">
                  <c:v>25.8871552580908</c:v>
                </c:pt>
                <c:pt idx="102">
                  <c:v>25.506677034009101</c:v>
                </c:pt>
                <c:pt idx="103">
                  <c:v>25.191092204862301</c:v>
                </c:pt>
                <c:pt idx="104">
                  <c:v>24.911594257879599</c:v>
                </c:pt>
                <c:pt idx="105">
                  <c:v>24.608016751176201</c:v>
                </c:pt>
                <c:pt idx="106">
                  <c:v>24.290534069230699</c:v>
                </c:pt>
                <c:pt idx="107">
                  <c:v>24.058565918509199</c:v>
                </c:pt>
                <c:pt idx="108">
                  <c:v>24.037524589978499</c:v>
                </c:pt>
                <c:pt idx="109">
                  <c:v>23.8442329907048</c:v>
                </c:pt>
                <c:pt idx="110">
                  <c:v>23.499316363920698</c:v>
                </c:pt>
                <c:pt idx="111">
                  <c:v>23.0075209086279</c:v>
                </c:pt>
                <c:pt idx="112">
                  <c:v>22.5017628295058</c:v>
                </c:pt>
                <c:pt idx="113">
                  <c:v>22.083467953183</c:v>
                </c:pt>
                <c:pt idx="114">
                  <c:v>21.609753503034899</c:v>
                </c:pt>
                <c:pt idx="115">
                  <c:v>21.0457879157969</c:v>
                </c:pt>
                <c:pt idx="116">
                  <c:v>20.4324574252689</c:v>
                </c:pt>
                <c:pt idx="117">
                  <c:v>20.281381125061799</c:v>
                </c:pt>
                <c:pt idx="118">
                  <c:v>20.465845404642501</c:v>
                </c:pt>
                <c:pt idx="119">
                  <c:v>20.799153317267098</c:v>
                </c:pt>
                <c:pt idx="120">
                  <c:v>20.9356204951224</c:v>
                </c:pt>
                <c:pt idx="121">
                  <c:v>20.872744858217601</c:v>
                </c:pt>
                <c:pt idx="122">
                  <c:v>21.0929165949312</c:v>
                </c:pt>
                <c:pt idx="123">
                  <c:v>24.210431733414801</c:v>
                </c:pt>
                <c:pt idx="124">
                  <c:v>29.412694938656099</c:v>
                </c:pt>
                <c:pt idx="125">
                  <c:v>32.923101578848701</c:v>
                </c:pt>
                <c:pt idx="126">
                  <c:v>32.142210303991497</c:v>
                </c:pt>
                <c:pt idx="127">
                  <c:v>32.631385721304099</c:v>
                </c:pt>
                <c:pt idx="128">
                  <c:v>33.575521381364801</c:v>
                </c:pt>
                <c:pt idx="129">
                  <c:v>34.460600721793199</c:v>
                </c:pt>
                <c:pt idx="130">
                  <c:v>34.0193149623856</c:v>
                </c:pt>
                <c:pt idx="131">
                  <c:v>35.350378631574301</c:v>
                </c:pt>
                <c:pt idx="132">
                  <c:v>34.567769313829501</c:v>
                </c:pt>
                <c:pt idx="133">
                  <c:v>33.672264810191301</c:v>
                </c:pt>
                <c:pt idx="134">
                  <c:v>34.058262461225901</c:v>
                </c:pt>
                <c:pt idx="135">
                  <c:v>34.927886847788798</c:v>
                </c:pt>
                <c:pt idx="136">
                  <c:v>35.117848816544999</c:v>
                </c:pt>
                <c:pt idx="137">
                  <c:v>34.620813410053501</c:v>
                </c:pt>
                <c:pt idx="138">
                  <c:v>31.7434225339444</c:v>
                </c:pt>
                <c:pt idx="139">
                  <c:v>31.2355184243332</c:v>
                </c:pt>
                <c:pt idx="140">
                  <c:v>31.592126725388798</c:v>
                </c:pt>
                <c:pt idx="141">
                  <c:v>31.905589145333199</c:v>
                </c:pt>
                <c:pt idx="142">
                  <c:v>31.654561910888798</c:v>
                </c:pt>
                <c:pt idx="143">
                  <c:v>31.478487529444301</c:v>
                </c:pt>
                <c:pt idx="144">
                  <c:v>32.727696565735997</c:v>
                </c:pt>
                <c:pt idx="145">
                  <c:v>34.985504359694303</c:v>
                </c:pt>
                <c:pt idx="146">
                  <c:v>36.117573445284599</c:v>
                </c:pt>
                <c:pt idx="147">
                  <c:v>34.855615928611002</c:v>
                </c:pt>
                <c:pt idx="148">
                  <c:v>35.393371734930398</c:v>
                </c:pt>
                <c:pt idx="149">
                  <c:v>36.915412255999399</c:v>
                </c:pt>
                <c:pt idx="150">
                  <c:v>36.5589696569632</c:v>
                </c:pt>
                <c:pt idx="151">
                  <c:v>35.518264992157199</c:v>
                </c:pt>
                <c:pt idx="152">
                  <c:v>36.796886413280298</c:v>
                </c:pt>
                <c:pt idx="153">
                  <c:v>37.2384811923638</c:v>
                </c:pt>
                <c:pt idx="154">
                  <c:v>37.1254049966279</c:v>
                </c:pt>
                <c:pt idx="155">
                  <c:v>36.931095282001898</c:v>
                </c:pt>
                <c:pt idx="156">
                  <c:v>37.351921598185697</c:v>
                </c:pt>
                <c:pt idx="157">
                  <c:v>36.421603679425097</c:v>
                </c:pt>
                <c:pt idx="158">
                  <c:v>35.855795303946202</c:v>
                </c:pt>
                <c:pt idx="159">
                  <c:v>37.374237942877102</c:v>
                </c:pt>
                <c:pt idx="160">
                  <c:v>37.683946984656302</c:v>
                </c:pt>
                <c:pt idx="161">
                  <c:v>37.645893852925099</c:v>
                </c:pt>
                <c:pt idx="162">
                  <c:v>39.207286499989003</c:v>
                </c:pt>
                <c:pt idx="163">
                  <c:v>38.704357218372998</c:v>
                </c:pt>
                <c:pt idx="164">
                  <c:v>37.534592205244998</c:v>
                </c:pt>
                <c:pt idx="165">
                  <c:v>37.210148148726198</c:v>
                </c:pt>
                <c:pt idx="166">
                  <c:v>36.950075435126202</c:v>
                </c:pt>
                <c:pt idx="167">
                  <c:v>36.4682711885836</c:v>
                </c:pt>
                <c:pt idx="168">
                  <c:v>35.812876792585598</c:v>
                </c:pt>
                <c:pt idx="169">
                  <c:v>36.286495541424202</c:v>
                </c:pt>
                <c:pt idx="170">
                  <c:v>38.6733617616187</c:v>
                </c:pt>
                <c:pt idx="171">
                  <c:v>38.173596798364102</c:v>
                </c:pt>
                <c:pt idx="172">
                  <c:v>37.410789125817097</c:v>
                </c:pt>
                <c:pt idx="173">
                  <c:v>37.5581926883549</c:v>
                </c:pt>
                <c:pt idx="174">
                  <c:v>37.623209145579402</c:v>
                </c:pt>
                <c:pt idx="175">
                  <c:v>37.728612629846602</c:v>
                </c:pt>
                <c:pt idx="176">
                  <c:v>37.71304724422</c:v>
                </c:pt>
                <c:pt idx="177">
                  <c:v>38.3655328539027</c:v>
                </c:pt>
                <c:pt idx="178">
                  <c:v>38.781087788155801</c:v>
                </c:pt>
                <c:pt idx="179">
                  <c:v>38.149409618447699</c:v>
                </c:pt>
                <c:pt idx="180">
                  <c:v>37.960801656700298</c:v>
                </c:pt>
                <c:pt idx="181">
                  <c:v>37.600125968260897</c:v>
                </c:pt>
                <c:pt idx="182">
                  <c:v>37.237026495168998</c:v>
                </c:pt>
                <c:pt idx="183">
                  <c:v>36.872246819696002</c:v>
                </c:pt>
                <c:pt idx="184">
                  <c:v>37.155280278940801</c:v>
                </c:pt>
                <c:pt idx="185">
                  <c:v>38.764227015145799</c:v>
                </c:pt>
                <c:pt idx="186">
                  <c:v>38.927309649202897</c:v>
                </c:pt>
                <c:pt idx="187">
                  <c:v>40.093474363694497</c:v>
                </c:pt>
                <c:pt idx="188">
                  <c:v>39.604227745787703</c:v>
                </c:pt>
                <c:pt idx="189">
                  <c:v>39.312630048909398</c:v>
                </c:pt>
                <c:pt idx="190">
                  <c:v>39.546169090370498</c:v>
                </c:pt>
                <c:pt idx="191">
                  <c:v>39.294561422320299</c:v>
                </c:pt>
                <c:pt idx="192">
                  <c:v>38.674690974476398</c:v>
                </c:pt>
                <c:pt idx="193">
                  <c:v>38.110974339970902</c:v>
                </c:pt>
                <c:pt idx="194">
                  <c:v>38.132267232782198</c:v>
                </c:pt>
                <c:pt idx="195">
                  <c:v>38.722027056319199</c:v>
                </c:pt>
                <c:pt idx="196">
                  <c:v>38.19657828335</c:v>
                </c:pt>
                <c:pt idx="197">
                  <c:v>37.759045780243902</c:v>
                </c:pt>
                <c:pt idx="198">
                  <c:v>39.355045714738502</c:v>
                </c:pt>
                <c:pt idx="199">
                  <c:v>39.567961146104601</c:v>
                </c:pt>
                <c:pt idx="200">
                  <c:v>40.107341797738101</c:v>
                </c:pt>
                <c:pt idx="201">
                  <c:v>39.226900913212702</c:v>
                </c:pt>
                <c:pt idx="202">
                  <c:v>39.728472595818097</c:v>
                </c:pt>
                <c:pt idx="203">
                  <c:v>39.605874709040499</c:v>
                </c:pt>
                <c:pt idx="204">
                  <c:v>38.854525458881803</c:v>
                </c:pt>
                <c:pt idx="205">
                  <c:v>38.740415868543103</c:v>
                </c:pt>
                <c:pt idx="206">
                  <c:v>38.754279923779698</c:v>
                </c:pt>
                <c:pt idx="207">
                  <c:v>38.767229336483197</c:v>
                </c:pt>
                <c:pt idx="208">
                  <c:v>38.743127476798399</c:v>
                </c:pt>
                <c:pt idx="209">
                  <c:v>38.719025617113701</c:v>
                </c:pt>
                <c:pt idx="210">
                  <c:v>38.694923757429002</c:v>
                </c:pt>
                <c:pt idx="211">
                  <c:v>38.670821897744297</c:v>
                </c:pt>
                <c:pt idx="212">
                  <c:v>38.646720038059598</c:v>
                </c:pt>
                <c:pt idx="213">
                  <c:v>38.6226181783748</c:v>
                </c:pt>
                <c:pt idx="214">
                  <c:v>38.598516318690102</c:v>
                </c:pt>
                <c:pt idx="215">
                  <c:v>38.574414459005403</c:v>
                </c:pt>
                <c:pt idx="216">
                  <c:v>38.550312599320698</c:v>
                </c:pt>
                <c:pt idx="217">
                  <c:v>38.526210739635999</c:v>
                </c:pt>
                <c:pt idx="218">
                  <c:v>38.502108879951301</c:v>
                </c:pt>
                <c:pt idx="219">
                  <c:v>38.197763899757099</c:v>
                </c:pt>
                <c:pt idx="220">
                  <c:v>37.998883200438101</c:v>
                </c:pt>
                <c:pt idx="221">
                  <c:v>37.558789281713203</c:v>
                </c:pt>
                <c:pt idx="222">
                  <c:v>38.231501503208897</c:v>
                </c:pt>
                <c:pt idx="223">
                  <c:v>37.930594108829197</c:v>
                </c:pt>
                <c:pt idx="224">
                  <c:v>37.203320865026697</c:v>
                </c:pt>
                <c:pt idx="225">
                  <c:v>36.8653056525118</c:v>
                </c:pt>
                <c:pt idx="226">
                  <c:v>36.632093418688399</c:v>
                </c:pt>
                <c:pt idx="227">
                  <c:v>36.316992311430297</c:v>
                </c:pt>
                <c:pt idx="228">
                  <c:v>37.250557261724602</c:v>
                </c:pt>
                <c:pt idx="229">
                  <c:v>36.827739288057799</c:v>
                </c:pt>
                <c:pt idx="230">
                  <c:v>36.502086615008203</c:v>
                </c:pt>
                <c:pt idx="231">
                  <c:v>37.820905597170601</c:v>
                </c:pt>
                <c:pt idx="232">
                  <c:v>37.385703514750197</c:v>
                </c:pt>
                <c:pt idx="233">
                  <c:v>36.330821405988701</c:v>
                </c:pt>
                <c:pt idx="234">
                  <c:v>38.522220074486697</c:v>
                </c:pt>
                <c:pt idx="235">
                  <c:v>39.199029022511397</c:v>
                </c:pt>
                <c:pt idx="236">
                  <c:v>38.994992077880099</c:v>
                </c:pt>
                <c:pt idx="237">
                  <c:v>38.558119855760197</c:v>
                </c:pt>
                <c:pt idx="238">
                  <c:v>38.523438943215801</c:v>
                </c:pt>
                <c:pt idx="239">
                  <c:v>37.951135763560401</c:v>
                </c:pt>
                <c:pt idx="240">
                  <c:v>37.3219873750744</c:v>
                </c:pt>
                <c:pt idx="241">
                  <c:v>36.929590288939401</c:v>
                </c:pt>
                <c:pt idx="242">
                  <c:v>37.077414175641501</c:v>
                </c:pt>
                <c:pt idx="243">
                  <c:v>36.905670172037802</c:v>
                </c:pt>
                <c:pt idx="244">
                  <c:v>37.364110724335703</c:v>
                </c:pt>
                <c:pt idx="245">
                  <c:v>37.744059991978702</c:v>
                </c:pt>
                <c:pt idx="246">
                  <c:v>38.451154163460501</c:v>
                </c:pt>
                <c:pt idx="247">
                  <c:v>38.264715277809898</c:v>
                </c:pt>
                <c:pt idx="248">
                  <c:v>37.437937154580602</c:v>
                </c:pt>
                <c:pt idx="249">
                  <c:v>38.649393085200501</c:v>
                </c:pt>
                <c:pt idx="250">
                  <c:v>38.492626629082899</c:v>
                </c:pt>
                <c:pt idx="251">
                  <c:v>37.409015079073001</c:v>
                </c:pt>
                <c:pt idx="252">
                  <c:v>36.832495049798197</c:v>
                </c:pt>
                <c:pt idx="253">
                  <c:v>38.891737159288901</c:v>
                </c:pt>
                <c:pt idx="254">
                  <c:v>38.694481583835099</c:v>
                </c:pt>
                <c:pt idx="255">
                  <c:v>37.887614657947402</c:v>
                </c:pt>
                <c:pt idx="256">
                  <c:v>37.644267541068402</c:v>
                </c:pt>
                <c:pt idx="257">
                  <c:v>37.714892073714701</c:v>
                </c:pt>
                <c:pt idx="258">
                  <c:v>37.785516606361</c:v>
                </c:pt>
                <c:pt idx="259">
                  <c:v>38.3216019609401</c:v>
                </c:pt>
                <c:pt idx="260">
                  <c:v>38.709285472713503</c:v>
                </c:pt>
                <c:pt idx="261">
                  <c:v>37.456798997182503</c:v>
                </c:pt>
                <c:pt idx="262">
                  <c:v>36.844163778936199</c:v>
                </c:pt>
                <c:pt idx="263">
                  <c:v>38.224117367542597</c:v>
                </c:pt>
                <c:pt idx="264">
                  <c:v>37.1468579436063</c:v>
                </c:pt>
                <c:pt idx="265">
                  <c:v>36.717923589951901</c:v>
                </c:pt>
                <c:pt idx="266">
                  <c:v>36.1140824782252</c:v>
                </c:pt>
                <c:pt idx="267">
                  <c:v>35.4904756034882</c:v>
                </c:pt>
                <c:pt idx="268">
                  <c:v>34.9526329184134</c:v>
                </c:pt>
                <c:pt idx="269">
                  <c:v>34.733795326231601</c:v>
                </c:pt>
                <c:pt idx="270">
                  <c:v>36.320441281008002</c:v>
                </c:pt>
                <c:pt idx="271">
                  <c:v>37.5800935134939</c:v>
                </c:pt>
                <c:pt idx="272">
                  <c:v>37.006157454053998</c:v>
                </c:pt>
                <c:pt idx="273">
                  <c:v>35.932403876890902</c:v>
                </c:pt>
                <c:pt idx="274">
                  <c:v>36.254133463046898</c:v>
                </c:pt>
                <c:pt idx="275">
                  <c:v>36.390973332691502</c:v>
                </c:pt>
                <c:pt idx="276">
                  <c:v>36.008973915065198</c:v>
                </c:pt>
                <c:pt idx="277">
                  <c:v>35.9239697832028</c:v>
                </c:pt>
                <c:pt idx="278">
                  <c:v>35.838965651340402</c:v>
                </c:pt>
                <c:pt idx="279">
                  <c:v>35.502528596995298</c:v>
                </c:pt>
                <c:pt idx="280">
                  <c:v>36.699949187168897</c:v>
                </c:pt>
                <c:pt idx="281">
                  <c:v>36.536614010711297</c:v>
                </c:pt>
                <c:pt idx="282">
                  <c:v>35.3305826550299</c:v>
                </c:pt>
                <c:pt idx="283">
                  <c:v>34.201074692677899</c:v>
                </c:pt>
                <c:pt idx="284">
                  <c:v>34.403486905825503</c:v>
                </c:pt>
                <c:pt idx="285">
                  <c:v>33.855690507900697</c:v>
                </c:pt>
                <c:pt idx="286">
                  <c:v>33.351948487343698</c:v>
                </c:pt>
                <c:pt idx="287">
                  <c:v>32.841713263601797</c:v>
                </c:pt>
                <c:pt idx="288">
                  <c:v>32.4797632307071</c:v>
                </c:pt>
                <c:pt idx="289">
                  <c:v>32.103782964479898</c:v>
                </c:pt>
                <c:pt idx="290">
                  <c:v>31.742797573479098</c:v>
                </c:pt>
                <c:pt idx="291">
                  <c:v>31.381812182478299</c:v>
                </c:pt>
                <c:pt idx="292">
                  <c:v>26.831183762971801</c:v>
                </c:pt>
                <c:pt idx="293">
                  <c:v>34.518864171282701</c:v>
                </c:pt>
                <c:pt idx="294">
                  <c:v>35.2391245748125</c:v>
                </c:pt>
                <c:pt idx="295">
                  <c:v>35.778244035441197</c:v>
                </c:pt>
                <c:pt idx="296">
                  <c:v>35.945191989545997</c:v>
                </c:pt>
                <c:pt idx="297">
                  <c:v>38.786420794270299</c:v>
                </c:pt>
                <c:pt idx="298">
                  <c:v>37.327950427753798</c:v>
                </c:pt>
                <c:pt idx="299">
                  <c:v>36.144562939614801</c:v>
                </c:pt>
                <c:pt idx="300">
                  <c:v>34.735708502413402</c:v>
                </c:pt>
                <c:pt idx="301">
                  <c:v>33.465459648726799</c:v>
                </c:pt>
                <c:pt idx="302">
                  <c:v>32.308438444707399</c:v>
                </c:pt>
                <c:pt idx="303">
                  <c:v>31.300998297678699</c:v>
                </c:pt>
                <c:pt idx="304">
                  <c:v>30.469237327995899</c:v>
                </c:pt>
                <c:pt idx="305">
                  <c:v>30.168969211969401</c:v>
                </c:pt>
                <c:pt idx="306">
                  <c:v>32.0910279215949</c:v>
                </c:pt>
                <c:pt idx="307">
                  <c:v>31.862592664967799</c:v>
                </c:pt>
                <c:pt idx="308">
                  <c:v>31.4583462654731</c:v>
                </c:pt>
                <c:pt idx="309">
                  <c:v>31.062609024766999</c:v>
                </c:pt>
                <c:pt idx="310">
                  <c:v>30.994080608836001</c:v>
                </c:pt>
                <c:pt idx="311">
                  <c:v>32.7750177828378</c:v>
                </c:pt>
                <c:pt idx="312">
                  <c:v>32.065218593262003</c:v>
                </c:pt>
                <c:pt idx="313">
                  <c:v>34.802265302004301</c:v>
                </c:pt>
                <c:pt idx="314">
                  <c:v>36.065530825288597</c:v>
                </c:pt>
                <c:pt idx="315">
                  <c:v>34.739342932042398</c:v>
                </c:pt>
                <c:pt idx="316">
                  <c:v>34.122340470902699</c:v>
                </c:pt>
                <c:pt idx="317">
                  <c:v>34.492350777914901</c:v>
                </c:pt>
                <c:pt idx="318">
                  <c:v>34.037416416620601</c:v>
                </c:pt>
                <c:pt idx="319">
                  <c:v>37.0387419568141</c:v>
                </c:pt>
                <c:pt idx="320">
                  <c:v>36.461872022930798</c:v>
                </c:pt>
                <c:pt idx="321">
                  <c:v>35.498626930236597</c:v>
                </c:pt>
                <c:pt idx="322">
                  <c:v>35.928328229430001</c:v>
                </c:pt>
                <c:pt idx="323">
                  <c:v>35.126552158502001</c:v>
                </c:pt>
                <c:pt idx="324">
                  <c:v>34.1167529843746</c:v>
                </c:pt>
                <c:pt idx="325">
                  <c:v>33.224320606064701</c:v>
                </c:pt>
                <c:pt idx="326">
                  <c:v>32.518967356221502</c:v>
                </c:pt>
                <c:pt idx="327">
                  <c:v>31.557899166655702</c:v>
                </c:pt>
                <c:pt idx="328">
                  <c:v>30.590635727977698</c:v>
                </c:pt>
                <c:pt idx="329">
                  <c:v>29.7898125302466</c:v>
                </c:pt>
                <c:pt idx="330">
                  <c:v>29.1723054063017</c:v>
                </c:pt>
                <c:pt idx="331">
                  <c:v>28.944480207266501</c:v>
                </c:pt>
                <c:pt idx="332">
                  <c:v>28.5637140906992</c:v>
                </c:pt>
                <c:pt idx="333">
                  <c:v>28.3356722144595</c:v>
                </c:pt>
                <c:pt idx="334">
                  <c:v>27.8769048488621</c:v>
                </c:pt>
                <c:pt idx="335">
                  <c:v>27.662044485460701</c:v>
                </c:pt>
                <c:pt idx="336">
                  <c:v>27.326281992673099</c:v>
                </c:pt>
                <c:pt idx="337">
                  <c:v>27.385899725779801</c:v>
                </c:pt>
                <c:pt idx="338">
                  <c:v>29.5353925470143</c:v>
                </c:pt>
                <c:pt idx="339">
                  <c:v>34.779335249115498</c:v>
                </c:pt>
                <c:pt idx="340">
                  <c:v>33.206981250376501</c:v>
                </c:pt>
                <c:pt idx="341">
                  <c:v>34.350204460009799</c:v>
                </c:pt>
                <c:pt idx="342">
                  <c:v>34.704479509313899</c:v>
                </c:pt>
                <c:pt idx="343">
                  <c:v>32.800289756108803</c:v>
                </c:pt>
                <c:pt idx="344">
                  <c:v>31.089399471392699</c:v>
                </c:pt>
                <c:pt idx="345">
                  <c:v>29.9702984372367</c:v>
                </c:pt>
                <c:pt idx="346">
                  <c:v>28.691059373047299</c:v>
                </c:pt>
                <c:pt idx="347">
                  <c:v>25.651812184132002</c:v>
                </c:pt>
                <c:pt idx="348">
                  <c:v>25.644585580873201</c:v>
                </c:pt>
                <c:pt idx="349">
                  <c:v>25.704669784903</c:v>
                </c:pt>
                <c:pt idx="350">
                  <c:v>25.524946577219801</c:v>
                </c:pt>
                <c:pt idx="351">
                  <c:v>25.378913774904198</c:v>
                </c:pt>
                <c:pt idx="352">
                  <c:v>25.242158586146701</c:v>
                </c:pt>
                <c:pt idx="353">
                  <c:v>25.067398879416999</c:v>
                </c:pt>
                <c:pt idx="354">
                  <c:v>24.907534436572998</c:v>
                </c:pt>
                <c:pt idx="355">
                  <c:v>24.8047357611104</c:v>
                </c:pt>
                <c:pt idx="356">
                  <c:v>24.830965556009001</c:v>
                </c:pt>
                <c:pt idx="357">
                  <c:v>24.7153816619062</c:v>
                </c:pt>
                <c:pt idx="358">
                  <c:v>24.609987020952701</c:v>
                </c:pt>
                <c:pt idx="359">
                  <c:v>24.548865205684098</c:v>
                </c:pt>
                <c:pt idx="360">
                  <c:v>25.092118600356699</c:v>
                </c:pt>
                <c:pt idx="361">
                  <c:v>30.494581167153999</c:v>
                </c:pt>
                <c:pt idx="362">
                  <c:v>29.756301592032699</c:v>
                </c:pt>
                <c:pt idx="363">
                  <c:v>31.0129393030074</c:v>
                </c:pt>
                <c:pt idx="364">
                  <c:v>31.105628316753201</c:v>
                </c:pt>
                <c:pt idx="365">
                  <c:v>30.582460661745898</c:v>
                </c:pt>
                <c:pt idx="366">
                  <c:v>31.868333880808699</c:v>
                </c:pt>
                <c:pt idx="367">
                  <c:v>34.478083042584601</c:v>
                </c:pt>
                <c:pt idx="368">
                  <c:v>36.670393613875802</c:v>
                </c:pt>
                <c:pt idx="369">
                  <c:v>36.752385835974501</c:v>
                </c:pt>
                <c:pt idx="370">
                  <c:v>36.363554659059503</c:v>
                </c:pt>
                <c:pt idx="371">
                  <c:v>35.408974394312402</c:v>
                </c:pt>
                <c:pt idx="372">
                  <c:v>36.0267540933433</c:v>
                </c:pt>
                <c:pt idx="373">
                  <c:v>35.202150482981899</c:v>
                </c:pt>
                <c:pt idx="374">
                  <c:v>33.978632949764602</c:v>
                </c:pt>
                <c:pt idx="375">
                  <c:v>33.881251988418803</c:v>
                </c:pt>
                <c:pt idx="376">
                  <c:v>33.680472559087697</c:v>
                </c:pt>
                <c:pt idx="377">
                  <c:v>33.522864355579301</c:v>
                </c:pt>
                <c:pt idx="378">
                  <c:v>33.250008972594699</c:v>
                </c:pt>
                <c:pt idx="379">
                  <c:v>32.920701844085499</c:v>
                </c:pt>
                <c:pt idx="380">
                  <c:v>32.6365692391377</c:v>
                </c:pt>
                <c:pt idx="381">
                  <c:v>32.901828619733003</c:v>
                </c:pt>
                <c:pt idx="382">
                  <c:v>33.843721689773297</c:v>
                </c:pt>
                <c:pt idx="383">
                  <c:v>33.8397785579551</c:v>
                </c:pt>
                <c:pt idx="384">
                  <c:v>34.362193350928102</c:v>
                </c:pt>
                <c:pt idx="385">
                  <c:v>36.151065321793602</c:v>
                </c:pt>
                <c:pt idx="386">
                  <c:v>35.102276247107497</c:v>
                </c:pt>
                <c:pt idx="387">
                  <c:v>34.589577186762</c:v>
                </c:pt>
                <c:pt idx="388">
                  <c:v>34.597926126721703</c:v>
                </c:pt>
                <c:pt idx="389">
                  <c:v>35.034692047449397</c:v>
                </c:pt>
                <c:pt idx="390">
                  <c:v>34.742557310828197</c:v>
                </c:pt>
                <c:pt idx="391">
                  <c:v>34.420257618638402</c:v>
                </c:pt>
                <c:pt idx="392">
                  <c:v>34.0611903858197</c:v>
                </c:pt>
              </c:numCache>
            </c:numRef>
          </c:xVal>
          <c:yVal>
            <c:numRef>
              <c:f>selhausen_SM_Kdose_daily!$E$8:$E$400</c:f>
              <c:numCache>
                <c:formatCode>General</c:formatCode>
                <c:ptCount val="393"/>
                <c:pt idx="0">
                  <c:v>38.958197530062996</c:v>
                </c:pt>
                <c:pt idx="1">
                  <c:v>38.71218374663205</c:v>
                </c:pt>
                <c:pt idx="2">
                  <c:v>38.417968214823901</c:v>
                </c:pt>
                <c:pt idx="3">
                  <c:v>38.393183997807888</c:v>
                </c:pt>
                <c:pt idx="4">
                  <c:v>38.213981367310588</c:v>
                </c:pt>
                <c:pt idx="5">
                  <c:v>37.522448280586424</c:v>
                </c:pt>
                <c:pt idx="6">
                  <c:v>36.825044526647467</c:v>
                </c:pt>
                <c:pt idx="7">
                  <c:v>36.078563844362257</c:v>
                </c:pt>
                <c:pt idx="8">
                  <c:v>35.598455267844983</c:v>
                </c:pt>
                <c:pt idx="9">
                  <c:v>34.660906745217012</c:v>
                </c:pt>
                <c:pt idx="10">
                  <c:v>34.559260400969158</c:v>
                </c:pt>
                <c:pt idx="11">
                  <c:v>33.82706249714672</c:v>
                </c:pt>
                <c:pt idx="12">
                  <c:v>34.102123007718852</c:v>
                </c:pt>
                <c:pt idx="13">
                  <c:v>34.626909508152892</c:v>
                </c:pt>
                <c:pt idx="14">
                  <c:v>35.742630268986666</c:v>
                </c:pt>
                <c:pt idx="15">
                  <c:v>35.662054162670756</c:v>
                </c:pt>
                <c:pt idx="16">
                  <c:v>34.717855185642414</c:v>
                </c:pt>
                <c:pt idx="17">
                  <c:v>34.76641777412452</c:v>
                </c:pt>
                <c:pt idx="18">
                  <c:v>36.177284559528708</c:v>
                </c:pt>
                <c:pt idx="19">
                  <c:v>37.902752089327358</c:v>
                </c:pt>
                <c:pt idx="20">
                  <c:v>38.20868440882316</c:v>
                </c:pt>
                <c:pt idx="21">
                  <c:v>37.327190939398136</c:v>
                </c:pt>
                <c:pt idx="22">
                  <c:v>36.397211946842035</c:v>
                </c:pt>
                <c:pt idx="23">
                  <c:v>35.84497020139753</c:v>
                </c:pt>
                <c:pt idx="24">
                  <c:v>35.467418481983827</c:v>
                </c:pt>
                <c:pt idx="25">
                  <c:v>35.229449239621943</c:v>
                </c:pt>
                <c:pt idx="26">
                  <c:v>35.119605425400721</c:v>
                </c:pt>
                <c:pt idx="27">
                  <c:v>35.268201694296046</c:v>
                </c:pt>
                <c:pt idx="28">
                  <c:v>35.437040462163743</c:v>
                </c:pt>
                <c:pt idx="29">
                  <c:v>37.180786751609844</c:v>
                </c:pt>
                <c:pt idx="30">
                  <c:v>40.858008517148448</c:v>
                </c:pt>
                <c:pt idx="31">
                  <c:v>42.326805612641053</c:v>
                </c:pt>
                <c:pt idx="32">
                  <c:v>41.969887427501455</c:v>
                </c:pt>
                <c:pt idx="33">
                  <c:v>39.346891697492843</c:v>
                </c:pt>
                <c:pt idx="34">
                  <c:v>38.839122368361025</c:v>
                </c:pt>
                <c:pt idx="35">
                  <c:v>37.428720829337337</c:v>
                </c:pt>
                <c:pt idx="36">
                  <c:v>38.092498401607507</c:v>
                </c:pt>
                <c:pt idx="37">
                  <c:v>38.657647166278544</c:v>
                </c:pt>
                <c:pt idx="38">
                  <c:v>39.280489336438833</c:v>
                </c:pt>
                <c:pt idx="39">
                  <c:v>37.176262730054368</c:v>
                </c:pt>
                <c:pt idx="40">
                  <c:v>34.838137073571751</c:v>
                </c:pt>
                <c:pt idx="41">
                  <c:v>34.282878362332916</c:v>
                </c:pt>
                <c:pt idx="42">
                  <c:v>34.883397269032294</c:v>
                </c:pt>
                <c:pt idx="43">
                  <c:v>35.744137324747705</c:v>
                </c:pt>
                <c:pt idx="44">
                  <c:v>35.505480202767551</c:v>
                </c:pt>
                <c:pt idx="45">
                  <c:v>34.730396858017244</c:v>
                </c:pt>
                <c:pt idx="46">
                  <c:v>34.225087911586911</c:v>
                </c:pt>
                <c:pt idx="47">
                  <c:v>34.773816047860649</c:v>
                </c:pt>
                <c:pt idx="48">
                  <c:v>36.62453189934697</c:v>
                </c:pt>
                <c:pt idx="49">
                  <c:v>38.384673128739088</c:v>
                </c:pt>
                <c:pt idx="50">
                  <c:v>38.710542540073973</c:v>
                </c:pt>
                <c:pt idx="51">
                  <c:v>37.390307462209471</c:v>
                </c:pt>
                <c:pt idx="52">
                  <c:v>36.387986938850055</c:v>
                </c:pt>
                <c:pt idx="53">
                  <c:v>36.551151413435612</c:v>
                </c:pt>
                <c:pt idx="54">
                  <c:v>38.405495044983354</c:v>
                </c:pt>
                <c:pt idx="55">
                  <c:v>39.703138557793331</c:v>
                </c:pt>
                <c:pt idx="56">
                  <c:v>39.999686030049794</c:v>
                </c:pt>
                <c:pt idx="57">
                  <c:v>38.759918596154726</c:v>
                </c:pt>
                <c:pt idx="58">
                  <c:v>36.984138808969284</c:v>
                </c:pt>
                <c:pt idx="59">
                  <c:v>36.522311846371757</c:v>
                </c:pt>
                <c:pt idx="60">
                  <c:v>37.6471805498471</c:v>
                </c:pt>
                <c:pt idx="61">
                  <c:v>38.477496917385928</c:v>
                </c:pt>
                <c:pt idx="62">
                  <c:v>38.033083869936604</c:v>
                </c:pt>
                <c:pt idx="63">
                  <c:v>36.190451317532172</c:v>
                </c:pt>
                <c:pt idx="64">
                  <c:v>25.475436132803928</c:v>
                </c:pt>
                <c:pt idx="65">
                  <c:v>24.240578047221945</c:v>
                </c:pt>
                <c:pt idx="66">
                  <c:v>23.619240078549936</c:v>
                </c:pt>
                <c:pt idx="67">
                  <c:v>25.412582203041911</c:v>
                </c:pt>
                <c:pt idx="68">
                  <c:v>28.549187674110968</c:v>
                </c:pt>
                <c:pt idx="69">
                  <c:v>30.7548893684069</c:v>
                </c:pt>
                <c:pt idx="70">
                  <c:v>30.850062223135627</c:v>
                </c:pt>
                <c:pt idx="71">
                  <c:v>30.389025893958063</c:v>
                </c:pt>
                <c:pt idx="72">
                  <c:v>30.913669680779282</c:v>
                </c:pt>
                <c:pt idx="73">
                  <c:v>31.691130634334154</c:v>
                </c:pt>
                <c:pt idx="74">
                  <c:v>33.335950701009864</c:v>
                </c:pt>
                <c:pt idx="75">
                  <c:v>33.058152943326732</c:v>
                </c:pt>
                <c:pt idx="76">
                  <c:v>32.505565830935872</c:v>
                </c:pt>
                <c:pt idx="77">
                  <c:v>30.074422295292216</c:v>
                </c:pt>
                <c:pt idx="78">
                  <c:v>27.515698497511696</c:v>
                </c:pt>
                <c:pt idx="79">
                  <c:v>24.04340777275462</c:v>
                </c:pt>
                <c:pt idx="80">
                  <c:v>20.447267319725025</c:v>
                </c:pt>
                <c:pt idx="81">
                  <c:v>17.240757866374839</c:v>
                </c:pt>
                <c:pt idx="82">
                  <c:v>15.313470452574583</c:v>
                </c:pt>
                <c:pt idx="83">
                  <c:v>13.308812280221931</c:v>
                </c:pt>
                <c:pt idx="84">
                  <c:v>12.104115289765719</c:v>
                </c:pt>
                <c:pt idx="85">
                  <c:v>12.384787299630071</c:v>
                </c:pt>
                <c:pt idx="86">
                  <c:v>18.576000707860654</c:v>
                </c:pt>
                <c:pt idx="87">
                  <c:v>24.57779033657582</c:v>
                </c:pt>
                <c:pt idx="88">
                  <c:v>28.100767228388392</c:v>
                </c:pt>
                <c:pt idx="89">
                  <c:v>24.629826574416764</c:v>
                </c:pt>
                <c:pt idx="90">
                  <c:v>22.276370621547464</c:v>
                </c:pt>
                <c:pt idx="91">
                  <c:v>21.485283372151649</c:v>
                </c:pt>
                <c:pt idx="92">
                  <c:v>23.04008825409986</c:v>
                </c:pt>
                <c:pt idx="93">
                  <c:v>22.364721765538835</c:v>
                </c:pt>
                <c:pt idx="94">
                  <c:v>22.135303922912449</c:v>
                </c:pt>
                <c:pt idx="95">
                  <c:v>24.497893547061633</c:v>
                </c:pt>
                <c:pt idx="96">
                  <c:v>28.010418093803928</c:v>
                </c:pt>
                <c:pt idx="97">
                  <c:v>29.618360962689266</c:v>
                </c:pt>
                <c:pt idx="98">
                  <c:v>26.906859387130687</c:v>
                </c:pt>
                <c:pt idx="99">
                  <c:v>24.187656984975316</c:v>
                </c:pt>
                <c:pt idx="100">
                  <c:v>21.805224459972852</c:v>
                </c:pt>
                <c:pt idx="101">
                  <c:v>20.065868041284819</c:v>
                </c:pt>
                <c:pt idx="102">
                  <c:v>19.527118440882855</c:v>
                </c:pt>
                <c:pt idx="103">
                  <c:v>20.268775403023408</c:v>
                </c:pt>
                <c:pt idx="104">
                  <c:v>20.644697332969155</c:v>
                </c:pt>
                <c:pt idx="105">
                  <c:v>19.477416997763239</c:v>
                </c:pt>
                <c:pt idx="106">
                  <c:v>19.650034822122066</c:v>
                </c:pt>
                <c:pt idx="107">
                  <c:v>21.15036591770653</c:v>
                </c:pt>
                <c:pt idx="108">
                  <c:v>23.223041398366203</c:v>
                </c:pt>
                <c:pt idx="109">
                  <c:v>23.034051468237969</c:v>
                </c:pt>
                <c:pt idx="110">
                  <c:v>21.377817166736129</c:v>
                </c:pt>
                <c:pt idx="111">
                  <c:v>19.540747590995064</c:v>
                </c:pt>
                <c:pt idx="112">
                  <c:v>18.107066607298378</c:v>
                </c:pt>
                <c:pt idx="113">
                  <c:v>17.579400146139321</c:v>
                </c:pt>
                <c:pt idx="114">
                  <c:v>16.176882107138081</c:v>
                </c:pt>
                <c:pt idx="115">
                  <c:v>16.22788509841552</c:v>
                </c:pt>
                <c:pt idx="116">
                  <c:v>15.796164999771884</c:v>
                </c:pt>
                <c:pt idx="117">
                  <c:v>20.578315522674473</c:v>
                </c:pt>
                <c:pt idx="118">
                  <c:v>24.900397314701596</c:v>
                </c:pt>
                <c:pt idx="119">
                  <c:v>29.676933484039452</c:v>
                </c:pt>
                <c:pt idx="120">
                  <c:v>29.817455016669527</c:v>
                </c:pt>
                <c:pt idx="121">
                  <c:v>28.515270356670754</c:v>
                </c:pt>
                <c:pt idx="122">
                  <c:v>28.680946590858177</c:v>
                </c:pt>
                <c:pt idx="123">
                  <c:v>30.226124012422918</c:v>
                </c:pt>
                <c:pt idx="124">
                  <c:v>32.800346508654727</c:v>
                </c:pt>
                <c:pt idx="125">
                  <c:v>34.551950609673241</c:v>
                </c:pt>
                <c:pt idx="126">
                  <c:v>35.878559277526627</c:v>
                </c:pt>
                <c:pt idx="127">
                  <c:v>36.541298465543257</c:v>
                </c:pt>
                <c:pt idx="128">
                  <c:v>37.083932730511087</c:v>
                </c:pt>
                <c:pt idx="129">
                  <c:v>37.793817075398501</c:v>
                </c:pt>
                <c:pt idx="130">
                  <c:v>38.499812759738823</c:v>
                </c:pt>
                <c:pt idx="131">
                  <c:v>38.762365849203078</c:v>
                </c:pt>
                <c:pt idx="132">
                  <c:v>37.835625313970013</c:v>
                </c:pt>
                <c:pt idx="133">
                  <c:v>37.345820774535369</c:v>
                </c:pt>
                <c:pt idx="134">
                  <c:v>36.929616499977165</c:v>
                </c:pt>
                <c:pt idx="135">
                  <c:v>37.831749212220828</c:v>
                </c:pt>
                <c:pt idx="136">
                  <c:v>37.866808809426004</c:v>
                </c:pt>
                <c:pt idx="137">
                  <c:v>37.773422729141039</c:v>
                </c:pt>
                <c:pt idx="138">
                  <c:v>37.411695095218612</c:v>
                </c:pt>
                <c:pt idx="139">
                  <c:v>37.846454422980386</c:v>
                </c:pt>
                <c:pt idx="140">
                  <c:v>38.499763095401228</c:v>
                </c:pt>
                <c:pt idx="141">
                  <c:v>38.6045148878842</c:v>
                </c:pt>
                <c:pt idx="142">
                  <c:v>38.093508813992827</c:v>
                </c:pt>
                <c:pt idx="143">
                  <c:v>38.103635772023544</c:v>
                </c:pt>
                <c:pt idx="144">
                  <c:v>38.983850527469535</c:v>
                </c:pt>
                <c:pt idx="145">
                  <c:v>40.72634379138691</c:v>
                </c:pt>
                <c:pt idx="146">
                  <c:v>41.722630383157565</c:v>
                </c:pt>
                <c:pt idx="147">
                  <c:v>41.652035666986428</c:v>
                </c:pt>
                <c:pt idx="148">
                  <c:v>41.3264745170572</c:v>
                </c:pt>
                <c:pt idx="149">
                  <c:v>40.86194170434301</c:v>
                </c:pt>
                <c:pt idx="150">
                  <c:v>40.981258848244138</c:v>
                </c:pt>
                <c:pt idx="151">
                  <c:v>41.172303854409357</c:v>
                </c:pt>
                <c:pt idx="152">
                  <c:v>41.74195380645758</c:v>
                </c:pt>
                <c:pt idx="153">
                  <c:v>41.263649130017861</c:v>
                </c:pt>
                <c:pt idx="154">
                  <c:v>40.908865940539812</c:v>
                </c:pt>
                <c:pt idx="155">
                  <c:v>41.000779216331068</c:v>
                </c:pt>
                <c:pt idx="156">
                  <c:v>41.866651253596402</c:v>
                </c:pt>
                <c:pt idx="157">
                  <c:v>41.756527720692347</c:v>
                </c:pt>
                <c:pt idx="158">
                  <c:v>42.42903708270542</c:v>
                </c:pt>
                <c:pt idx="159">
                  <c:v>42.932656299949798</c:v>
                </c:pt>
                <c:pt idx="160">
                  <c:v>43.812985226286791</c:v>
                </c:pt>
                <c:pt idx="161">
                  <c:v>43.308929305384339</c:v>
                </c:pt>
                <c:pt idx="162">
                  <c:v>43.383497168562016</c:v>
                </c:pt>
                <c:pt idx="163">
                  <c:v>43.538735329040556</c:v>
                </c:pt>
                <c:pt idx="164">
                  <c:v>43.848743549344746</c:v>
                </c:pt>
                <c:pt idx="165">
                  <c:v>43.603906927889753</c:v>
                </c:pt>
                <c:pt idx="166">
                  <c:v>43.022822761108856</c:v>
                </c:pt>
                <c:pt idx="167">
                  <c:v>42.726586404530323</c:v>
                </c:pt>
                <c:pt idx="168">
                  <c:v>43.529162099831048</c:v>
                </c:pt>
                <c:pt idx="169">
                  <c:v>43.372982029501841</c:v>
                </c:pt>
                <c:pt idx="170">
                  <c:v>43.670776818742276</c:v>
                </c:pt>
                <c:pt idx="171">
                  <c:v>43.1079771201535</c:v>
                </c:pt>
                <c:pt idx="172">
                  <c:v>43.435736059734261</c:v>
                </c:pt>
                <c:pt idx="173">
                  <c:v>43.116554208339082</c:v>
                </c:pt>
                <c:pt idx="174">
                  <c:v>42.331115563775938</c:v>
                </c:pt>
                <c:pt idx="175">
                  <c:v>42.136111681965588</c:v>
                </c:pt>
                <c:pt idx="176">
                  <c:v>42.010029912773469</c:v>
                </c:pt>
                <c:pt idx="177">
                  <c:v>42.604777480933528</c:v>
                </c:pt>
                <c:pt idx="178">
                  <c:v>42.460131524866448</c:v>
                </c:pt>
                <c:pt idx="179">
                  <c:v>42.515110517422549</c:v>
                </c:pt>
                <c:pt idx="180">
                  <c:v>41.991908138101103</c:v>
                </c:pt>
                <c:pt idx="181">
                  <c:v>41.31195768826781</c:v>
                </c:pt>
                <c:pt idx="182">
                  <c:v>40.594778965155115</c:v>
                </c:pt>
                <c:pt idx="183">
                  <c:v>40.398590560350783</c:v>
                </c:pt>
                <c:pt idx="184">
                  <c:v>41.573700164406148</c:v>
                </c:pt>
                <c:pt idx="185">
                  <c:v>42.397437434351765</c:v>
                </c:pt>
                <c:pt idx="186">
                  <c:v>43.419343974060411</c:v>
                </c:pt>
                <c:pt idx="187">
                  <c:v>43.899646641092453</c:v>
                </c:pt>
                <c:pt idx="188">
                  <c:v>43.634901470521072</c:v>
                </c:pt>
                <c:pt idx="189">
                  <c:v>43.167294606567182</c:v>
                </c:pt>
                <c:pt idx="190">
                  <c:v>42.594696191259175</c:v>
                </c:pt>
                <c:pt idx="191">
                  <c:v>42.308095857880133</c:v>
                </c:pt>
                <c:pt idx="192">
                  <c:v>41.383248846873975</c:v>
                </c:pt>
                <c:pt idx="193">
                  <c:v>40.925771795223177</c:v>
                </c:pt>
                <c:pt idx="194">
                  <c:v>41.110545965200714</c:v>
                </c:pt>
                <c:pt idx="195">
                  <c:v>41.547078366899619</c:v>
                </c:pt>
                <c:pt idx="196">
                  <c:v>41.515986779010838</c:v>
                </c:pt>
                <c:pt idx="197">
                  <c:v>41.859016075261508</c:v>
                </c:pt>
                <c:pt idx="198">
                  <c:v>42.361864638991733</c:v>
                </c:pt>
                <c:pt idx="199">
                  <c:v>43.362732337763241</c:v>
                </c:pt>
                <c:pt idx="200">
                  <c:v>43.314015618577919</c:v>
                </c:pt>
                <c:pt idx="201">
                  <c:v>43.546964196008609</c:v>
                </c:pt>
                <c:pt idx="202">
                  <c:v>43.608719230944871</c:v>
                </c:pt>
                <c:pt idx="203">
                  <c:v>43.396236356578527</c:v>
                </c:pt>
                <c:pt idx="204">
                  <c:v>42.862025049093454</c:v>
                </c:pt>
                <c:pt idx="205">
                  <c:v>42.312901310681859</c:v>
                </c:pt>
                <c:pt idx="206">
                  <c:v>42.27938073708728</c:v>
                </c:pt>
                <c:pt idx="207">
                  <c:v>43.078679727816635</c:v>
                </c:pt>
                <c:pt idx="208">
                  <c:v>43.858097570443512</c:v>
                </c:pt>
                <c:pt idx="209">
                  <c:v>44.610891332145989</c:v>
                </c:pt>
                <c:pt idx="210">
                  <c:v>44.696863440197284</c:v>
                </c:pt>
                <c:pt idx="211">
                  <c:v>44.237284217016025</c:v>
                </c:pt>
                <c:pt idx="212">
                  <c:v>43.572993994145236</c:v>
                </c:pt>
                <c:pt idx="213">
                  <c:v>42.908703771274212</c:v>
                </c:pt>
                <c:pt idx="214">
                  <c:v>42.244413548403315</c:v>
                </c:pt>
                <c:pt idx="215">
                  <c:v>41.580123325532426</c:v>
                </c:pt>
                <c:pt idx="216">
                  <c:v>40.915833102661637</c:v>
                </c:pt>
                <c:pt idx="217">
                  <c:v>40.251542879790613</c:v>
                </c:pt>
                <c:pt idx="218">
                  <c:v>39.587252656919716</c:v>
                </c:pt>
                <c:pt idx="219">
                  <c:v>39.901034021294564</c:v>
                </c:pt>
                <c:pt idx="220">
                  <c:v>40.138965138734029</c:v>
                </c:pt>
                <c:pt idx="221">
                  <c:v>40.300557724802466</c:v>
                </c:pt>
                <c:pt idx="222">
                  <c:v>40.47916952093896</c:v>
                </c:pt>
                <c:pt idx="223">
                  <c:v>40.017830638900364</c:v>
                </c:pt>
                <c:pt idx="224">
                  <c:v>39.404033657578665</c:v>
                </c:pt>
                <c:pt idx="225">
                  <c:v>38.507894917111948</c:v>
                </c:pt>
                <c:pt idx="226">
                  <c:v>38.380023519203554</c:v>
                </c:pt>
                <c:pt idx="227">
                  <c:v>38.831455222176551</c:v>
                </c:pt>
                <c:pt idx="228">
                  <c:v>37.405361413145116</c:v>
                </c:pt>
                <c:pt idx="229">
                  <c:v>36.86076704156239</c:v>
                </c:pt>
                <c:pt idx="230">
                  <c:v>36.655415125359674</c:v>
                </c:pt>
                <c:pt idx="231">
                  <c:v>36.455815865187041</c:v>
                </c:pt>
                <c:pt idx="232">
                  <c:v>36.549270448006638</c:v>
                </c:pt>
                <c:pt idx="233">
                  <c:v>36.675075352788028</c:v>
                </c:pt>
                <c:pt idx="234">
                  <c:v>37.856196054253999</c:v>
                </c:pt>
                <c:pt idx="235">
                  <c:v>38.57614056720098</c:v>
                </c:pt>
                <c:pt idx="236">
                  <c:v>38.47167420194549</c:v>
                </c:pt>
                <c:pt idx="237">
                  <c:v>37.715440471297526</c:v>
                </c:pt>
                <c:pt idx="238">
                  <c:v>37.914132072886673</c:v>
                </c:pt>
                <c:pt idx="239">
                  <c:v>38.114399232771618</c:v>
                </c:pt>
                <c:pt idx="240">
                  <c:v>37.560076722838822</c:v>
                </c:pt>
                <c:pt idx="241">
                  <c:v>35.903856692697651</c:v>
                </c:pt>
                <c:pt idx="242">
                  <c:v>34.562046170708982</c:v>
                </c:pt>
                <c:pt idx="243">
                  <c:v>34.766954377311954</c:v>
                </c:pt>
                <c:pt idx="244">
                  <c:v>35.699530757638087</c:v>
                </c:pt>
                <c:pt idx="245">
                  <c:v>36.839104671872853</c:v>
                </c:pt>
                <c:pt idx="246">
                  <c:v>36.611128236744747</c:v>
                </c:pt>
                <c:pt idx="247">
                  <c:v>36.399318399780881</c:v>
                </c:pt>
                <c:pt idx="248">
                  <c:v>36.156322783943018</c:v>
                </c:pt>
                <c:pt idx="249">
                  <c:v>37.559306069324634</c:v>
                </c:pt>
                <c:pt idx="250">
                  <c:v>38.347119468420338</c:v>
                </c:pt>
                <c:pt idx="251">
                  <c:v>38.48302849705437</c:v>
                </c:pt>
                <c:pt idx="252">
                  <c:v>36.816019317714783</c:v>
                </c:pt>
                <c:pt idx="253">
                  <c:v>37.169578024386908</c:v>
                </c:pt>
                <c:pt idx="254">
                  <c:v>37.187029045074716</c:v>
                </c:pt>
                <c:pt idx="255">
                  <c:v>38.037847650363112</c:v>
                </c:pt>
                <c:pt idx="256">
                  <c:v>37.056737224277292</c:v>
                </c:pt>
                <c:pt idx="257">
                  <c:v>36.493903274421186</c:v>
                </c:pt>
                <c:pt idx="258">
                  <c:v>35.022383203178542</c:v>
                </c:pt>
                <c:pt idx="259">
                  <c:v>36.834382464542522</c:v>
                </c:pt>
                <c:pt idx="260">
                  <c:v>36.827754844320566</c:v>
                </c:pt>
                <c:pt idx="261">
                  <c:v>35.911687574831682</c:v>
                </c:pt>
                <c:pt idx="262">
                  <c:v>35.872294149883579</c:v>
                </c:pt>
                <c:pt idx="263">
                  <c:v>36.545023290861764</c:v>
                </c:pt>
                <c:pt idx="264">
                  <c:v>36.585097273599118</c:v>
                </c:pt>
                <c:pt idx="265">
                  <c:v>35.108079873955354</c:v>
                </c:pt>
                <c:pt idx="266">
                  <c:v>33.718488834087537</c:v>
                </c:pt>
                <c:pt idx="267">
                  <c:v>33.137005069188646</c:v>
                </c:pt>
                <c:pt idx="268">
                  <c:v>33.129093026442646</c:v>
                </c:pt>
                <c:pt idx="269">
                  <c:v>35.143838197013316</c:v>
                </c:pt>
                <c:pt idx="270">
                  <c:v>36.82007809288951</c:v>
                </c:pt>
                <c:pt idx="271">
                  <c:v>37.678072338676564</c:v>
                </c:pt>
                <c:pt idx="272">
                  <c:v>37.075609672557945</c:v>
                </c:pt>
                <c:pt idx="273">
                  <c:v>35.717341416632408</c:v>
                </c:pt>
                <c:pt idx="274">
                  <c:v>35.170228798465573</c:v>
                </c:pt>
                <c:pt idx="275">
                  <c:v>34.167437320181243</c:v>
                </c:pt>
                <c:pt idx="276">
                  <c:v>33.61224140293217</c:v>
                </c:pt>
                <c:pt idx="277">
                  <c:v>33.095869297163993</c:v>
                </c:pt>
                <c:pt idx="278">
                  <c:v>34.19321139882242</c:v>
                </c:pt>
                <c:pt idx="279">
                  <c:v>34.91159747910676</c:v>
                </c:pt>
                <c:pt idx="280">
                  <c:v>34.315454171805172</c:v>
                </c:pt>
                <c:pt idx="281">
                  <c:v>32.215782983970385</c:v>
                </c:pt>
                <c:pt idx="282">
                  <c:v>29.698948486094931</c:v>
                </c:pt>
                <c:pt idx="283">
                  <c:v>28.464669817784213</c:v>
                </c:pt>
                <c:pt idx="284">
                  <c:v>29.70894985614548</c:v>
                </c:pt>
                <c:pt idx="285">
                  <c:v>30.76108028497163</c:v>
                </c:pt>
                <c:pt idx="286">
                  <c:v>31.763015481573355</c:v>
                </c:pt>
                <c:pt idx="287">
                  <c:v>30.527760652144245</c:v>
                </c:pt>
                <c:pt idx="288">
                  <c:v>28.96831757775092</c:v>
                </c:pt>
                <c:pt idx="289">
                  <c:v>27.753408001096162</c:v>
                </c:pt>
                <c:pt idx="290">
                  <c:v>29.742772982600478</c:v>
                </c:pt>
                <c:pt idx="291">
                  <c:v>34.209823263461146</c:v>
                </c:pt>
                <c:pt idx="292">
                  <c:v>24.122105767913666</c:v>
                </c:pt>
                <c:pt idx="293">
                  <c:v>29.377962734621452</c:v>
                </c:pt>
                <c:pt idx="294">
                  <c:v>35.127620221948192</c:v>
                </c:pt>
                <c:pt idx="295">
                  <c:v>35.161272092067435</c:v>
                </c:pt>
                <c:pt idx="296">
                  <c:v>34.540347992876676</c:v>
                </c:pt>
                <c:pt idx="297">
                  <c:v>34.692337991506776</c:v>
                </c:pt>
                <c:pt idx="298">
                  <c:v>33.222907247568415</c:v>
                </c:pt>
                <c:pt idx="299">
                  <c:v>30.59030346622934</c:v>
                </c:pt>
                <c:pt idx="300">
                  <c:v>26.608799150569656</c:v>
                </c:pt>
                <c:pt idx="301">
                  <c:v>23.443708042198498</c:v>
                </c:pt>
                <c:pt idx="302">
                  <c:v>20.447500146791608</c:v>
                </c:pt>
                <c:pt idx="303">
                  <c:v>18.907683048558564</c:v>
                </c:pt>
                <c:pt idx="304">
                  <c:v>19.057412463547458</c:v>
                </c:pt>
                <c:pt idx="305">
                  <c:v>22.973814906151652</c:v>
                </c:pt>
                <c:pt idx="306">
                  <c:v>27.554973284012323</c:v>
                </c:pt>
                <c:pt idx="307">
                  <c:v>30.412385258255238</c:v>
                </c:pt>
                <c:pt idx="308">
                  <c:v>29.65905354407273</c:v>
                </c:pt>
                <c:pt idx="309">
                  <c:v>27.294791316369906</c:v>
                </c:pt>
                <c:pt idx="310">
                  <c:v>27.077818879299613</c:v>
                </c:pt>
                <c:pt idx="311">
                  <c:v>27.428637484586922</c:v>
                </c:pt>
                <c:pt idx="312">
                  <c:v>30.555880942595547</c:v>
                </c:pt>
                <c:pt idx="313">
                  <c:v>31.118064118372367</c:v>
                </c:pt>
                <c:pt idx="314">
                  <c:v>32.43454582819605</c:v>
                </c:pt>
                <c:pt idx="315">
                  <c:v>31.732822989451275</c:v>
                </c:pt>
                <c:pt idx="316">
                  <c:v>31.573760104124517</c:v>
                </c:pt>
                <c:pt idx="317">
                  <c:v>32.229243732018489</c:v>
                </c:pt>
                <c:pt idx="318">
                  <c:v>33.7345869297164</c:v>
                </c:pt>
                <c:pt idx="319">
                  <c:v>33.805024660912444</c:v>
                </c:pt>
                <c:pt idx="320">
                  <c:v>34.502842855186167</c:v>
                </c:pt>
                <c:pt idx="321">
                  <c:v>34.322304425263852</c:v>
                </c:pt>
                <c:pt idx="322">
                  <c:v>34.209480750787897</c:v>
                </c:pt>
                <c:pt idx="323">
                  <c:v>32.061789286204665</c:v>
                </c:pt>
                <c:pt idx="324">
                  <c:v>30.597444855459905</c:v>
                </c:pt>
                <c:pt idx="325">
                  <c:v>28.226692012605405</c:v>
                </c:pt>
                <c:pt idx="326">
                  <c:v>27.058723797780498</c:v>
                </c:pt>
                <c:pt idx="327">
                  <c:v>24.212614741745973</c:v>
                </c:pt>
                <c:pt idx="328">
                  <c:v>22.325626798192335</c:v>
                </c:pt>
                <c:pt idx="329">
                  <c:v>22.797061241266324</c:v>
                </c:pt>
                <c:pt idx="330">
                  <c:v>23.130291820797765</c:v>
                </c:pt>
                <c:pt idx="331">
                  <c:v>24.553329223181255</c:v>
                </c:pt>
                <c:pt idx="332">
                  <c:v>23.012895602138094</c:v>
                </c:pt>
                <c:pt idx="333">
                  <c:v>22.296410467187417</c:v>
                </c:pt>
                <c:pt idx="334">
                  <c:v>21.606658446362513</c:v>
                </c:pt>
                <c:pt idx="335">
                  <c:v>22.005548705302086</c:v>
                </c:pt>
                <c:pt idx="336">
                  <c:v>22.599208795726256</c:v>
                </c:pt>
                <c:pt idx="337">
                  <c:v>23.785775448691716</c:v>
                </c:pt>
                <c:pt idx="338">
                  <c:v>27.133460063023421</c:v>
                </c:pt>
                <c:pt idx="339">
                  <c:v>29.680058912180019</c:v>
                </c:pt>
                <c:pt idx="340">
                  <c:v>31.556737224277427</c:v>
                </c:pt>
                <c:pt idx="341">
                  <c:v>31.28250445266584</c:v>
                </c:pt>
                <c:pt idx="342">
                  <c:v>29.99861282367447</c:v>
                </c:pt>
                <c:pt idx="343">
                  <c:v>26.989827373612815</c:v>
                </c:pt>
                <c:pt idx="344">
                  <c:v>23.563501849568429</c:v>
                </c:pt>
                <c:pt idx="345">
                  <c:v>20.633117550350182</c:v>
                </c:pt>
                <c:pt idx="346">
                  <c:v>17.980391149473487</c:v>
                </c:pt>
                <c:pt idx="347">
                  <c:v>23.677267433895182</c:v>
                </c:pt>
                <c:pt idx="348">
                  <c:v>21.451277572271263</c:v>
                </c:pt>
                <c:pt idx="349">
                  <c:v>28.000599397178789</c:v>
                </c:pt>
                <c:pt idx="350">
                  <c:v>28.123253185368679</c:v>
                </c:pt>
                <c:pt idx="351">
                  <c:v>28.836381696123301</c:v>
                </c:pt>
                <c:pt idx="352">
                  <c:v>28.703503904644862</c:v>
                </c:pt>
                <c:pt idx="353">
                  <c:v>28.230699410879144</c:v>
                </c:pt>
                <c:pt idx="354">
                  <c:v>27.555144540348937</c:v>
                </c:pt>
                <c:pt idx="355">
                  <c:v>27.805469927388391</c:v>
                </c:pt>
                <c:pt idx="356">
                  <c:v>27.948040827511697</c:v>
                </c:pt>
                <c:pt idx="357">
                  <c:v>28.426873544321818</c:v>
                </c:pt>
                <c:pt idx="358">
                  <c:v>28.12542814084216</c:v>
                </c:pt>
                <c:pt idx="359">
                  <c:v>29.067132483902569</c:v>
                </c:pt>
                <c:pt idx="360">
                  <c:v>31.134984244418</c:v>
                </c:pt>
                <c:pt idx="361">
                  <c:v>33.762142074257696</c:v>
                </c:pt>
                <c:pt idx="362">
                  <c:v>35.248784080010971</c:v>
                </c:pt>
                <c:pt idx="363">
                  <c:v>35.993577887381868</c:v>
                </c:pt>
                <c:pt idx="364">
                  <c:v>35.779199205370652</c:v>
                </c:pt>
                <c:pt idx="365">
                  <c:v>36.036083710097266</c:v>
                </c:pt>
                <c:pt idx="366">
                  <c:v>36.542060556240564</c:v>
                </c:pt>
                <c:pt idx="367">
                  <c:v>37.891663241539938</c:v>
                </c:pt>
                <c:pt idx="368">
                  <c:v>39.836861213864978</c:v>
                </c:pt>
                <c:pt idx="369">
                  <c:v>40.709669132757938</c:v>
                </c:pt>
                <c:pt idx="370">
                  <c:v>41.000856281682488</c:v>
                </c:pt>
                <c:pt idx="371">
                  <c:v>40.534097136594063</c:v>
                </c:pt>
                <c:pt idx="372">
                  <c:v>38.358251130291855</c:v>
                </c:pt>
                <c:pt idx="373">
                  <c:v>35.622242772982609</c:v>
                </c:pt>
                <c:pt idx="374">
                  <c:v>34.039662967530198</c:v>
                </c:pt>
                <c:pt idx="375">
                  <c:v>34.527075626799004</c:v>
                </c:pt>
                <c:pt idx="376">
                  <c:v>35.875787779147821</c:v>
                </c:pt>
                <c:pt idx="377">
                  <c:v>35.619057405124025</c:v>
                </c:pt>
                <c:pt idx="378">
                  <c:v>35.26135429510898</c:v>
                </c:pt>
                <c:pt idx="379">
                  <c:v>35.283343608713551</c:v>
                </c:pt>
                <c:pt idx="380">
                  <c:v>35.365666529661631</c:v>
                </c:pt>
                <c:pt idx="381">
                  <c:v>36.32047198246336</c:v>
                </c:pt>
                <c:pt idx="382">
                  <c:v>37.553757364022552</c:v>
                </c:pt>
                <c:pt idx="383">
                  <c:v>38.313775859706759</c:v>
                </c:pt>
                <c:pt idx="384">
                  <c:v>38.677712700369909</c:v>
                </c:pt>
                <c:pt idx="385">
                  <c:v>37.947903822441418</c:v>
                </c:pt>
                <c:pt idx="386">
                  <c:v>37.722102342786798</c:v>
                </c:pt>
                <c:pt idx="387">
                  <c:v>37.09532127688729</c:v>
                </c:pt>
                <c:pt idx="388">
                  <c:v>36.948537470886414</c:v>
                </c:pt>
                <c:pt idx="389">
                  <c:v>37.400979586244759</c:v>
                </c:pt>
                <c:pt idx="390">
                  <c:v>37.963642279764358</c:v>
                </c:pt>
                <c:pt idx="391">
                  <c:v>37.677627072201709</c:v>
                </c:pt>
                <c:pt idx="392">
                  <c:v>37.436566652966206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5C-4371-AAB3-629E8476D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0666592"/>
        <c:axId val="770694688"/>
      </c:scatterChart>
      <c:valAx>
        <c:axId val="850666592"/>
        <c:scaling>
          <c:orientation val="minMax"/>
          <c:max val="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Ref.</a:t>
                </a:r>
                <a:r>
                  <a:rPr lang="en-US" baseline="0"/>
                  <a:t> vol. SM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694688"/>
        <c:crosses val="autoZero"/>
        <c:crossBetween val="midCat"/>
      </c:valAx>
      <c:valAx>
        <c:axId val="770694688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Pred.</a:t>
                </a:r>
                <a:r>
                  <a:rPr lang="en-US" baseline="0"/>
                  <a:t> vol. SM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666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selhausen_SM_Kdose_daily!$D$8:$D$400</c:f>
              <c:numCache>
                <c:formatCode>General</c:formatCode>
                <c:ptCount val="393"/>
                <c:pt idx="0">
                  <c:v>35.267864366824199</c:v>
                </c:pt>
                <c:pt idx="1">
                  <c:v>35.1993709636075</c:v>
                </c:pt>
                <c:pt idx="2">
                  <c:v>34.623326589406403</c:v>
                </c:pt>
                <c:pt idx="3">
                  <c:v>34.047282215205399</c:v>
                </c:pt>
                <c:pt idx="4">
                  <c:v>33.471237841004303</c:v>
                </c:pt>
                <c:pt idx="5">
                  <c:v>32.895193466803299</c:v>
                </c:pt>
                <c:pt idx="6">
                  <c:v>32.731530427774302</c:v>
                </c:pt>
                <c:pt idx="7">
                  <c:v>32.596651251184497</c:v>
                </c:pt>
                <c:pt idx="8">
                  <c:v>32.4536587751696</c:v>
                </c:pt>
                <c:pt idx="9">
                  <c:v>32.176603565747101</c:v>
                </c:pt>
                <c:pt idx="10">
                  <c:v>31.936275817145599</c:v>
                </c:pt>
                <c:pt idx="11">
                  <c:v>31.824461490872402</c:v>
                </c:pt>
                <c:pt idx="12">
                  <c:v>31.659673067343999</c:v>
                </c:pt>
                <c:pt idx="13">
                  <c:v>31.473443625845999</c:v>
                </c:pt>
                <c:pt idx="14">
                  <c:v>31.851141941655001</c:v>
                </c:pt>
                <c:pt idx="15">
                  <c:v>31.8194347825062</c:v>
                </c:pt>
                <c:pt idx="16">
                  <c:v>31.599505151353402</c:v>
                </c:pt>
                <c:pt idx="17">
                  <c:v>31.463331280833</c:v>
                </c:pt>
                <c:pt idx="18">
                  <c:v>33.151635158716701</c:v>
                </c:pt>
                <c:pt idx="19">
                  <c:v>32.998640120501001</c:v>
                </c:pt>
                <c:pt idx="20">
                  <c:v>32.794448674991102</c:v>
                </c:pt>
                <c:pt idx="21">
                  <c:v>32.166767682053397</c:v>
                </c:pt>
                <c:pt idx="22">
                  <c:v>31.524188101936598</c:v>
                </c:pt>
                <c:pt idx="23">
                  <c:v>31.138822162791101</c:v>
                </c:pt>
                <c:pt idx="24">
                  <c:v>30.705000572561101</c:v>
                </c:pt>
                <c:pt idx="25">
                  <c:v>30.488454813834799</c:v>
                </c:pt>
                <c:pt idx="26">
                  <c:v>30.405468680709301</c:v>
                </c:pt>
                <c:pt idx="27">
                  <c:v>30.4157502506878</c:v>
                </c:pt>
                <c:pt idx="28">
                  <c:v>30.3620788052596</c:v>
                </c:pt>
                <c:pt idx="29">
                  <c:v>30.335750368182499</c:v>
                </c:pt>
                <c:pt idx="30">
                  <c:v>32.315058318218497</c:v>
                </c:pt>
                <c:pt idx="31">
                  <c:v>36.337446053406097</c:v>
                </c:pt>
                <c:pt idx="32">
                  <c:v>37.0493163861155</c:v>
                </c:pt>
                <c:pt idx="33">
                  <c:v>37.159532534574801</c:v>
                </c:pt>
                <c:pt idx="34">
                  <c:v>36.058666854678798</c:v>
                </c:pt>
                <c:pt idx="35">
                  <c:v>35.3272768251298</c:v>
                </c:pt>
                <c:pt idx="36">
                  <c:v>34.870909228816899</c:v>
                </c:pt>
                <c:pt idx="37">
                  <c:v>36.107426871348601</c:v>
                </c:pt>
                <c:pt idx="38">
                  <c:v>36.894246105104102</c:v>
                </c:pt>
                <c:pt idx="39">
                  <c:v>35.586914151347898</c:v>
                </c:pt>
                <c:pt idx="40">
                  <c:v>34.740036497319103</c:v>
                </c:pt>
                <c:pt idx="41">
                  <c:v>34.1406571505727</c:v>
                </c:pt>
                <c:pt idx="42">
                  <c:v>33.755179624401798</c:v>
                </c:pt>
                <c:pt idx="43">
                  <c:v>33.440578497936897</c:v>
                </c:pt>
                <c:pt idx="44">
                  <c:v>33.366809618916299</c:v>
                </c:pt>
                <c:pt idx="45">
                  <c:v>33.2781730489151</c:v>
                </c:pt>
                <c:pt idx="46">
                  <c:v>32.989720538044701</c:v>
                </c:pt>
                <c:pt idx="47">
                  <c:v>32.6202136074062</c:v>
                </c:pt>
                <c:pt idx="48">
                  <c:v>32.632159117632497</c:v>
                </c:pt>
                <c:pt idx="49">
                  <c:v>35.194891389522901</c:v>
                </c:pt>
                <c:pt idx="50">
                  <c:v>35.5541925632211</c:v>
                </c:pt>
                <c:pt idx="51">
                  <c:v>34.451621502619801</c:v>
                </c:pt>
                <c:pt idx="52">
                  <c:v>33.918666064892903</c:v>
                </c:pt>
                <c:pt idx="53">
                  <c:v>34.9264315009531</c:v>
                </c:pt>
                <c:pt idx="54">
                  <c:v>35.9720499422329</c:v>
                </c:pt>
                <c:pt idx="55">
                  <c:v>37.452550331109897</c:v>
                </c:pt>
                <c:pt idx="56">
                  <c:v>36.853394534188098</c:v>
                </c:pt>
                <c:pt idx="57">
                  <c:v>35.419109861034798</c:v>
                </c:pt>
                <c:pt idx="58">
                  <c:v>34.230262953228298</c:v>
                </c:pt>
                <c:pt idx="59">
                  <c:v>33.353690098410297</c:v>
                </c:pt>
                <c:pt idx="60">
                  <c:v>32.906982665148497</c:v>
                </c:pt>
                <c:pt idx="61">
                  <c:v>34.001598062262502</c:v>
                </c:pt>
                <c:pt idx="62">
                  <c:v>33.594117494012103</c:v>
                </c:pt>
                <c:pt idx="63">
                  <c:v>32.863698666536798</c:v>
                </c:pt>
                <c:pt idx="64">
                  <c:v>26.7234445732221</c:v>
                </c:pt>
                <c:pt idx="65">
                  <c:v>25.654445621735999</c:v>
                </c:pt>
                <c:pt idx="66">
                  <c:v>24.529209716069399</c:v>
                </c:pt>
                <c:pt idx="67">
                  <c:v>23.790099215638801</c:v>
                </c:pt>
                <c:pt idx="68">
                  <c:v>26.870676620888801</c:v>
                </c:pt>
                <c:pt idx="69">
                  <c:v>28.727012494819299</c:v>
                </c:pt>
                <c:pt idx="70">
                  <c:v>27.4028524032916</c:v>
                </c:pt>
                <c:pt idx="71">
                  <c:v>26.6187733402259</c:v>
                </c:pt>
                <c:pt idx="72">
                  <c:v>25.998387141483601</c:v>
                </c:pt>
                <c:pt idx="73">
                  <c:v>26.047473524138798</c:v>
                </c:pt>
                <c:pt idx="74">
                  <c:v>27.095320503236</c:v>
                </c:pt>
                <c:pt idx="75">
                  <c:v>30.6466978299582</c:v>
                </c:pt>
                <c:pt idx="76">
                  <c:v>31.595901990735999</c:v>
                </c:pt>
                <c:pt idx="77">
                  <c:v>30.4030089779721</c:v>
                </c:pt>
                <c:pt idx="78">
                  <c:v>29.239402826499902</c:v>
                </c:pt>
                <c:pt idx="79">
                  <c:v>27.907813418013799</c:v>
                </c:pt>
                <c:pt idx="80">
                  <c:v>26.7159381721839</c:v>
                </c:pt>
                <c:pt idx="81">
                  <c:v>23.995684525626</c:v>
                </c:pt>
                <c:pt idx="82">
                  <c:v>23.7601182871337</c:v>
                </c:pt>
                <c:pt idx="83">
                  <c:v>23.499634694358502</c:v>
                </c:pt>
                <c:pt idx="84">
                  <c:v>23.244947879529199</c:v>
                </c:pt>
                <c:pt idx="85">
                  <c:v>22.945815931696501</c:v>
                </c:pt>
                <c:pt idx="86">
                  <c:v>24.033854082923799</c:v>
                </c:pt>
                <c:pt idx="87">
                  <c:v>29.503924314726401</c:v>
                </c:pt>
                <c:pt idx="88">
                  <c:v>28.741324029191901</c:v>
                </c:pt>
                <c:pt idx="89">
                  <c:v>27.9195067778133</c:v>
                </c:pt>
                <c:pt idx="90">
                  <c:v>27.538497196261599</c:v>
                </c:pt>
                <c:pt idx="91">
                  <c:v>27.4906890629847</c:v>
                </c:pt>
                <c:pt idx="92">
                  <c:v>27.149424685076301</c:v>
                </c:pt>
                <c:pt idx="93">
                  <c:v>26.665504798477802</c:v>
                </c:pt>
                <c:pt idx="94">
                  <c:v>26.0421322048668</c:v>
                </c:pt>
                <c:pt idx="95">
                  <c:v>26.1494750034615</c:v>
                </c:pt>
                <c:pt idx="96">
                  <c:v>28.088133900033</c:v>
                </c:pt>
                <c:pt idx="97">
                  <c:v>28.5459110472178</c:v>
                </c:pt>
                <c:pt idx="98">
                  <c:v>27.6599074387107</c:v>
                </c:pt>
                <c:pt idx="99">
                  <c:v>26.895821858144199</c:v>
                </c:pt>
                <c:pt idx="100">
                  <c:v>26.3374477187295</c:v>
                </c:pt>
                <c:pt idx="101">
                  <c:v>25.8871552580908</c:v>
                </c:pt>
                <c:pt idx="102">
                  <c:v>25.506677034009101</c:v>
                </c:pt>
                <c:pt idx="103">
                  <c:v>25.191092204862301</c:v>
                </c:pt>
                <c:pt idx="104">
                  <c:v>24.911594257879599</c:v>
                </c:pt>
                <c:pt idx="105">
                  <c:v>24.608016751176201</c:v>
                </c:pt>
                <c:pt idx="106">
                  <c:v>24.290534069230699</c:v>
                </c:pt>
                <c:pt idx="107">
                  <c:v>24.058565918509199</c:v>
                </c:pt>
                <c:pt idx="108">
                  <c:v>24.037524589978499</c:v>
                </c:pt>
                <c:pt idx="109">
                  <c:v>23.8442329907048</c:v>
                </c:pt>
                <c:pt idx="110">
                  <c:v>23.499316363920698</c:v>
                </c:pt>
                <c:pt idx="111">
                  <c:v>23.0075209086279</c:v>
                </c:pt>
                <c:pt idx="112">
                  <c:v>22.5017628295058</c:v>
                </c:pt>
                <c:pt idx="113">
                  <c:v>22.083467953183</c:v>
                </c:pt>
                <c:pt idx="114">
                  <c:v>21.609753503034899</c:v>
                </c:pt>
                <c:pt idx="115">
                  <c:v>21.0457879157969</c:v>
                </c:pt>
                <c:pt idx="116">
                  <c:v>20.4324574252689</c:v>
                </c:pt>
                <c:pt idx="117">
                  <c:v>20.281381125061799</c:v>
                </c:pt>
                <c:pt idx="118">
                  <c:v>20.465845404642501</c:v>
                </c:pt>
                <c:pt idx="119">
                  <c:v>20.799153317267098</c:v>
                </c:pt>
                <c:pt idx="120">
                  <c:v>20.9356204951224</c:v>
                </c:pt>
                <c:pt idx="121">
                  <c:v>20.872744858217601</c:v>
                </c:pt>
                <c:pt idx="122">
                  <c:v>21.0929165949312</c:v>
                </c:pt>
                <c:pt idx="123">
                  <c:v>24.210431733414801</c:v>
                </c:pt>
                <c:pt idx="124">
                  <c:v>29.412694938656099</c:v>
                </c:pt>
                <c:pt idx="125">
                  <c:v>32.923101578848701</c:v>
                </c:pt>
                <c:pt idx="126">
                  <c:v>32.142210303991497</c:v>
                </c:pt>
                <c:pt idx="127">
                  <c:v>32.631385721304099</c:v>
                </c:pt>
                <c:pt idx="128">
                  <c:v>33.575521381364801</c:v>
                </c:pt>
                <c:pt idx="129">
                  <c:v>34.460600721793199</c:v>
                </c:pt>
                <c:pt idx="130">
                  <c:v>34.0193149623856</c:v>
                </c:pt>
                <c:pt idx="131">
                  <c:v>35.350378631574301</c:v>
                </c:pt>
                <c:pt idx="132">
                  <c:v>34.567769313829501</c:v>
                </c:pt>
                <c:pt idx="133">
                  <c:v>33.672264810191301</c:v>
                </c:pt>
                <c:pt idx="134">
                  <c:v>34.058262461225901</c:v>
                </c:pt>
                <c:pt idx="135">
                  <c:v>34.927886847788798</c:v>
                </c:pt>
                <c:pt idx="136">
                  <c:v>35.117848816544999</c:v>
                </c:pt>
                <c:pt idx="137">
                  <c:v>34.620813410053501</c:v>
                </c:pt>
                <c:pt idx="138">
                  <c:v>31.7434225339444</c:v>
                </c:pt>
                <c:pt idx="139">
                  <c:v>31.2355184243332</c:v>
                </c:pt>
                <c:pt idx="140">
                  <c:v>31.592126725388798</c:v>
                </c:pt>
                <c:pt idx="141">
                  <c:v>31.905589145333199</c:v>
                </c:pt>
                <c:pt idx="142">
                  <c:v>31.654561910888798</c:v>
                </c:pt>
                <c:pt idx="143">
                  <c:v>31.478487529444301</c:v>
                </c:pt>
                <c:pt idx="144">
                  <c:v>32.727696565735997</c:v>
                </c:pt>
                <c:pt idx="145">
                  <c:v>34.985504359694303</c:v>
                </c:pt>
                <c:pt idx="146">
                  <c:v>36.117573445284599</c:v>
                </c:pt>
                <c:pt idx="147">
                  <c:v>34.855615928611002</c:v>
                </c:pt>
                <c:pt idx="148">
                  <c:v>35.393371734930398</c:v>
                </c:pt>
                <c:pt idx="149">
                  <c:v>36.915412255999399</c:v>
                </c:pt>
                <c:pt idx="150">
                  <c:v>36.5589696569632</c:v>
                </c:pt>
                <c:pt idx="151">
                  <c:v>35.518264992157199</c:v>
                </c:pt>
                <c:pt idx="152">
                  <c:v>36.796886413280298</c:v>
                </c:pt>
                <c:pt idx="153">
                  <c:v>37.2384811923638</c:v>
                </c:pt>
                <c:pt idx="154">
                  <c:v>37.1254049966279</c:v>
                </c:pt>
                <c:pt idx="155">
                  <c:v>36.931095282001898</c:v>
                </c:pt>
                <c:pt idx="156">
                  <c:v>37.351921598185697</c:v>
                </c:pt>
                <c:pt idx="157">
                  <c:v>36.421603679425097</c:v>
                </c:pt>
                <c:pt idx="158">
                  <c:v>35.855795303946202</c:v>
                </c:pt>
                <c:pt idx="159">
                  <c:v>37.374237942877102</c:v>
                </c:pt>
                <c:pt idx="160">
                  <c:v>37.683946984656302</c:v>
                </c:pt>
                <c:pt idx="161">
                  <c:v>37.645893852925099</c:v>
                </c:pt>
                <c:pt idx="162">
                  <c:v>39.207286499989003</c:v>
                </c:pt>
                <c:pt idx="163">
                  <c:v>38.704357218372998</c:v>
                </c:pt>
                <c:pt idx="164">
                  <c:v>37.534592205244998</c:v>
                </c:pt>
                <c:pt idx="165">
                  <c:v>37.210148148726198</c:v>
                </c:pt>
                <c:pt idx="166">
                  <c:v>36.950075435126202</c:v>
                </c:pt>
                <c:pt idx="167">
                  <c:v>36.4682711885836</c:v>
                </c:pt>
                <c:pt idx="168">
                  <c:v>35.812876792585598</c:v>
                </c:pt>
                <c:pt idx="169">
                  <c:v>36.286495541424202</c:v>
                </c:pt>
                <c:pt idx="170">
                  <c:v>38.6733617616187</c:v>
                </c:pt>
                <c:pt idx="171">
                  <c:v>38.173596798364102</c:v>
                </c:pt>
                <c:pt idx="172">
                  <c:v>37.410789125817097</c:v>
                </c:pt>
                <c:pt idx="173">
                  <c:v>37.5581926883549</c:v>
                </c:pt>
                <c:pt idx="174">
                  <c:v>37.623209145579402</c:v>
                </c:pt>
                <c:pt idx="175">
                  <c:v>37.728612629846602</c:v>
                </c:pt>
                <c:pt idx="176">
                  <c:v>37.71304724422</c:v>
                </c:pt>
                <c:pt idx="177">
                  <c:v>38.3655328539027</c:v>
                </c:pt>
                <c:pt idx="178">
                  <c:v>38.781087788155801</c:v>
                </c:pt>
                <c:pt idx="179">
                  <c:v>38.149409618447699</c:v>
                </c:pt>
                <c:pt idx="180">
                  <c:v>37.960801656700298</c:v>
                </c:pt>
                <c:pt idx="181">
                  <c:v>37.600125968260897</c:v>
                </c:pt>
                <c:pt idx="182">
                  <c:v>37.237026495168998</c:v>
                </c:pt>
                <c:pt idx="183">
                  <c:v>36.872246819696002</c:v>
                </c:pt>
                <c:pt idx="184">
                  <c:v>37.155280278940801</c:v>
                </c:pt>
                <c:pt idx="185">
                  <c:v>38.764227015145799</c:v>
                </c:pt>
                <c:pt idx="186">
                  <c:v>38.927309649202897</c:v>
                </c:pt>
                <c:pt idx="187">
                  <c:v>40.093474363694497</c:v>
                </c:pt>
                <c:pt idx="188">
                  <c:v>39.604227745787703</c:v>
                </c:pt>
                <c:pt idx="189">
                  <c:v>39.312630048909398</c:v>
                </c:pt>
                <c:pt idx="190">
                  <c:v>39.546169090370498</c:v>
                </c:pt>
                <c:pt idx="191">
                  <c:v>39.294561422320299</c:v>
                </c:pt>
                <c:pt idx="192">
                  <c:v>38.674690974476398</c:v>
                </c:pt>
                <c:pt idx="193">
                  <c:v>38.110974339970902</c:v>
                </c:pt>
                <c:pt idx="194">
                  <c:v>38.132267232782198</c:v>
                </c:pt>
                <c:pt idx="195">
                  <c:v>38.722027056319199</c:v>
                </c:pt>
                <c:pt idx="196">
                  <c:v>38.19657828335</c:v>
                </c:pt>
                <c:pt idx="197">
                  <c:v>37.759045780243902</c:v>
                </c:pt>
                <c:pt idx="198">
                  <c:v>39.355045714738502</c:v>
                </c:pt>
                <c:pt idx="199">
                  <c:v>39.567961146104601</c:v>
                </c:pt>
                <c:pt idx="200">
                  <c:v>40.107341797738101</c:v>
                </c:pt>
                <c:pt idx="201">
                  <c:v>39.226900913212702</c:v>
                </c:pt>
                <c:pt idx="202">
                  <c:v>39.728472595818097</c:v>
                </c:pt>
                <c:pt idx="203">
                  <c:v>39.605874709040499</c:v>
                </c:pt>
                <c:pt idx="204">
                  <c:v>38.854525458881803</c:v>
                </c:pt>
                <c:pt idx="205">
                  <c:v>38.740415868543103</c:v>
                </c:pt>
                <c:pt idx="206">
                  <c:v>38.754279923779698</c:v>
                </c:pt>
                <c:pt idx="207">
                  <c:v>38.767229336483197</c:v>
                </c:pt>
                <c:pt idx="208">
                  <c:v>38.743127476798399</c:v>
                </c:pt>
                <c:pt idx="209">
                  <c:v>38.719025617113701</c:v>
                </c:pt>
                <c:pt idx="210">
                  <c:v>38.694923757429002</c:v>
                </c:pt>
                <c:pt idx="211">
                  <c:v>38.670821897744297</c:v>
                </c:pt>
                <c:pt idx="212">
                  <c:v>38.646720038059598</c:v>
                </c:pt>
                <c:pt idx="213">
                  <c:v>38.6226181783748</c:v>
                </c:pt>
                <c:pt idx="214">
                  <c:v>38.598516318690102</c:v>
                </c:pt>
                <c:pt idx="215">
                  <c:v>38.574414459005403</c:v>
                </c:pt>
                <c:pt idx="216">
                  <c:v>38.550312599320698</c:v>
                </c:pt>
                <c:pt idx="217">
                  <c:v>38.526210739635999</c:v>
                </c:pt>
                <c:pt idx="218">
                  <c:v>38.502108879951301</c:v>
                </c:pt>
                <c:pt idx="219">
                  <c:v>38.197763899757099</c:v>
                </c:pt>
                <c:pt idx="220">
                  <c:v>37.998883200438101</c:v>
                </c:pt>
                <c:pt idx="221">
                  <c:v>37.558789281713203</c:v>
                </c:pt>
                <c:pt idx="222">
                  <c:v>38.231501503208897</c:v>
                </c:pt>
                <c:pt idx="223">
                  <c:v>37.930594108829197</c:v>
                </c:pt>
                <c:pt idx="224">
                  <c:v>37.203320865026697</c:v>
                </c:pt>
                <c:pt idx="225">
                  <c:v>36.8653056525118</c:v>
                </c:pt>
                <c:pt idx="226">
                  <c:v>36.632093418688399</c:v>
                </c:pt>
                <c:pt idx="227">
                  <c:v>36.316992311430297</c:v>
                </c:pt>
                <c:pt idx="228">
                  <c:v>37.250557261724602</c:v>
                </c:pt>
                <c:pt idx="229">
                  <c:v>36.827739288057799</c:v>
                </c:pt>
                <c:pt idx="230">
                  <c:v>36.502086615008203</c:v>
                </c:pt>
                <c:pt idx="231">
                  <c:v>37.820905597170601</c:v>
                </c:pt>
                <c:pt idx="232">
                  <c:v>37.385703514750197</c:v>
                </c:pt>
                <c:pt idx="233">
                  <c:v>36.330821405988701</c:v>
                </c:pt>
                <c:pt idx="234">
                  <c:v>38.522220074486697</c:v>
                </c:pt>
                <c:pt idx="235">
                  <c:v>39.199029022511397</c:v>
                </c:pt>
                <c:pt idx="236">
                  <c:v>38.994992077880099</c:v>
                </c:pt>
                <c:pt idx="237">
                  <c:v>38.558119855760197</c:v>
                </c:pt>
                <c:pt idx="238">
                  <c:v>38.523438943215801</c:v>
                </c:pt>
                <c:pt idx="239">
                  <c:v>37.951135763560401</c:v>
                </c:pt>
                <c:pt idx="240">
                  <c:v>37.3219873750744</c:v>
                </c:pt>
                <c:pt idx="241">
                  <c:v>36.929590288939401</c:v>
                </c:pt>
                <c:pt idx="242">
                  <c:v>37.077414175641501</c:v>
                </c:pt>
                <c:pt idx="243">
                  <c:v>36.905670172037802</c:v>
                </c:pt>
                <c:pt idx="244">
                  <c:v>37.364110724335703</c:v>
                </c:pt>
                <c:pt idx="245">
                  <c:v>37.744059991978702</c:v>
                </c:pt>
                <c:pt idx="246">
                  <c:v>38.451154163460501</c:v>
                </c:pt>
                <c:pt idx="247">
                  <c:v>38.264715277809898</c:v>
                </c:pt>
                <c:pt idx="248">
                  <c:v>37.437937154580602</c:v>
                </c:pt>
                <c:pt idx="249">
                  <c:v>38.649393085200501</c:v>
                </c:pt>
                <c:pt idx="250">
                  <c:v>38.492626629082899</c:v>
                </c:pt>
                <c:pt idx="251">
                  <c:v>37.409015079073001</c:v>
                </c:pt>
                <c:pt idx="252">
                  <c:v>36.832495049798197</c:v>
                </c:pt>
                <c:pt idx="253">
                  <c:v>38.891737159288901</c:v>
                </c:pt>
                <c:pt idx="254">
                  <c:v>38.694481583835099</c:v>
                </c:pt>
                <c:pt idx="255">
                  <c:v>37.887614657947402</c:v>
                </c:pt>
                <c:pt idx="256">
                  <c:v>37.644267541068402</c:v>
                </c:pt>
                <c:pt idx="257">
                  <c:v>37.714892073714701</c:v>
                </c:pt>
                <c:pt idx="258">
                  <c:v>37.785516606361</c:v>
                </c:pt>
                <c:pt idx="259">
                  <c:v>38.3216019609401</c:v>
                </c:pt>
                <c:pt idx="260">
                  <c:v>38.709285472713503</c:v>
                </c:pt>
                <c:pt idx="261">
                  <c:v>37.456798997182503</c:v>
                </c:pt>
                <c:pt idx="262">
                  <c:v>36.844163778936199</c:v>
                </c:pt>
                <c:pt idx="263">
                  <c:v>38.224117367542597</c:v>
                </c:pt>
                <c:pt idx="264">
                  <c:v>37.1468579436063</c:v>
                </c:pt>
                <c:pt idx="265">
                  <c:v>36.717923589951901</c:v>
                </c:pt>
                <c:pt idx="266">
                  <c:v>36.1140824782252</c:v>
                </c:pt>
                <c:pt idx="267">
                  <c:v>35.4904756034882</c:v>
                </c:pt>
                <c:pt idx="268">
                  <c:v>34.9526329184134</c:v>
                </c:pt>
                <c:pt idx="269">
                  <c:v>34.733795326231601</c:v>
                </c:pt>
                <c:pt idx="270">
                  <c:v>36.320441281008002</c:v>
                </c:pt>
                <c:pt idx="271">
                  <c:v>37.5800935134939</c:v>
                </c:pt>
                <c:pt idx="272">
                  <c:v>37.006157454053998</c:v>
                </c:pt>
                <c:pt idx="273">
                  <c:v>35.932403876890902</c:v>
                </c:pt>
                <c:pt idx="274">
                  <c:v>36.254133463046898</c:v>
                </c:pt>
                <c:pt idx="275">
                  <c:v>36.390973332691502</c:v>
                </c:pt>
                <c:pt idx="276">
                  <c:v>36.008973915065198</c:v>
                </c:pt>
                <c:pt idx="277">
                  <c:v>35.9239697832028</c:v>
                </c:pt>
                <c:pt idx="278">
                  <c:v>35.838965651340402</c:v>
                </c:pt>
                <c:pt idx="279">
                  <c:v>35.502528596995298</c:v>
                </c:pt>
                <c:pt idx="280">
                  <c:v>36.699949187168897</c:v>
                </c:pt>
                <c:pt idx="281">
                  <c:v>36.536614010711297</c:v>
                </c:pt>
                <c:pt idx="282">
                  <c:v>35.3305826550299</c:v>
                </c:pt>
                <c:pt idx="283">
                  <c:v>34.201074692677899</c:v>
                </c:pt>
                <c:pt idx="284">
                  <c:v>34.403486905825503</c:v>
                </c:pt>
                <c:pt idx="285">
                  <c:v>33.855690507900697</c:v>
                </c:pt>
                <c:pt idx="286">
                  <c:v>33.351948487343698</c:v>
                </c:pt>
                <c:pt idx="287">
                  <c:v>32.841713263601797</c:v>
                </c:pt>
                <c:pt idx="288">
                  <c:v>32.4797632307071</c:v>
                </c:pt>
                <c:pt idx="289">
                  <c:v>32.103782964479898</c:v>
                </c:pt>
                <c:pt idx="290">
                  <c:v>31.742797573479098</c:v>
                </c:pt>
                <c:pt idx="291">
                  <c:v>31.381812182478299</c:v>
                </c:pt>
                <c:pt idx="292">
                  <c:v>26.831183762971801</c:v>
                </c:pt>
                <c:pt idx="293">
                  <c:v>34.518864171282701</c:v>
                </c:pt>
                <c:pt idx="294">
                  <c:v>35.2391245748125</c:v>
                </c:pt>
                <c:pt idx="295">
                  <c:v>35.778244035441197</c:v>
                </c:pt>
                <c:pt idx="296">
                  <c:v>35.945191989545997</c:v>
                </c:pt>
                <c:pt idx="297">
                  <c:v>38.786420794270299</c:v>
                </c:pt>
                <c:pt idx="298">
                  <c:v>37.327950427753798</c:v>
                </c:pt>
                <c:pt idx="299">
                  <c:v>36.144562939614801</c:v>
                </c:pt>
                <c:pt idx="300">
                  <c:v>34.735708502413402</c:v>
                </c:pt>
                <c:pt idx="301">
                  <c:v>33.465459648726799</c:v>
                </c:pt>
                <c:pt idx="302">
                  <c:v>32.308438444707399</c:v>
                </c:pt>
                <c:pt idx="303">
                  <c:v>31.300998297678699</c:v>
                </c:pt>
                <c:pt idx="304">
                  <c:v>30.469237327995899</c:v>
                </c:pt>
                <c:pt idx="305">
                  <c:v>30.168969211969401</c:v>
                </c:pt>
                <c:pt idx="306">
                  <c:v>32.0910279215949</c:v>
                </c:pt>
                <c:pt idx="307">
                  <c:v>31.862592664967799</c:v>
                </c:pt>
                <c:pt idx="308">
                  <c:v>31.4583462654731</c:v>
                </c:pt>
                <c:pt idx="309">
                  <c:v>31.062609024766999</c:v>
                </c:pt>
                <c:pt idx="310">
                  <c:v>30.994080608836001</c:v>
                </c:pt>
                <c:pt idx="311">
                  <c:v>32.7750177828378</c:v>
                </c:pt>
                <c:pt idx="312">
                  <c:v>32.065218593262003</c:v>
                </c:pt>
                <c:pt idx="313">
                  <c:v>34.802265302004301</c:v>
                </c:pt>
                <c:pt idx="314">
                  <c:v>36.065530825288597</c:v>
                </c:pt>
                <c:pt idx="315">
                  <c:v>34.739342932042398</c:v>
                </c:pt>
                <c:pt idx="316">
                  <c:v>34.122340470902699</c:v>
                </c:pt>
                <c:pt idx="317">
                  <c:v>34.492350777914901</c:v>
                </c:pt>
                <c:pt idx="318">
                  <c:v>34.037416416620601</c:v>
                </c:pt>
                <c:pt idx="319">
                  <c:v>37.0387419568141</c:v>
                </c:pt>
                <c:pt idx="320">
                  <c:v>36.461872022930798</c:v>
                </c:pt>
                <c:pt idx="321">
                  <c:v>35.498626930236597</c:v>
                </c:pt>
                <c:pt idx="322">
                  <c:v>35.928328229430001</c:v>
                </c:pt>
                <c:pt idx="323">
                  <c:v>35.126552158502001</c:v>
                </c:pt>
                <c:pt idx="324">
                  <c:v>34.1167529843746</c:v>
                </c:pt>
                <c:pt idx="325">
                  <c:v>33.224320606064701</c:v>
                </c:pt>
                <c:pt idx="326">
                  <c:v>32.518967356221502</c:v>
                </c:pt>
                <c:pt idx="327">
                  <c:v>31.557899166655702</c:v>
                </c:pt>
                <c:pt idx="328">
                  <c:v>30.590635727977698</c:v>
                </c:pt>
                <c:pt idx="329">
                  <c:v>29.7898125302466</c:v>
                </c:pt>
                <c:pt idx="330">
                  <c:v>29.1723054063017</c:v>
                </c:pt>
                <c:pt idx="331">
                  <c:v>28.944480207266501</c:v>
                </c:pt>
                <c:pt idx="332">
                  <c:v>28.5637140906992</c:v>
                </c:pt>
                <c:pt idx="333">
                  <c:v>28.3356722144595</c:v>
                </c:pt>
                <c:pt idx="334">
                  <c:v>27.8769048488621</c:v>
                </c:pt>
                <c:pt idx="335">
                  <c:v>27.662044485460701</c:v>
                </c:pt>
                <c:pt idx="336">
                  <c:v>27.326281992673099</c:v>
                </c:pt>
                <c:pt idx="337">
                  <c:v>27.385899725779801</c:v>
                </c:pt>
                <c:pt idx="338">
                  <c:v>29.5353925470143</c:v>
                </c:pt>
                <c:pt idx="339">
                  <c:v>34.779335249115498</c:v>
                </c:pt>
                <c:pt idx="340">
                  <c:v>33.206981250376501</c:v>
                </c:pt>
                <c:pt idx="341">
                  <c:v>34.350204460009799</c:v>
                </c:pt>
                <c:pt idx="342">
                  <c:v>34.704479509313899</c:v>
                </c:pt>
                <c:pt idx="343">
                  <c:v>32.800289756108803</c:v>
                </c:pt>
                <c:pt idx="344">
                  <c:v>31.089399471392699</c:v>
                </c:pt>
                <c:pt idx="345">
                  <c:v>29.9702984372367</c:v>
                </c:pt>
                <c:pt idx="346">
                  <c:v>28.691059373047299</c:v>
                </c:pt>
                <c:pt idx="347">
                  <c:v>25.651812184132002</c:v>
                </c:pt>
                <c:pt idx="348">
                  <c:v>25.644585580873201</c:v>
                </c:pt>
                <c:pt idx="349">
                  <c:v>25.704669784903</c:v>
                </c:pt>
                <c:pt idx="350">
                  <c:v>25.524946577219801</c:v>
                </c:pt>
                <c:pt idx="351">
                  <c:v>25.378913774904198</c:v>
                </c:pt>
                <c:pt idx="352">
                  <c:v>25.242158586146701</c:v>
                </c:pt>
                <c:pt idx="353">
                  <c:v>25.067398879416999</c:v>
                </c:pt>
                <c:pt idx="354">
                  <c:v>24.907534436572998</c:v>
                </c:pt>
                <c:pt idx="355">
                  <c:v>24.8047357611104</c:v>
                </c:pt>
                <c:pt idx="356">
                  <c:v>24.830965556009001</c:v>
                </c:pt>
                <c:pt idx="357">
                  <c:v>24.7153816619062</c:v>
                </c:pt>
                <c:pt idx="358">
                  <c:v>24.609987020952701</c:v>
                </c:pt>
                <c:pt idx="359">
                  <c:v>24.548865205684098</c:v>
                </c:pt>
                <c:pt idx="360">
                  <c:v>25.092118600356699</c:v>
                </c:pt>
                <c:pt idx="361">
                  <c:v>30.494581167153999</c:v>
                </c:pt>
                <c:pt idx="362">
                  <c:v>29.756301592032699</c:v>
                </c:pt>
                <c:pt idx="363">
                  <c:v>31.0129393030074</c:v>
                </c:pt>
                <c:pt idx="364">
                  <c:v>31.105628316753201</c:v>
                </c:pt>
                <c:pt idx="365">
                  <c:v>30.582460661745898</c:v>
                </c:pt>
                <c:pt idx="366">
                  <c:v>31.868333880808699</c:v>
                </c:pt>
                <c:pt idx="367">
                  <c:v>34.478083042584601</c:v>
                </c:pt>
                <c:pt idx="368">
                  <c:v>36.670393613875802</c:v>
                </c:pt>
                <c:pt idx="369">
                  <c:v>36.752385835974501</c:v>
                </c:pt>
                <c:pt idx="370">
                  <c:v>36.363554659059503</c:v>
                </c:pt>
                <c:pt idx="371">
                  <c:v>35.408974394312402</c:v>
                </c:pt>
                <c:pt idx="372">
                  <c:v>36.0267540933433</c:v>
                </c:pt>
                <c:pt idx="373">
                  <c:v>35.202150482981899</c:v>
                </c:pt>
                <c:pt idx="374">
                  <c:v>33.978632949764602</c:v>
                </c:pt>
                <c:pt idx="375">
                  <c:v>33.881251988418803</c:v>
                </c:pt>
                <c:pt idx="376">
                  <c:v>33.680472559087697</c:v>
                </c:pt>
                <c:pt idx="377">
                  <c:v>33.522864355579301</c:v>
                </c:pt>
                <c:pt idx="378">
                  <c:v>33.250008972594699</c:v>
                </c:pt>
                <c:pt idx="379">
                  <c:v>32.920701844085499</c:v>
                </c:pt>
                <c:pt idx="380">
                  <c:v>32.6365692391377</c:v>
                </c:pt>
                <c:pt idx="381">
                  <c:v>32.901828619733003</c:v>
                </c:pt>
                <c:pt idx="382">
                  <c:v>33.843721689773297</c:v>
                </c:pt>
                <c:pt idx="383">
                  <c:v>33.8397785579551</c:v>
                </c:pt>
                <c:pt idx="384">
                  <c:v>34.362193350928102</c:v>
                </c:pt>
                <c:pt idx="385">
                  <c:v>36.151065321793602</c:v>
                </c:pt>
                <c:pt idx="386">
                  <c:v>35.102276247107497</c:v>
                </c:pt>
                <c:pt idx="387">
                  <c:v>34.589577186762</c:v>
                </c:pt>
                <c:pt idx="388">
                  <c:v>34.597926126721703</c:v>
                </c:pt>
                <c:pt idx="389">
                  <c:v>35.034692047449397</c:v>
                </c:pt>
                <c:pt idx="390">
                  <c:v>34.742557310828197</c:v>
                </c:pt>
                <c:pt idx="391">
                  <c:v>34.420257618638402</c:v>
                </c:pt>
                <c:pt idx="392">
                  <c:v>34.0611903858197</c:v>
                </c:pt>
              </c:numCache>
            </c:numRef>
          </c:xVal>
          <c:yVal>
            <c:numRef>
              <c:f>selhausen_SM_Kdose_daily!$B$8:$B$400</c:f>
              <c:numCache>
                <c:formatCode>General</c:formatCode>
                <c:ptCount val="393"/>
                <c:pt idx="0">
                  <c:v>9.6624901803118899</c:v>
                </c:pt>
                <c:pt idx="1">
                  <c:v>9.6824418981481397</c:v>
                </c:pt>
                <c:pt idx="2">
                  <c:v>9.7063027777777808</c:v>
                </c:pt>
                <c:pt idx="3">
                  <c:v>9.7083127777777793</c:v>
                </c:pt>
                <c:pt idx="4">
                  <c:v>9.7228461111111102</c:v>
                </c:pt>
                <c:pt idx="5">
                  <c:v>9.7789294444444401</c:v>
                </c:pt>
                <c:pt idx="6">
                  <c:v>9.8354888888888894</c:v>
                </c:pt>
                <c:pt idx="7">
                  <c:v>9.8960284722222198</c:v>
                </c:pt>
                <c:pt idx="8">
                  <c:v>9.9349652777777706</c:v>
                </c:pt>
                <c:pt idx="9">
                  <c:v>10.011000462962899</c:v>
                </c:pt>
                <c:pt idx="10">
                  <c:v>10.0192439814814</c:v>
                </c:pt>
                <c:pt idx="11">
                  <c:v>10.0786252314814</c:v>
                </c:pt>
                <c:pt idx="12">
                  <c:v>10.056317824074</c:v>
                </c:pt>
                <c:pt idx="13">
                  <c:v>10.0137576388888</c:v>
                </c:pt>
                <c:pt idx="14">
                  <c:v>9.9232726851851805</c:v>
                </c:pt>
                <c:pt idx="15">
                  <c:v>9.9298074074074005</c:v>
                </c:pt>
                <c:pt idx="16">
                  <c:v>10.006381944444399</c:v>
                </c:pt>
                <c:pt idx="17">
                  <c:v>10.002443518518501</c:v>
                </c:pt>
                <c:pt idx="18">
                  <c:v>9.8880222222222205</c:v>
                </c:pt>
                <c:pt idx="19">
                  <c:v>9.7480868055555501</c:v>
                </c:pt>
                <c:pt idx="20">
                  <c:v>9.7232756944444407</c:v>
                </c:pt>
                <c:pt idx="21">
                  <c:v>9.7947648148148101</c:v>
                </c:pt>
                <c:pt idx="22">
                  <c:v>9.87018611111111</c:v>
                </c:pt>
                <c:pt idx="23">
                  <c:v>9.9149729166666596</c:v>
                </c:pt>
                <c:pt idx="24">
                  <c:v>9.9455923611111103</c:v>
                </c:pt>
                <c:pt idx="25">
                  <c:v>9.9648916666666594</c:v>
                </c:pt>
                <c:pt idx="26">
                  <c:v>9.9738000000000007</c:v>
                </c:pt>
                <c:pt idx="27">
                  <c:v>9.9617488425925895</c:v>
                </c:pt>
                <c:pt idx="28">
                  <c:v>9.9480560185185194</c:v>
                </c:pt>
                <c:pt idx="29">
                  <c:v>9.8066381944444405</c:v>
                </c:pt>
                <c:pt idx="30">
                  <c:v>9.5084155092592599</c:v>
                </c:pt>
                <c:pt idx="31">
                  <c:v>9.3892960648148094</c:v>
                </c:pt>
                <c:pt idx="32">
                  <c:v>9.4182421296296308</c:v>
                </c:pt>
                <c:pt idx="33">
                  <c:v>9.6309670833333296</c:v>
                </c:pt>
                <c:pt idx="34">
                  <c:v>9.6721471759259199</c:v>
                </c:pt>
                <c:pt idx="35">
                  <c:v>9.7865307407407407</c:v>
                </c:pt>
                <c:pt idx="36">
                  <c:v>9.73269837962963</c:v>
                </c:pt>
                <c:pt idx="37">
                  <c:v>9.6868648148148093</c:v>
                </c:pt>
                <c:pt idx="38">
                  <c:v>9.6363523148148094</c:v>
                </c:pt>
                <c:pt idx="39">
                  <c:v>9.8070050925925898</c:v>
                </c:pt>
                <c:pt idx="40">
                  <c:v>9.9966270833333297</c:v>
                </c:pt>
                <c:pt idx="41">
                  <c:v>10.041658564814799</c:v>
                </c:pt>
                <c:pt idx="42">
                  <c:v>9.99295648148148</c:v>
                </c:pt>
                <c:pt idx="43">
                  <c:v>9.9231504629629601</c:v>
                </c:pt>
                <c:pt idx="44">
                  <c:v>9.9425055555555506</c:v>
                </c:pt>
                <c:pt idx="45">
                  <c:v>10.005364814814801</c:v>
                </c:pt>
                <c:pt idx="46">
                  <c:v>10.0463453703703</c:v>
                </c:pt>
                <c:pt idx="47">
                  <c:v>10.0018435185185</c:v>
                </c:pt>
                <c:pt idx="48">
                  <c:v>9.8517504629629595</c:v>
                </c:pt>
                <c:pt idx="49">
                  <c:v>9.7090030092592592</c:v>
                </c:pt>
                <c:pt idx="50">
                  <c:v>9.6825749999999999</c:v>
                </c:pt>
                <c:pt idx="51">
                  <c:v>9.7896460648148107</c:v>
                </c:pt>
                <c:pt idx="52">
                  <c:v>9.8709342592592595</c:v>
                </c:pt>
                <c:pt idx="53">
                  <c:v>9.8577016203703707</c:v>
                </c:pt>
                <c:pt idx="54">
                  <c:v>9.7073143518518492</c:v>
                </c:pt>
                <c:pt idx="55">
                  <c:v>9.6020754629629597</c:v>
                </c:pt>
                <c:pt idx="56">
                  <c:v>9.5780254629629606</c:v>
                </c:pt>
                <c:pt idx="57">
                  <c:v>9.6785706018518507</c:v>
                </c:pt>
                <c:pt idx="58">
                  <c:v>9.8225863425925901</c:v>
                </c:pt>
                <c:pt idx="59">
                  <c:v>9.8600405092592496</c:v>
                </c:pt>
                <c:pt idx="60">
                  <c:v>9.7688136574073994</c:v>
                </c:pt>
                <c:pt idx="61">
                  <c:v>9.7014750000000003</c:v>
                </c:pt>
                <c:pt idx="62">
                  <c:v>9.7375168981481401</c:v>
                </c:pt>
                <c:pt idx="63">
                  <c:v>9.8869543981481396</c:v>
                </c:pt>
                <c:pt idx="64">
                  <c:v>10.755942129629601</c:v>
                </c:pt>
                <c:pt idx="65">
                  <c:v>10.856089120370299</c:v>
                </c:pt>
                <c:pt idx="66">
                  <c:v>10.906479629629599</c:v>
                </c:pt>
                <c:pt idx="67">
                  <c:v>10.7610395833333</c:v>
                </c:pt>
                <c:pt idx="68">
                  <c:v>10.506660879629599</c:v>
                </c:pt>
                <c:pt idx="69">
                  <c:v>10.327778472222199</c:v>
                </c:pt>
                <c:pt idx="70">
                  <c:v>10.3200599537037</c:v>
                </c:pt>
                <c:pt idx="71">
                  <c:v>10.35745</c:v>
                </c:pt>
                <c:pt idx="72">
                  <c:v>10.314901388888799</c:v>
                </c:pt>
                <c:pt idx="73">
                  <c:v>10.251849305555499</c:v>
                </c:pt>
                <c:pt idx="74">
                  <c:v>10.118454398148099</c:v>
                </c:pt>
                <c:pt idx="75">
                  <c:v>10.140983796296201</c:v>
                </c:pt>
                <c:pt idx="76">
                  <c:v>10.1857986111111</c:v>
                </c:pt>
                <c:pt idx="77">
                  <c:v>10.3829643518518</c:v>
                </c:pt>
                <c:pt idx="78">
                  <c:v>10.5904768518518</c:v>
                </c:pt>
                <c:pt idx="79">
                  <c:v>10.872079629629599</c:v>
                </c:pt>
                <c:pt idx="80">
                  <c:v>11.1637266203703</c:v>
                </c:pt>
                <c:pt idx="81">
                  <c:v>11.423774537037</c:v>
                </c:pt>
                <c:pt idx="82">
                  <c:v>11.5800775462962</c:v>
                </c:pt>
                <c:pt idx="83">
                  <c:v>11.742655324074001</c:v>
                </c:pt>
                <c:pt idx="84">
                  <c:v>11.840356249999999</c:v>
                </c:pt>
                <c:pt idx="85">
                  <c:v>11.81759375</c:v>
                </c:pt>
                <c:pt idx="86">
                  <c:v>11.3154863425925</c:v>
                </c:pt>
                <c:pt idx="87">
                  <c:v>10.8287412037037</c:v>
                </c:pt>
                <c:pt idx="88">
                  <c:v>10.5430277777777</c:v>
                </c:pt>
                <c:pt idx="89">
                  <c:v>10.8245210648148</c:v>
                </c:pt>
                <c:pt idx="90">
                  <c:v>11.0153863425925</c:v>
                </c:pt>
                <c:pt idx="91">
                  <c:v>11.0795435185185</c:v>
                </c:pt>
                <c:pt idx="92">
                  <c:v>10.953448842592501</c:v>
                </c:pt>
                <c:pt idx="93">
                  <c:v>11.0082210648148</c:v>
                </c:pt>
                <c:pt idx="94">
                  <c:v>11.0268268518518</c:v>
                </c:pt>
                <c:pt idx="95">
                  <c:v>10.835220833333301</c:v>
                </c:pt>
                <c:pt idx="96">
                  <c:v>10.5503550925925</c:v>
                </c:pt>
                <c:pt idx="97">
                  <c:v>10.4199509259259</c:v>
                </c:pt>
                <c:pt idx="98">
                  <c:v>10.6398537037037</c:v>
                </c:pt>
                <c:pt idx="99">
                  <c:v>10.860381018518501</c:v>
                </c:pt>
                <c:pt idx="100">
                  <c:v>11.053596296296201</c:v>
                </c:pt>
                <c:pt idx="101">
                  <c:v>11.1946581018518</c:v>
                </c:pt>
                <c:pt idx="102">
                  <c:v>11.238350694444399</c:v>
                </c:pt>
                <c:pt idx="103">
                  <c:v>11.178202314814801</c:v>
                </c:pt>
                <c:pt idx="104">
                  <c:v>11.1477150462962</c:v>
                </c:pt>
                <c:pt idx="105">
                  <c:v>11.2423814814814</c:v>
                </c:pt>
                <c:pt idx="106">
                  <c:v>11.228382175925899</c:v>
                </c:pt>
                <c:pt idx="107">
                  <c:v>11.106705324073999</c:v>
                </c:pt>
                <c:pt idx="108">
                  <c:v>10.9386113425925</c:v>
                </c:pt>
                <c:pt idx="109">
                  <c:v>10.9539384259259</c:v>
                </c:pt>
                <c:pt idx="110">
                  <c:v>11.088259027777699</c:v>
                </c:pt>
                <c:pt idx="111">
                  <c:v>11.237245370370299</c:v>
                </c:pt>
                <c:pt idx="112">
                  <c:v>11.353516898148101</c:v>
                </c:pt>
                <c:pt idx="113">
                  <c:v>11.3963106481481</c:v>
                </c:pt>
                <c:pt idx="114">
                  <c:v>11.510054861111101</c:v>
                </c:pt>
                <c:pt idx="115">
                  <c:v>11.5059185185185</c:v>
                </c:pt>
                <c:pt idx="116">
                  <c:v>11.540931018518499</c:v>
                </c:pt>
                <c:pt idx="117">
                  <c:v>11.153098611111099</c:v>
                </c:pt>
                <c:pt idx="118">
                  <c:v>10.802577777777699</c:v>
                </c:pt>
                <c:pt idx="119">
                  <c:v>10.415200694444399</c:v>
                </c:pt>
                <c:pt idx="120">
                  <c:v>10.4038043981481</c:v>
                </c:pt>
                <c:pt idx="121">
                  <c:v>10.509411574074001</c:v>
                </c:pt>
                <c:pt idx="122">
                  <c:v>10.495975231481401</c:v>
                </c:pt>
                <c:pt idx="123">
                  <c:v>10.3706613425925</c:v>
                </c:pt>
                <c:pt idx="124">
                  <c:v>10.161891898148101</c:v>
                </c:pt>
                <c:pt idx="125">
                  <c:v>10.019836805555499</c:v>
                </c:pt>
                <c:pt idx="126">
                  <c:v>9.9122488425925894</c:v>
                </c:pt>
                <c:pt idx="127">
                  <c:v>9.8585006944444409</c:v>
                </c:pt>
                <c:pt idx="128">
                  <c:v>9.8144930555555501</c:v>
                </c:pt>
                <c:pt idx="129">
                  <c:v>9.7569214351851805</c:v>
                </c:pt>
                <c:pt idx="130">
                  <c:v>9.6996651851851805</c:v>
                </c:pt>
                <c:pt idx="131">
                  <c:v>9.6783721296296292</c:v>
                </c:pt>
                <c:pt idx="132">
                  <c:v>9.7535307870370307</c:v>
                </c:pt>
                <c:pt idx="133">
                  <c:v>9.7932539351851808</c:v>
                </c:pt>
                <c:pt idx="134">
                  <c:v>9.8270081018518507</c:v>
                </c:pt>
                <c:pt idx="135">
                  <c:v>9.7538451388888898</c:v>
                </c:pt>
                <c:pt idx="136">
                  <c:v>9.7510018055555499</c:v>
                </c:pt>
                <c:pt idx="137">
                  <c:v>9.7585754166666607</c:v>
                </c:pt>
                <c:pt idx="138">
                  <c:v>9.7879115277777693</c:v>
                </c:pt>
                <c:pt idx="139">
                  <c:v>9.7526525462962894</c:v>
                </c:pt>
                <c:pt idx="140">
                  <c:v>9.6996692129629594</c:v>
                </c:pt>
                <c:pt idx="141">
                  <c:v>9.6911738425925904</c:v>
                </c:pt>
                <c:pt idx="142">
                  <c:v>9.7326164351851805</c:v>
                </c:pt>
                <c:pt idx="143">
                  <c:v>9.7317951388888897</c:v>
                </c:pt>
                <c:pt idx="144">
                  <c:v>9.6604097222222194</c:v>
                </c:pt>
                <c:pt idx="145">
                  <c:v>9.5190935185185204</c:v>
                </c:pt>
                <c:pt idx="146">
                  <c:v>9.4382946759259205</c:v>
                </c:pt>
                <c:pt idx="147">
                  <c:v>9.4440199074073998</c:v>
                </c:pt>
                <c:pt idx="148">
                  <c:v>9.47042291666666</c:v>
                </c:pt>
                <c:pt idx="149">
                  <c:v>9.5080965277777807</c:v>
                </c:pt>
                <c:pt idx="150">
                  <c:v>9.4984199074073992</c:v>
                </c:pt>
                <c:pt idx="151">
                  <c:v>9.4829261574074</c:v>
                </c:pt>
                <c:pt idx="152">
                  <c:v>9.4367275462962894</c:v>
                </c:pt>
                <c:pt idx="153">
                  <c:v>9.4755180555555505</c:v>
                </c:pt>
                <c:pt idx="154">
                  <c:v>9.5042909722222202</c:v>
                </c:pt>
                <c:pt idx="155">
                  <c:v>9.4968368055555494</c:v>
                </c:pt>
                <c:pt idx="156">
                  <c:v>9.4266145833333308</c:v>
                </c:pt>
                <c:pt idx="157">
                  <c:v>9.4355456018518495</c:v>
                </c:pt>
                <c:pt idx="158">
                  <c:v>9.3810050925925896</c:v>
                </c:pt>
                <c:pt idx="159">
                  <c:v>9.3401615740740702</c:v>
                </c:pt>
                <c:pt idx="160">
                  <c:v>9.2687668981481401</c:v>
                </c:pt>
                <c:pt idx="161">
                  <c:v>9.3096458333333292</c:v>
                </c:pt>
                <c:pt idx="162">
                  <c:v>9.3035983796296193</c:v>
                </c:pt>
                <c:pt idx="163">
                  <c:v>9.2910085648148097</c:v>
                </c:pt>
                <c:pt idx="164">
                  <c:v>9.2658668981481398</c:v>
                </c:pt>
                <c:pt idx="165">
                  <c:v>9.2857231481481399</c:v>
                </c:pt>
                <c:pt idx="166">
                  <c:v>9.3328490740740708</c:v>
                </c:pt>
                <c:pt idx="167">
                  <c:v>9.3568738425925897</c:v>
                </c:pt>
                <c:pt idx="168">
                  <c:v>9.2917849537037007</c:v>
                </c:pt>
                <c:pt idx="169">
                  <c:v>9.3044511574073994</c:v>
                </c:pt>
                <c:pt idx="170">
                  <c:v>9.2803000000000004</c:v>
                </c:pt>
                <c:pt idx="171">
                  <c:v>9.32594305555555</c:v>
                </c:pt>
                <c:pt idx="172">
                  <c:v>9.2993618055555505</c:v>
                </c:pt>
                <c:pt idx="173">
                  <c:v>9.3252474537036996</c:v>
                </c:pt>
                <c:pt idx="174">
                  <c:v>9.3889465277777706</c:v>
                </c:pt>
                <c:pt idx="175">
                  <c:v>9.4047613425925896</c:v>
                </c:pt>
                <c:pt idx="176">
                  <c:v>9.4149865740740708</c:v>
                </c:pt>
                <c:pt idx="177">
                  <c:v>9.3667525462962899</c:v>
                </c:pt>
                <c:pt idx="178">
                  <c:v>9.37848333333333</c:v>
                </c:pt>
                <c:pt idx="179">
                  <c:v>9.3740245370370303</c:v>
                </c:pt>
                <c:pt idx="180">
                  <c:v>9.4164562499999995</c:v>
                </c:pt>
                <c:pt idx="181">
                  <c:v>9.4716002314814798</c:v>
                </c:pt>
                <c:pt idx="182">
                  <c:v>9.5297634259259194</c:v>
                </c:pt>
                <c:pt idx="183">
                  <c:v>9.5456743055555506</c:v>
                </c:pt>
                <c:pt idx="184">
                  <c:v>9.4503729166666606</c:v>
                </c:pt>
                <c:pt idx="185">
                  <c:v>9.3835678240740705</c:v>
                </c:pt>
                <c:pt idx="186">
                  <c:v>9.3006912037036997</c:v>
                </c:pt>
                <c:pt idx="187">
                  <c:v>9.2617386574074008</c:v>
                </c:pt>
                <c:pt idx="188">
                  <c:v>9.2832094907407399</c:v>
                </c:pt>
                <c:pt idx="189">
                  <c:v>9.3211324074074007</c:v>
                </c:pt>
                <c:pt idx="190">
                  <c:v>9.3675701388888797</c:v>
                </c:pt>
                <c:pt idx="191">
                  <c:v>9.3908134259259199</c:v>
                </c:pt>
                <c:pt idx="192">
                  <c:v>9.4658185185185193</c:v>
                </c:pt>
                <c:pt idx="193">
                  <c:v>9.5029199074073993</c:v>
                </c:pt>
                <c:pt idx="194">
                  <c:v>9.4879347222222208</c:v>
                </c:pt>
                <c:pt idx="195">
                  <c:v>9.4525319444444396</c:v>
                </c:pt>
                <c:pt idx="196">
                  <c:v>9.4550534722222199</c:v>
                </c:pt>
                <c:pt idx="197">
                  <c:v>9.4272337962962904</c:v>
                </c:pt>
                <c:pt idx="198">
                  <c:v>9.3864527777777695</c:v>
                </c:pt>
                <c:pt idx="199">
                  <c:v>9.3052824074074003</c:v>
                </c:pt>
                <c:pt idx="200">
                  <c:v>9.3092333333333297</c:v>
                </c:pt>
                <c:pt idx="201">
                  <c:v>9.2903412037037008</c:v>
                </c:pt>
                <c:pt idx="202">
                  <c:v>9.2853328703703699</c:v>
                </c:pt>
                <c:pt idx="203">
                  <c:v>9.3025652314814806</c:v>
                </c:pt>
                <c:pt idx="204">
                  <c:v>9.3458897685185196</c:v>
                </c:pt>
                <c:pt idx="205">
                  <c:v>9.3904237037036999</c:v>
                </c:pt>
                <c:pt idx="206">
                  <c:v>9.3931422222222203</c:v>
                </c:pt>
                <c:pt idx="207">
                  <c:v>9.32831907407407</c:v>
                </c:pt>
                <c:pt idx="208">
                  <c:v>9.2651082870370303</c:v>
                </c:pt>
                <c:pt idx="209">
                  <c:v>9.2040567129629594</c:v>
                </c:pt>
                <c:pt idx="210">
                  <c:v>9.1970843749999993</c:v>
                </c:pt>
                <c:pt idx="211">
                  <c:v>9.2343562499999994</c:v>
                </c:pt>
                <c:pt idx="212">
                  <c:v>9.2882301870748201</c:v>
                </c:pt>
                <c:pt idx="213">
                  <c:v>9.3421041241496603</c:v>
                </c:pt>
                <c:pt idx="214">
                  <c:v>9.3959780612244899</c:v>
                </c:pt>
                <c:pt idx="215">
                  <c:v>9.4498519982993194</c:v>
                </c:pt>
                <c:pt idx="216">
                  <c:v>9.5037259353741401</c:v>
                </c:pt>
                <c:pt idx="217">
                  <c:v>9.5575998724489803</c:v>
                </c:pt>
                <c:pt idx="218">
                  <c:v>9.6114738095238099</c:v>
                </c:pt>
                <c:pt idx="219">
                  <c:v>9.5860261408730096</c:v>
                </c:pt>
                <c:pt idx="220">
                  <c:v>9.5667299272486694</c:v>
                </c:pt>
                <c:pt idx="221">
                  <c:v>9.5536247685185192</c:v>
                </c:pt>
                <c:pt idx="222">
                  <c:v>9.5391393518518495</c:v>
                </c:pt>
                <c:pt idx="223">
                  <c:v>9.5765539351851796</c:v>
                </c:pt>
                <c:pt idx="224">
                  <c:v>9.6263328703703692</c:v>
                </c:pt>
                <c:pt idx="225">
                  <c:v>9.69900972222222</c:v>
                </c:pt>
                <c:pt idx="226">
                  <c:v>9.7093800925925908</c:v>
                </c:pt>
                <c:pt idx="227">
                  <c:v>9.6727689814814806</c:v>
                </c:pt>
                <c:pt idx="228">
                  <c:v>9.78842518939393</c:v>
                </c:pt>
                <c:pt idx="229">
                  <c:v>9.8325917929292892</c:v>
                </c:pt>
                <c:pt idx="230">
                  <c:v>9.8492458333333293</c:v>
                </c:pt>
                <c:pt idx="231">
                  <c:v>9.8654333333333302</c:v>
                </c:pt>
                <c:pt idx="232">
                  <c:v>9.8578541666666606</c:v>
                </c:pt>
                <c:pt idx="233">
                  <c:v>9.8476513888888899</c:v>
                </c:pt>
                <c:pt idx="234">
                  <c:v>9.7518624999999997</c:v>
                </c:pt>
                <c:pt idx="235">
                  <c:v>9.6934749999999994</c:v>
                </c:pt>
                <c:pt idx="236">
                  <c:v>9.7019472222222198</c:v>
                </c:pt>
                <c:pt idx="237">
                  <c:v>9.7632777777777697</c:v>
                </c:pt>
                <c:pt idx="238">
                  <c:v>9.7471638888888901</c:v>
                </c:pt>
                <c:pt idx="239">
                  <c:v>9.7309222222222207</c:v>
                </c:pt>
                <c:pt idx="240">
                  <c:v>9.7758777777777706</c:v>
                </c:pt>
                <c:pt idx="241">
                  <c:v>9.9101972222222194</c:v>
                </c:pt>
                <c:pt idx="242">
                  <c:v>10.019018055555501</c:v>
                </c:pt>
                <c:pt idx="243">
                  <c:v>10.0024</c:v>
                </c:pt>
                <c:pt idx="244">
                  <c:v>9.9267680555555504</c:v>
                </c:pt>
                <c:pt idx="245">
                  <c:v>9.8343486111111105</c:v>
                </c:pt>
                <c:pt idx="246">
                  <c:v>9.8528374999999997</c:v>
                </c:pt>
                <c:pt idx="247">
                  <c:v>9.8700152777777692</c:v>
                </c:pt>
                <c:pt idx="248">
                  <c:v>9.8897222222222201</c:v>
                </c:pt>
                <c:pt idx="249">
                  <c:v>9.7759402777777709</c:v>
                </c:pt>
                <c:pt idx="250">
                  <c:v>9.7120486111111095</c:v>
                </c:pt>
                <c:pt idx="251">
                  <c:v>9.7010263888888897</c:v>
                </c:pt>
                <c:pt idx="252">
                  <c:v>9.8362208333333303</c:v>
                </c:pt>
                <c:pt idx="253">
                  <c:v>9.8075472222222206</c:v>
                </c:pt>
                <c:pt idx="254">
                  <c:v>9.8061319444444397</c:v>
                </c:pt>
                <c:pt idx="255">
                  <c:v>9.7371305555555505</c:v>
                </c:pt>
                <c:pt idx="256">
                  <c:v>9.8166986111111108</c:v>
                </c:pt>
                <c:pt idx="257">
                  <c:v>9.8623444444444406</c:v>
                </c:pt>
                <c:pt idx="258">
                  <c:v>9.9816847222222194</c:v>
                </c:pt>
                <c:pt idx="259">
                  <c:v>9.8347315821256007</c:v>
                </c:pt>
                <c:pt idx="260">
                  <c:v>9.8352690821256008</c:v>
                </c:pt>
                <c:pt idx="261">
                  <c:v>9.9095621376811494</c:v>
                </c:pt>
                <c:pt idx="262">
                  <c:v>9.9127569444444408</c:v>
                </c:pt>
                <c:pt idx="263">
                  <c:v>9.85819861111111</c:v>
                </c:pt>
                <c:pt idx="264">
                  <c:v>9.8549486111111104</c:v>
                </c:pt>
                <c:pt idx="265">
                  <c:v>9.9747347222222196</c:v>
                </c:pt>
                <c:pt idx="266">
                  <c:v>10.0874305555555</c:v>
                </c:pt>
                <c:pt idx="267">
                  <c:v>10.1345888888888</c:v>
                </c:pt>
                <c:pt idx="268">
                  <c:v>10.1352305555555</c:v>
                </c:pt>
                <c:pt idx="269">
                  <c:v>9.9718347222222192</c:v>
                </c:pt>
                <c:pt idx="270">
                  <c:v>9.8358916666666598</c:v>
                </c:pt>
                <c:pt idx="271">
                  <c:v>9.7663083333333294</c:v>
                </c:pt>
                <c:pt idx="272">
                  <c:v>9.8151680555555494</c:v>
                </c:pt>
                <c:pt idx="273">
                  <c:v>9.9253236111111107</c:v>
                </c:pt>
                <c:pt idx="274">
                  <c:v>9.9696944444444409</c:v>
                </c:pt>
                <c:pt idx="275">
                  <c:v>10.0510208333333</c:v>
                </c:pt>
                <c:pt idx="276">
                  <c:v>10.0960472222222</c:v>
                </c:pt>
                <c:pt idx="277">
                  <c:v>10.137924999999999</c:v>
                </c:pt>
                <c:pt idx="278">
                  <c:v>10.048930555555501</c:v>
                </c:pt>
                <c:pt idx="279">
                  <c:v>9.9906694444444408</c:v>
                </c:pt>
                <c:pt idx="280">
                  <c:v>10.039016666666599</c:v>
                </c:pt>
                <c:pt idx="281">
                  <c:v>10.209300000000001</c:v>
                </c:pt>
                <c:pt idx="282">
                  <c:v>10.4134152777777</c:v>
                </c:pt>
                <c:pt idx="283">
                  <c:v>10.513515277777699</c:v>
                </c:pt>
                <c:pt idx="284">
                  <c:v>10.4126041666666</c:v>
                </c:pt>
                <c:pt idx="285">
                  <c:v>10.3272763888888</c:v>
                </c:pt>
                <c:pt idx="286">
                  <c:v>10.2460194444444</c:v>
                </c:pt>
                <c:pt idx="287">
                  <c:v>10.346198611111101</c:v>
                </c:pt>
                <c:pt idx="288">
                  <c:v>10.472669444444399</c:v>
                </c:pt>
                <c:pt idx="289">
                  <c:v>10.5711986111111</c:v>
                </c:pt>
                <c:pt idx="290">
                  <c:v>10.4098611111111</c:v>
                </c:pt>
                <c:pt idx="291">
                  <c:v>10.0475833333333</c:v>
                </c:pt>
                <c:pt idx="292">
                  <c:v>10.865697222222201</c:v>
                </c:pt>
                <c:pt idx="293">
                  <c:v>10.439447222222199</c:v>
                </c:pt>
                <c:pt idx="294">
                  <c:v>9.9731500000000004</c:v>
                </c:pt>
                <c:pt idx="295">
                  <c:v>9.9704208333333302</c:v>
                </c:pt>
                <c:pt idx="296">
                  <c:v>10.020777777777701</c:v>
                </c:pt>
                <c:pt idx="297">
                  <c:v>10.008451388888799</c:v>
                </c:pt>
                <c:pt idx="298">
                  <c:v>10.1276222222222</c:v>
                </c:pt>
                <c:pt idx="299">
                  <c:v>10.341126388888799</c:v>
                </c:pt>
                <c:pt idx="300">
                  <c:v>10.6640263888888</c:v>
                </c:pt>
                <c:pt idx="301">
                  <c:v>10.920715277777701</c:v>
                </c:pt>
                <c:pt idx="302">
                  <c:v>11.1637077380952</c:v>
                </c:pt>
                <c:pt idx="303">
                  <c:v>11.2885869047619</c:v>
                </c:pt>
                <c:pt idx="304">
                  <c:v>11.2764438492063</c:v>
                </c:pt>
                <c:pt idx="305">
                  <c:v>10.9588236111111</c:v>
                </c:pt>
                <c:pt idx="306">
                  <c:v>10.5872916666666</c:v>
                </c:pt>
                <c:pt idx="307">
                  <c:v>10.355555555555499</c:v>
                </c:pt>
                <c:pt idx="308">
                  <c:v>10.416650757575701</c:v>
                </c:pt>
                <c:pt idx="309">
                  <c:v>10.6083924242424</c:v>
                </c:pt>
                <c:pt idx="310">
                  <c:v>10.6259888888888</c:v>
                </c:pt>
                <c:pt idx="311">
                  <c:v>10.5975375</c:v>
                </c:pt>
                <c:pt idx="312">
                  <c:v>10.3439180555555</c:v>
                </c:pt>
                <c:pt idx="313">
                  <c:v>10.298325</c:v>
                </c:pt>
                <c:pt idx="314">
                  <c:v>10.191558333333299</c:v>
                </c:pt>
                <c:pt idx="315">
                  <c:v>10.248468055555501</c:v>
                </c:pt>
                <c:pt idx="316">
                  <c:v>10.261368055555501</c:v>
                </c:pt>
                <c:pt idx="317">
                  <c:v>10.2082083333333</c:v>
                </c:pt>
                <c:pt idx="318">
                  <c:v>10.086124999999999</c:v>
                </c:pt>
                <c:pt idx="319">
                  <c:v>10.0804125</c:v>
                </c:pt>
                <c:pt idx="320">
                  <c:v>10.023819444444401</c:v>
                </c:pt>
                <c:pt idx="321">
                  <c:v>10.038461111111101</c:v>
                </c:pt>
                <c:pt idx="322">
                  <c:v>10.047611111111101</c:v>
                </c:pt>
                <c:pt idx="323">
                  <c:v>10.221788888888801</c:v>
                </c:pt>
                <c:pt idx="324">
                  <c:v>10.340547222222201</c:v>
                </c:pt>
                <c:pt idx="325">
                  <c:v>10.532815277777701</c:v>
                </c:pt>
                <c:pt idx="326">
                  <c:v>10.627537500000001</c:v>
                </c:pt>
                <c:pt idx="327">
                  <c:v>10.858356944444401</c:v>
                </c:pt>
                <c:pt idx="328">
                  <c:v>11.011391666666601</c:v>
                </c:pt>
                <c:pt idx="329">
                  <c:v>10.9731583333333</c:v>
                </c:pt>
                <c:pt idx="330">
                  <c:v>10.9461333333333</c:v>
                </c:pt>
                <c:pt idx="331">
                  <c:v>10.830724999999999</c:v>
                </c:pt>
                <c:pt idx="332">
                  <c:v>10.9556541666666</c:v>
                </c:pt>
                <c:pt idx="333">
                  <c:v>11.0137611111111</c:v>
                </c:pt>
                <c:pt idx="334">
                  <c:v>11.069699999999999</c:v>
                </c:pt>
                <c:pt idx="335">
                  <c:v>11.03735</c:v>
                </c:pt>
                <c:pt idx="336">
                  <c:v>10.9892041666666</c:v>
                </c:pt>
                <c:pt idx="337">
                  <c:v>10.892973611111101</c:v>
                </c:pt>
                <c:pt idx="338">
                  <c:v>10.6214763888888</c:v>
                </c:pt>
                <c:pt idx="339">
                  <c:v>10.414947222222199</c:v>
                </c:pt>
                <c:pt idx="340">
                  <c:v>10.2627486111111</c:v>
                </c:pt>
                <c:pt idx="341">
                  <c:v>10.284988888888799</c:v>
                </c:pt>
                <c:pt idx="342">
                  <c:v>10.3891125</c:v>
                </c:pt>
                <c:pt idx="343">
                  <c:v>10.633125</c:v>
                </c:pt>
                <c:pt idx="344">
                  <c:v>10.911</c:v>
                </c:pt>
                <c:pt idx="345">
                  <c:v>11.148654166666599</c:v>
                </c:pt>
                <c:pt idx="346">
                  <c:v>11.363790277777699</c:v>
                </c:pt>
                <c:pt idx="347">
                  <c:v>10.9017736111111</c:v>
                </c:pt>
                <c:pt idx="348">
                  <c:v>11.0823013888888</c:v>
                </c:pt>
                <c:pt idx="349">
                  <c:v>10.551151388888799</c:v>
                </c:pt>
                <c:pt idx="350">
                  <c:v>10.541204166666599</c:v>
                </c:pt>
                <c:pt idx="351">
                  <c:v>10.483369444444399</c:v>
                </c:pt>
                <c:pt idx="352">
                  <c:v>10.494145833333301</c:v>
                </c:pt>
                <c:pt idx="353">
                  <c:v>10.532490277777701</c:v>
                </c:pt>
                <c:pt idx="354">
                  <c:v>10.5872777777777</c:v>
                </c:pt>
                <c:pt idx="355">
                  <c:v>10.566976388888801</c:v>
                </c:pt>
                <c:pt idx="356">
                  <c:v>10.5554138888888</c:v>
                </c:pt>
                <c:pt idx="357">
                  <c:v>10.5165805555555</c:v>
                </c:pt>
                <c:pt idx="358">
                  <c:v>10.5410277777777</c:v>
                </c:pt>
                <c:pt idx="359">
                  <c:v>10.464655555555501</c:v>
                </c:pt>
                <c:pt idx="360">
                  <c:v>10.296952777777699</c:v>
                </c:pt>
                <c:pt idx="361">
                  <c:v>10.0838902777777</c:v>
                </c:pt>
                <c:pt idx="362">
                  <c:v>9.9633236111111092</c:v>
                </c:pt>
                <c:pt idx="363">
                  <c:v>9.9029208333333294</c:v>
                </c:pt>
                <c:pt idx="364">
                  <c:v>9.9203069444444392</c:v>
                </c:pt>
                <c:pt idx="365">
                  <c:v>9.8994736111111106</c:v>
                </c:pt>
                <c:pt idx="366">
                  <c:v>9.8584388888888892</c:v>
                </c:pt>
                <c:pt idx="367">
                  <c:v>9.74898611111111</c:v>
                </c:pt>
                <c:pt idx="368">
                  <c:v>9.5912305555555495</c:v>
                </c:pt>
                <c:pt idx="369">
                  <c:v>9.5204458333333299</c:v>
                </c:pt>
                <c:pt idx="370">
                  <c:v>9.4968305555555492</c:v>
                </c:pt>
                <c:pt idx="371">
                  <c:v>9.5346847222222202</c:v>
                </c:pt>
                <c:pt idx="372">
                  <c:v>9.7111458333333296</c:v>
                </c:pt>
                <c:pt idx="373">
                  <c:v>9.9330361111111092</c:v>
                </c:pt>
                <c:pt idx="374">
                  <c:v>10.0613833333333</c:v>
                </c:pt>
                <c:pt idx="375">
                  <c:v>10.0218541666666</c:v>
                </c:pt>
                <c:pt idx="376">
                  <c:v>9.9124736111111105</c:v>
                </c:pt>
                <c:pt idx="377">
                  <c:v>9.9332944444444404</c:v>
                </c:pt>
                <c:pt idx="378">
                  <c:v>9.9623041666666605</c:v>
                </c:pt>
                <c:pt idx="379">
                  <c:v>9.9605208333333302</c:v>
                </c:pt>
                <c:pt idx="380">
                  <c:v>9.9538444444444405</c:v>
                </c:pt>
                <c:pt idx="381">
                  <c:v>9.8764097222222205</c:v>
                </c:pt>
                <c:pt idx="382">
                  <c:v>9.7763902777777698</c:v>
                </c:pt>
                <c:pt idx="383">
                  <c:v>9.7147527777777807</c:v>
                </c:pt>
                <c:pt idx="384">
                  <c:v>9.6852374999999995</c:v>
                </c:pt>
                <c:pt idx="385">
                  <c:v>9.7444249999999997</c:v>
                </c:pt>
                <c:pt idx="386">
                  <c:v>9.7627374999999894</c:v>
                </c:pt>
                <c:pt idx="387">
                  <c:v>9.8135694444444397</c:v>
                </c:pt>
                <c:pt idx="388">
                  <c:v>9.8254736111111107</c:v>
                </c:pt>
                <c:pt idx="389">
                  <c:v>9.7887805555555492</c:v>
                </c:pt>
                <c:pt idx="390">
                  <c:v>9.7431486111111099</c:v>
                </c:pt>
                <c:pt idx="391">
                  <c:v>9.7663444444444405</c:v>
                </c:pt>
                <c:pt idx="392">
                  <c:v>9.7858944444444393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C3-4658-BD55-03C7F1D33A1A}"/>
            </c:ext>
          </c:extLst>
        </c:ser>
        <c:ser>
          <c:idx val="1"/>
          <c:order val="1"/>
          <c:tx>
            <c:v>parameter fitting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selhausen_SM_Kdose_daily!$D$8:$D$400</c:f>
              <c:numCache>
                <c:formatCode>General</c:formatCode>
                <c:ptCount val="393"/>
                <c:pt idx="0">
                  <c:v>35.267864366824199</c:v>
                </c:pt>
                <c:pt idx="1">
                  <c:v>35.1993709636075</c:v>
                </c:pt>
                <c:pt idx="2">
                  <c:v>34.623326589406403</c:v>
                </c:pt>
                <c:pt idx="3">
                  <c:v>34.047282215205399</c:v>
                </c:pt>
                <c:pt idx="4">
                  <c:v>33.471237841004303</c:v>
                </c:pt>
                <c:pt idx="5">
                  <c:v>32.895193466803299</c:v>
                </c:pt>
                <c:pt idx="6">
                  <c:v>32.731530427774302</c:v>
                </c:pt>
                <c:pt idx="7">
                  <c:v>32.596651251184497</c:v>
                </c:pt>
                <c:pt idx="8">
                  <c:v>32.4536587751696</c:v>
                </c:pt>
                <c:pt idx="9">
                  <c:v>32.176603565747101</c:v>
                </c:pt>
                <c:pt idx="10">
                  <c:v>31.936275817145599</c:v>
                </c:pt>
                <c:pt idx="11">
                  <c:v>31.824461490872402</c:v>
                </c:pt>
                <c:pt idx="12">
                  <c:v>31.659673067343999</c:v>
                </c:pt>
                <c:pt idx="13">
                  <c:v>31.473443625845999</c:v>
                </c:pt>
                <c:pt idx="14">
                  <c:v>31.851141941655001</c:v>
                </c:pt>
                <c:pt idx="15">
                  <c:v>31.8194347825062</c:v>
                </c:pt>
                <c:pt idx="16">
                  <c:v>31.599505151353402</c:v>
                </c:pt>
                <c:pt idx="17">
                  <c:v>31.463331280833</c:v>
                </c:pt>
                <c:pt idx="18">
                  <c:v>33.151635158716701</c:v>
                </c:pt>
                <c:pt idx="19">
                  <c:v>32.998640120501001</c:v>
                </c:pt>
                <c:pt idx="20">
                  <c:v>32.794448674991102</c:v>
                </c:pt>
                <c:pt idx="21">
                  <c:v>32.166767682053397</c:v>
                </c:pt>
                <c:pt idx="22">
                  <c:v>31.524188101936598</c:v>
                </c:pt>
                <c:pt idx="23">
                  <c:v>31.138822162791101</c:v>
                </c:pt>
                <c:pt idx="24">
                  <c:v>30.705000572561101</c:v>
                </c:pt>
                <c:pt idx="25">
                  <c:v>30.488454813834799</c:v>
                </c:pt>
                <c:pt idx="26">
                  <c:v>30.405468680709301</c:v>
                </c:pt>
                <c:pt idx="27">
                  <c:v>30.4157502506878</c:v>
                </c:pt>
                <c:pt idx="28">
                  <c:v>30.3620788052596</c:v>
                </c:pt>
                <c:pt idx="29">
                  <c:v>30.335750368182499</c:v>
                </c:pt>
                <c:pt idx="30">
                  <c:v>32.315058318218497</c:v>
                </c:pt>
                <c:pt idx="31">
                  <c:v>36.337446053406097</c:v>
                </c:pt>
                <c:pt idx="32">
                  <c:v>37.0493163861155</c:v>
                </c:pt>
                <c:pt idx="33">
                  <c:v>37.159532534574801</c:v>
                </c:pt>
                <c:pt idx="34">
                  <c:v>36.058666854678798</c:v>
                </c:pt>
                <c:pt idx="35">
                  <c:v>35.3272768251298</c:v>
                </c:pt>
                <c:pt idx="36">
                  <c:v>34.870909228816899</c:v>
                </c:pt>
                <c:pt idx="37">
                  <c:v>36.107426871348601</c:v>
                </c:pt>
                <c:pt idx="38">
                  <c:v>36.894246105104102</c:v>
                </c:pt>
                <c:pt idx="39">
                  <c:v>35.586914151347898</c:v>
                </c:pt>
                <c:pt idx="40">
                  <c:v>34.740036497319103</c:v>
                </c:pt>
                <c:pt idx="41">
                  <c:v>34.1406571505727</c:v>
                </c:pt>
                <c:pt idx="42">
                  <c:v>33.755179624401798</c:v>
                </c:pt>
                <c:pt idx="43">
                  <c:v>33.440578497936897</c:v>
                </c:pt>
                <c:pt idx="44">
                  <c:v>33.366809618916299</c:v>
                </c:pt>
                <c:pt idx="45">
                  <c:v>33.2781730489151</c:v>
                </c:pt>
                <c:pt idx="46">
                  <c:v>32.989720538044701</c:v>
                </c:pt>
                <c:pt idx="47">
                  <c:v>32.6202136074062</c:v>
                </c:pt>
                <c:pt idx="48">
                  <c:v>32.632159117632497</c:v>
                </c:pt>
                <c:pt idx="49">
                  <c:v>35.194891389522901</c:v>
                </c:pt>
                <c:pt idx="50">
                  <c:v>35.5541925632211</c:v>
                </c:pt>
                <c:pt idx="51">
                  <c:v>34.451621502619801</c:v>
                </c:pt>
                <c:pt idx="52">
                  <c:v>33.918666064892903</c:v>
                </c:pt>
                <c:pt idx="53">
                  <c:v>34.9264315009531</c:v>
                </c:pt>
                <c:pt idx="54">
                  <c:v>35.9720499422329</c:v>
                </c:pt>
                <c:pt idx="55">
                  <c:v>37.452550331109897</c:v>
                </c:pt>
                <c:pt idx="56">
                  <c:v>36.853394534188098</c:v>
                </c:pt>
                <c:pt idx="57">
                  <c:v>35.419109861034798</c:v>
                </c:pt>
                <c:pt idx="58">
                  <c:v>34.230262953228298</c:v>
                </c:pt>
                <c:pt idx="59">
                  <c:v>33.353690098410297</c:v>
                </c:pt>
                <c:pt idx="60">
                  <c:v>32.906982665148497</c:v>
                </c:pt>
                <c:pt idx="61">
                  <c:v>34.001598062262502</c:v>
                </c:pt>
                <c:pt idx="62">
                  <c:v>33.594117494012103</c:v>
                </c:pt>
                <c:pt idx="63">
                  <c:v>32.863698666536798</c:v>
                </c:pt>
                <c:pt idx="64">
                  <c:v>26.7234445732221</c:v>
                </c:pt>
                <c:pt idx="65">
                  <c:v>25.654445621735999</c:v>
                </c:pt>
                <c:pt idx="66">
                  <c:v>24.529209716069399</c:v>
                </c:pt>
                <c:pt idx="67">
                  <c:v>23.790099215638801</c:v>
                </c:pt>
                <c:pt idx="68">
                  <c:v>26.870676620888801</c:v>
                </c:pt>
                <c:pt idx="69">
                  <c:v>28.727012494819299</c:v>
                </c:pt>
                <c:pt idx="70">
                  <c:v>27.4028524032916</c:v>
                </c:pt>
                <c:pt idx="71">
                  <c:v>26.6187733402259</c:v>
                </c:pt>
                <c:pt idx="72">
                  <c:v>25.998387141483601</c:v>
                </c:pt>
                <c:pt idx="73">
                  <c:v>26.047473524138798</c:v>
                </c:pt>
                <c:pt idx="74">
                  <c:v>27.095320503236</c:v>
                </c:pt>
                <c:pt idx="75">
                  <c:v>30.6466978299582</c:v>
                </c:pt>
                <c:pt idx="76">
                  <c:v>31.595901990735999</c:v>
                </c:pt>
                <c:pt idx="77">
                  <c:v>30.4030089779721</c:v>
                </c:pt>
                <c:pt idx="78">
                  <c:v>29.239402826499902</c:v>
                </c:pt>
                <c:pt idx="79">
                  <c:v>27.907813418013799</c:v>
                </c:pt>
                <c:pt idx="80">
                  <c:v>26.7159381721839</c:v>
                </c:pt>
                <c:pt idx="81">
                  <c:v>23.995684525626</c:v>
                </c:pt>
                <c:pt idx="82">
                  <c:v>23.7601182871337</c:v>
                </c:pt>
                <c:pt idx="83">
                  <c:v>23.499634694358502</c:v>
                </c:pt>
                <c:pt idx="84">
                  <c:v>23.244947879529199</c:v>
                </c:pt>
                <c:pt idx="85">
                  <c:v>22.945815931696501</c:v>
                </c:pt>
                <c:pt idx="86">
                  <c:v>24.033854082923799</c:v>
                </c:pt>
                <c:pt idx="87">
                  <c:v>29.503924314726401</c:v>
                </c:pt>
                <c:pt idx="88">
                  <c:v>28.741324029191901</c:v>
                </c:pt>
                <c:pt idx="89">
                  <c:v>27.9195067778133</c:v>
                </c:pt>
                <c:pt idx="90">
                  <c:v>27.538497196261599</c:v>
                </c:pt>
                <c:pt idx="91">
                  <c:v>27.4906890629847</c:v>
                </c:pt>
                <c:pt idx="92">
                  <c:v>27.149424685076301</c:v>
                </c:pt>
                <c:pt idx="93">
                  <c:v>26.665504798477802</c:v>
                </c:pt>
                <c:pt idx="94">
                  <c:v>26.0421322048668</c:v>
                </c:pt>
                <c:pt idx="95">
                  <c:v>26.1494750034615</c:v>
                </c:pt>
                <c:pt idx="96">
                  <c:v>28.088133900033</c:v>
                </c:pt>
                <c:pt idx="97">
                  <c:v>28.5459110472178</c:v>
                </c:pt>
                <c:pt idx="98">
                  <c:v>27.6599074387107</c:v>
                </c:pt>
                <c:pt idx="99">
                  <c:v>26.895821858144199</c:v>
                </c:pt>
                <c:pt idx="100">
                  <c:v>26.3374477187295</c:v>
                </c:pt>
                <c:pt idx="101">
                  <c:v>25.8871552580908</c:v>
                </c:pt>
                <c:pt idx="102">
                  <c:v>25.506677034009101</c:v>
                </c:pt>
                <c:pt idx="103">
                  <c:v>25.191092204862301</c:v>
                </c:pt>
                <c:pt idx="104">
                  <c:v>24.911594257879599</c:v>
                </c:pt>
                <c:pt idx="105">
                  <c:v>24.608016751176201</c:v>
                </c:pt>
                <c:pt idx="106">
                  <c:v>24.290534069230699</c:v>
                </c:pt>
                <c:pt idx="107">
                  <c:v>24.058565918509199</c:v>
                </c:pt>
                <c:pt idx="108">
                  <c:v>24.037524589978499</c:v>
                </c:pt>
                <c:pt idx="109">
                  <c:v>23.8442329907048</c:v>
                </c:pt>
                <c:pt idx="110">
                  <c:v>23.499316363920698</c:v>
                </c:pt>
                <c:pt idx="111">
                  <c:v>23.0075209086279</c:v>
                </c:pt>
                <c:pt idx="112">
                  <c:v>22.5017628295058</c:v>
                </c:pt>
                <c:pt idx="113">
                  <c:v>22.083467953183</c:v>
                </c:pt>
                <c:pt idx="114">
                  <c:v>21.609753503034899</c:v>
                </c:pt>
                <c:pt idx="115">
                  <c:v>21.0457879157969</c:v>
                </c:pt>
                <c:pt idx="116">
                  <c:v>20.4324574252689</c:v>
                </c:pt>
                <c:pt idx="117">
                  <c:v>20.281381125061799</c:v>
                </c:pt>
                <c:pt idx="118">
                  <c:v>20.465845404642501</c:v>
                </c:pt>
                <c:pt idx="119">
                  <c:v>20.799153317267098</c:v>
                </c:pt>
                <c:pt idx="120">
                  <c:v>20.9356204951224</c:v>
                </c:pt>
                <c:pt idx="121">
                  <c:v>20.872744858217601</c:v>
                </c:pt>
                <c:pt idx="122">
                  <c:v>21.0929165949312</c:v>
                </c:pt>
                <c:pt idx="123">
                  <c:v>24.210431733414801</c:v>
                </c:pt>
                <c:pt idx="124">
                  <c:v>29.412694938656099</c:v>
                </c:pt>
                <c:pt idx="125">
                  <c:v>32.923101578848701</c:v>
                </c:pt>
                <c:pt idx="126">
                  <c:v>32.142210303991497</c:v>
                </c:pt>
                <c:pt idx="127">
                  <c:v>32.631385721304099</c:v>
                </c:pt>
                <c:pt idx="128">
                  <c:v>33.575521381364801</c:v>
                </c:pt>
                <c:pt idx="129">
                  <c:v>34.460600721793199</c:v>
                </c:pt>
                <c:pt idx="130">
                  <c:v>34.0193149623856</c:v>
                </c:pt>
                <c:pt idx="131">
                  <c:v>35.350378631574301</c:v>
                </c:pt>
                <c:pt idx="132">
                  <c:v>34.567769313829501</c:v>
                </c:pt>
                <c:pt idx="133">
                  <c:v>33.672264810191301</c:v>
                </c:pt>
                <c:pt idx="134">
                  <c:v>34.058262461225901</c:v>
                </c:pt>
                <c:pt idx="135">
                  <c:v>34.927886847788798</c:v>
                </c:pt>
                <c:pt idx="136">
                  <c:v>35.117848816544999</c:v>
                </c:pt>
                <c:pt idx="137">
                  <c:v>34.620813410053501</c:v>
                </c:pt>
                <c:pt idx="138">
                  <c:v>31.7434225339444</c:v>
                </c:pt>
                <c:pt idx="139">
                  <c:v>31.2355184243332</c:v>
                </c:pt>
                <c:pt idx="140">
                  <c:v>31.592126725388798</c:v>
                </c:pt>
                <c:pt idx="141">
                  <c:v>31.905589145333199</c:v>
                </c:pt>
                <c:pt idx="142">
                  <c:v>31.654561910888798</c:v>
                </c:pt>
                <c:pt idx="143">
                  <c:v>31.478487529444301</c:v>
                </c:pt>
                <c:pt idx="144">
                  <c:v>32.727696565735997</c:v>
                </c:pt>
                <c:pt idx="145">
                  <c:v>34.985504359694303</c:v>
                </c:pt>
                <c:pt idx="146">
                  <c:v>36.117573445284599</c:v>
                </c:pt>
                <c:pt idx="147">
                  <c:v>34.855615928611002</c:v>
                </c:pt>
                <c:pt idx="148">
                  <c:v>35.393371734930398</c:v>
                </c:pt>
                <c:pt idx="149">
                  <c:v>36.915412255999399</c:v>
                </c:pt>
                <c:pt idx="150">
                  <c:v>36.5589696569632</c:v>
                </c:pt>
                <c:pt idx="151">
                  <c:v>35.518264992157199</c:v>
                </c:pt>
                <c:pt idx="152">
                  <c:v>36.796886413280298</c:v>
                </c:pt>
                <c:pt idx="153">
                  <c:v>37.2384811923638</c:v>
                </c:pt>
                <c:pt idx="154">
                  <c:v>37.1254049966279</c:v>
                </c:pt>
                <c:pt idx="155">
                  <c:v>36.931095282001898</c:v>
                </c:pt>
                <c:pt idx="156">
                  <c:v>37.351921598185697</c:v>
                </c:pt>
                <c:pt idx="157">
                  <c:v>36.421603679425097</c:v>
                </c:pt>
                <c:pt idx="158">
                  <c:v>35.855795303946202</c:v>
                </c:pt>
                <c:pt idx="159">
                  <c:v>37.374237942877102</c:v>
                </c:pt>
                <c:pt idx="160">
                  <c:v>37.683946984656302</c:v>
                </c:pt>
                <c:pt idx="161">
                  <c:v>37.645893852925099</c:v>
                </c:pt>
                <c:pt idx="162">
                  <c:v>39.207286499989003</c:v>
                </c:pt>
                <c:pt idx="163">
                  <c:v>38.704357218372998</c:v>
                </c:pt>
                <c:pt idx="164">
                  <c:v>37.534592205244998</c:v>
                </c:pt>
                <c:pt idx="165">
                  <c:v>37.210148148726198</c:v>
                </c:pt>
                <c:pt idx="166">
                  <c:v>36.950075435126202</c:v>
                </c:pt>
                <c:pt idx="167">
                  <c:v>36.4682711885836</c:v>
                </c:pt>
                <c:pt idx="168">
                  <c:v>35.812876792585598</c:v>
                </c:pt>
                <c:pt idx="169">
                  <c:v>36.286495541424202</c:v>
                </c:pt>
                <c:pt idx="170">
                  <c:v>38.6733617616187</c:v>
                </c:pt>
                <c:pt idx="171">
                  <c:v>38.173596798364102</c:v>
                </c:pt>
                <c:pt idx="172">
                  <c:v>37.410789125817097</c:v>
                </c:pt>
                <c:pt idx="173">
                  <c:v>37.5581926883549</c:v>
                </c:pt>
                <c:pt idx="174">
                  <c:v>37.623209145579402</c:v>
                </c:pt>
                <c:pt idx="175">
                  <c:v>37.728612629846602</c:v>
                </c:pt>
                <c:pt idx="176">
                  <c:v>37.71304724422</c:v>
                </c:pt>
                <c:pt idx="177">
                  <c:v>38.3655328539027</c:v>
                </c:pt>
                <c:pt idx="178">
                  <c:v>38.781087788155801</c:v>
                </c:pt>
                <c:pt idx="179">
                  <c:v>38.149409618447699</c:v>
                </c:pt>
                <c:pt idx="180">
                  <c:v>37.960801656700298</c:v>
                </c:pt>
                <c:pt idx="181">
                  <c:v>37.600125968260897</c:v>
                </c:pt>
                <c:pt idx="182">
                  <c:v>37.237026495168998</c:v>
                </c:pt>
                <c:pt idx="183">
                  <c:v>36.872246819696002</c:v>
                </c:pt>
                <c:pt idx="184">
                  <c:v>37.155280278940801</c:v>
                </c:pt>
                <c:pt idx="185">
                  <c:v>38.764227015145799</c:v>
                </c:pt>
                <c:pt idx="186">
                  <c:v>38.927309649202897</c:v>
                </c:pt>
                <c:pt idx="187">
                  <c:v>40.093474363694497</c:v>
                </c:pt>
                <c:pt idx="188">
                  <c:v>39.604227745787703</c:v>
                </c:pt>
                <c:pt idx="189">
                  <c:v>39.312630048909398</c:v>
                </c:pt>
                <c:pt idx="190">
                  <c:v>39.546169090370498</c:v>
                </c:pt>
                <c:pt idx="191">
                  <c:v>39.294561422320299</c:v>
                </c:pt>
                <c:pt idx="192">
                  <c:v>38.674690974476398</c:v>
                </c:pt>
                <c:pt idx="193">
                  <c:v>38.110974339970902</c:v>
                </c:pt>
                <c:pt idx="194">
                  <c:v>38.132267232782198</c:v>
                </c:pt>
                <c:pt idx="195">
                  <c:v>38.722027056319199</c:v>
                </c:pt>
                <c:pt idx="196">
                  <c:v>38.19657828335</c:v>
                </c:pt>
                <c:pt idx="197">
                  <c:v>37.759045780243902</c:v>
                </c:pt>
                <c:pt idx="198">
                  <c:v>39.355045714738502</c:v>
                </c:pt>
                <c:pt idx="199">
                  <c:v>39.567961146104601</c:v>
                </c:pt>
                <c:pt idx="200">
                  <c:v>40.107341797738101</c:v>
                </c:pt>
                <c:pt idx="201">
                  <c:v>39.226900913212702</c:v>
                </c:pt>
                <c:pt idx="202">
                  <c:v>39.728472595818097</c:v>
                </c:pt>
                <c:pt idx="203">
                  <c:v>39.605874709040499</c:v>
                </c:pt>
                <c:pt idx="204">
                  <c:v>38.854525458881803</c:v>
                </c:pt>
                <c:pt idx="205">
                  <c:v>38.740415868543103</c:v>
                </c:pt>
                <c:pt idx="206">
                  <c:v>38.754279923779698</c:v>
                </c:pt>
                <c:pt idx="207">
                  <c:v>38.767229336483197</c:v>
                </c:pt>
                <c:pt idx="208">
                  <c:v>38.743127476798399</c:v>
                </c:pt>
                <c:pt idx="209">
                  <c:v>38.719025617113701</c:v>
                </c:pt>
                <c:pt idx="210">
                  <c:v>38.694923757429002</c:v>
                </c:pt>
                <c:pt idx="211">
                  <c:v>38.670821897744297</c:v>
                </c:pt>
                <c:pt idx="212">
                  <c:v>38.646720038059598</c:v>
                </c:pt>
                <c:pt idx="213">
                  <c:v>38.6226181783748</c:v>
                </c:pt>
                <c:pt idx="214">
                  <c:v>38.598516318690102</c:v>
                </c:pt>
                <c:pt idx="215">
                  <c:v>38.574414459005403</c:v>
                </c:pt>
                <c:pt idx="216">
                  <c:v>38.550312599320698</c:v>
                </c:pt>
                <c:pt idx="217">
                  <c:v>38.526210739635999</c:v>
                </c:pt>
                <c:pt idx="218">
                  <c:v>38.502108879951301</c:v>
                </c:pt>
                <c:pt idx="219">
                  <c:v>38.197763899757099</c:v>
                </c:pt>
                <c:pt idx="220">
                  <c:v>37.998883200438101</c:v>
                </c:pt>
                <c:pt idx="221">
                  <c:v>37.558789281713203</c:v>
                </c:pt>
                <c:pt idx="222">
                  <c:v>38.231501503208897</c:v>
                </c:pt>
                <c:pt idx="223">
                  <c:v>37.930594108829197</c:v>
                </c:pt>
                <c:pt idx="224">
                  <c:v>37.203320865026697</c:v>
                </c:pt>
                <c:pt idx="225">
                  <c:v>36.8653056525118</c:v>
                </c:pt>
                <c:pt idx="226">
                  <c:v>36.632093418688399</c:v>
                </c:pt>
                <c:pt idx="227">
                  <c:v>36.316992311430297</c:v>
                </c:pt>
                <c:pt idx="228">
                  <c:v>37.250557261724602</c:v>
                </c:pt>
                <c:pt idx="229">
                  <c:v>36.827739288057799</c:v>
                </c:pt>
                <c:pt idx="230">
                  <c:v>36.502086615008203</c:v>
                </c:pt>
                <c:pt idx="231">
                  <c:v>37.820905597170601</c:v>
                </c:pt>
                <c:pt idx="232">
                  <c:v>37.385703514750197</c:v>
                </c:pt>
                <c:pt idx="233">
                  <c:v>36.330821405988701</c:v>
                </c:pt>
                <c:pt idx="234">
                  <c:v>38.522220074486697</c:v>
                </c:pt>
                <c:pt idx="235">
                  <c:v>39.199029022511397</c:v>
                </c:pt>
                <c:pt idx="236">
                  <c:v>38.994992077880099</c:v>
                </c:pt>
                <c:pt idx="237">
                  <c:v>38.558119855760197</c:v>
                </c:pt>
                <c:pt idx="238">
                  <c:v>38.523438943215801</c:v>
                </c:pt>
                <c:pt idx="239">
                  <c:v>37.951135763560401</c:v>
                </c:pt>
                <c:pt idx="240">
                  <c:v>37.3219873750744</c:v>
                </c:pt>
                <c:pt idx="241">
                  <c:v>36.929590288939401</c:v>
                </c:pt>
                <c:pt idx="242">
                  <c:v>37.077414175641501</c:v>
                </c:pt>
                <c:pt idx="243">
                  <c:v>36.905670172037802</c:v>
                </c:pt>
                <c:pt idx="244">
                  <c:v>37.364110724335703</c:v>
                </c:pt>
                <c:pt idx="245">
                  <c:v>37.744059991978702</c:v>
                </c:pt>
                <c:pt idx="246">
                  <c:v>38.451154163460501</c:v>
                </c:pt>
                <c:pt idx="247">
                  <c:v>38.264715277809898</c:v>
                </c:pt>
                <c:pt idx="248">
                  <c:v>37.437937154580602</c:v>
                </c:pt>
                <c:pt idx="249">
                  <c:v>38.649393085200501</c:v>
                </c:pt>
                <c:pt idx="250">
                  <c:v>38.492626629082899</c:v>
                </c:pt>
                <c:pt idx="251">
                  <c:v>37.409015079073001</c:v>
                </c:pt>
                <c:pt idx="252">
                  <c:v>36.832495049798197</c:v>
                </c:pt>
                <c:pt idx="253">
                  <c:v>38.891737159288901</c:v>
                </c:pt>
                <c:pt idx="254">
                  <c:v>38.694481583835099</c:v>
                </c:pt>
                <c:pt idx="255">
                  <c:v>37.887614657947402</c:v>
                </c:pt>
                <c:pt idx="256">
                  <c:v>37.644267541068402</c:v>
                </c:pt>
                <c:pt idx="257">
                  <c:v>37.714892073714701</c:v>
                </c:pt>
                <c:pt idx="258">
                  <c:v>37.785516606361</c:v>
                </c:pt>
                <c:pt idx="259">
                  <c:v>38.3216019609401</c:v>
                </c:pt>
                <c:pt idx="260">
                  <c:v>38.709285472713503</c:v>
                </c:pt>
                <c:pt idx="261">
                  <c:v>37.456798997182503</c:v>
                </c:pt>
                <c:pt idx="262">
                  <c:v>36.844163778936199</c:v>
                </c:pt>
                <c:pt idx="263">
                  <c:v>38.224117367542597</c:v>
                </c:pt>
                <c:pt idx="264">
                  <c:v>37.1468579436063</c:v>
                </c:pt>
                <c:pt idx="265">
                  <c:v>36.717923589951901</c:v>
                </c:pt>
                <c:pt idx="266">
                  <c:v>36.1140824782252</c:v>
                </c:pt>
                <c:pt idx="267">
                  <c:v>35.4904756034882</c:v>
                </c:pt>
                <c:pt idx="268">
                  <c:v>34.9526329184134</c:v>
                </c:pt>
                <c:pt idx="269">
                  <c:v>34.733795326231601</c:v>
                </c:pt>
                <c:pt idx="270">
                  <c:v>36.320441281008002</c:v>
                </c:pt>
                <c:pt idx="271">
                  <c:v>37.5800935134939</c:v>
                </c:pt>
                <c:pt idx="272">
                  <c:v>37.006157454053998</c:v>
                </c:pt>
                <c:pt idx="273">
                  <c:v>35.932403876890902</c:v>
                </c:pt>
                <c:pt idx="274">
                  <c:v>36.254133463046898</c:v>
                </c:pt>
                <c:pt idx="275">
                  <c:v>36.390973332691502</c:v>
                </c:pt>
                <c:pt idx="276">
                  <c:v>36.008973915065198</c:v>
                </c:pt>
                <c:pt idx="277">
                  <c:v>35.9239697832028</c:v>
                </c:pt>
                <c:pt idx="278">
                  <c:v>35.838965651340402</c:v>
                </c:pt>
                <c:pt idx="279">
                  <c:v>35.502528596995298</c:v>
                </c:pt>
                <c:pt idx="280">
                  <c:v>36.699949187168897</c:v>
                </c:pt>
                <c:pt idx="281">
                  <c:v>36.536614010711297</c:v>
                </c:pt>
                <c:pt idx="282">
                  <c:v>35.3305826550299</c:v>
                </c:pt>
                <c:pt idx="283">
                  <c:v>34.201074692677899</c:v>
                </c:pt>
                <c:pt idx="284">
                  <c:v>34.403486905825503</c:v>
                </c:pt>
                <c:pt idx="285">
                  <c:v>33.855690507900697</c:v>
                </c:pt>
                <c:pt idx="286">
                  <c:v>33.351948487343698</c:v>
                </c:pt>
                <c:pt idx="287">
                  <c:v>32.841713263601797</c:v>
                </c:pt>
                <c:pt idx="288">
                  <c:v>32.4797632307071</c:v>
                </c:pt>
                <c:pt idx="289">
                  <c:v>32.103782964479898</c:v>
                </c:pt>
                <c:pt idx="290">
                  <c:v>31.742797573479098</c:v>
                </c:pt>
                <c:pt idx="291">
                  <c:v>31.381812182478299</c:v>
                </c:pt>
                <c:pt idx="292">
                  <c:v>26.831183762971801</c:v>
                </c:pt>
                <c:pt idx="293">
                  <c:v>34.518864171282701</c:v>
                </c:pt>
                <c:pt idx="294">
                  <c:v>35.2391245748125</c:v>
                </c:pt>
                <c:pt idx="295">
                  <c:v>35.778244035441197</c:v>
                </c:pt>
                <c:pt idx="296">
                  <c:v>35.945191989545997</c:v>
                </c:pt>
                <c:pt idx="297">
                  <c:v>38.786420794270299</c:v>
                </c:pt>
                <c:pt idx="298">
                  <c:v>37.327950427753798</c:v>
                </c:pt>
                <c:pt idx="299">
                  <c:v>36.144562939614801</c:v>
                </c:pt>
                <c:pt idx="300">
                  <c:v>34.735708502413402</c:v>
                </c:pt>
                <c:pt idx="301">
                  <c:v>33.465459648726799</c:v>
                </c:pt>
                <c:pt idx="302">
                  <c:v>32.308438444707399</c:v>
                </c:pt>
                <c:pt idx="303">
                  <c:v>31.300998297678699</c:v>
                </c:pt>
                <c:pt idx="304">
                  <c:v>30.469237327995899</c:v>
                </c:pt>
                <c:pt idx="305">
                  <c:v>30.168969211969401</c:v>
                </c:pt>
                <c:pt idx="306">
                  <c:v>32.0910279215949</c:v>
                </c:pt>
                <c:pt idx="307">
                  <c:v>31.862592664967799</c:v>
                </c:pt>
                <c:pt idx="308">
                  <c:v>31.4583462654731</c:v>
                </c:pt>
                <c:pt idx="309">
                  <c:v>31.062609024766999</c:v>
                </c:pt>
                <c:pt idx="310">
                  <c:v>30.994080608836001</c:v>
                </c:pt>
                <c:pt idx="311">
                  <c:v>32.7750177828378</c:v>
                </c:pt>
                <c:pt idx="312">
                  <c:v>32.065218593262003</c:v>
                </c:pt>
                <c:pt idx="313">
                  <c:v>34.802265302004301</c:v>
                </c:pt>
                <c:pt idx="314">
                  <c:v>36.065530825288597</c:v>
                </c:pt>
                <c:pt idx="315">
                  <c:v>34.739342932042398</c:v>
                </c:pt>
                <c:pt idx="316">
                  <c:v>34.122340470902699</c:v>
                </c:pt>
                <c:pt idx="317">
                  <c:v>34.492350777914901</c:v>
                </c:pt>
                <c:pt idx="318">
                  <c:v>34.037416416620601</c:v>
                </c:pt>
                <c:pt idx="319">
                  <c:v>37.0387419568141</c:v>
                </c:pt>
                <c:pt idx="320">
                  <c:v>36.461872022930798</c:v>
                </c:pt>
                <c:pt idx="321">
                  <c:v>35.498626930236597</c:v>
                </c:pt>
                <c:pt idx="322">
                  <c:v>35.928328229430001</c:v>
                </c:pt>
                <c:pt idx="323">
                  <c:v>35.126552158502001</c:v>
                </c:pt>
                <c:pt idx="324">
                  <c:v>34.1167529843746</c:v>
                </c:pt>
                <c:pt idx="325">
                  <c:v>33.224320606064701</c:v>
                </c:pt>
                <c:pt idx="326">
                  <c:v>32.518967356221502</c:v>
                </c:pt>
                <c:pt idx="327">
                  <c:v>31.557899166655702</c:v>
                </c:pt>
                <c:pt idx="328">
                  <c:v>30.590635727977698</c:v>
                </c:pt>
                <c:pt idx="329">
                  <c:v>29.7898125302466</c:v>
                </c:pt>
                <c:pt idx="330">
                  <c:v>29.1723054063017</c:v>
                </c:pt>
                <c:pt idx="331">
                  <c:v>28.944480207266501</c:v>
                </c:pt>
                <c:pt idx="332">
                  <c:v>28.5637140906992</c:v>
                </c:pt>
                <c:pt idx="333">
                  <c:v>28.3356722144595</c:v>
                </c:pt>
                <c:pt idx="334">
                  <c:v>27.8769048488621</c:v>
                </c:pt>
                <c:pt idx="335">
                  <c:v>27.662044485460701</c:v>
                </c:pt>
                <c:pt idx="336">
                  <c:v>27.326281992673099</c:v>
                </c:pt>
                <c:pt idx="337">
                  <c:v>27.385899725779801</c:v>
                </c:pt>
                <c:pt idx="338">
                  <c:v>29.5353925470143</c:v>
                </c:pt>
                <c:pt idx="339">
                  <c:v>34.779335249115498</c:v>
                </c:pt>
                <c:pt idx="340">
                  <c:v>33.206981250376501</c:v>
                </c:pt>
                <c:pt idx="341">
                  <c:v>34.350204460009799</c:v>
                </c:pt>
                <c:pt idx="342">
                  <c:v>34.704479509313899</c:v>
                </c:pt>
                <c:pt idx="343">
                  <c:v>32.800289756108803</c:v>
                </c:pt>
                <c:pt idx="344">
                  <c:v>31.089399471392699</c:v>
                </c:pt>
                <c:pt idx="345">
                  <c:v>29.9702984372367</c:v>
                </c:pt>
                <c:pt idx="346">
                  <c:v>28.691059373047299</c:v>
                </c:pt>
                <c:pt idx="347">
                  <c:v>25.651812184132002</c:v>
                </c:pt>
                <c:pt idx="348">
                  <c:v>25.644585580873201</c:v>
                </c:pt>
                <c:pt idx="349">
                  <c:v>25.704669784903</c:v>
                </c:pt>
                <c:pt idx="350">
                  <c:v>25.524946577219801</c:v>
                </c:pt>
                <c:pt idx="351">
                  <c:v>25.378913774904198</c:v>
                </c:pt>
                <c:pt idx="352">
                  <c:v>25.242158586146701</c:v>
                </c:pt>
                <c:pt idx="353">
                  <c:v>25.067398879416999</c:v>
                </c:pt>
                <c:pt idx="354">
                  <c:v>24.907534436572998</c:v>
                </c:pt>
                <c:pt idx="355">
                  <c:v>24.8047357611104</c:v>
                </c:pt>
                <c:pt idx="356">
                  <c:v>24.830965556009001</c:v>
                </c:pt>
                <c:pt idx="357">
                  <c:v>24.7153816619062</c:v>
                </c:pt>
                <c:pt idx="358">
                  <c:v>24.609987020952701</c:v>
                </c:pt>
                <c:pt idx="359">
                  <c:v>24.548865205684098</c:v>
                </c:pt>
                <c:pt idx="360">
                  <c:v>25.092118600356699</c:v>
                </c:pt>
                <c:pt idx="361">
                  <c:v>30.494581167153999</c:v>
                </c:pt>
                <c:pt idx="362">
                  <c:v>29.756301592032699</c:v>
                </c:pt>
                <c:pt idx="363">
                  <c:v>31.0129393030074</c:v>
                </c:pt>
                <c:pt idx="364">
                  <c:v>31.105628316753201</c:v>
                </c:pt>
                <c:pt idx="365">
                  <c:v>30.582460661745898</c:v>
                </c:pt>
                <c:pt idx="366">
                  <c:v>31.868333880808699</c:v>
                </c:pt>
                <c:pt idx="367">
                  <c:v>34.478083042584601</c:v>
                </c:pt>
                <c:pt idx="368">
                  <c:v>36.670393613875802</c:v>
                </c:pt>
                <c:pt idx="369">
                  <c:v>36.752385835974501</c:v>
                </c:pt>
                <c:pt idx="370">
                  <c:v>36.363554659059503</c:v>
                </c:pt>
                <c:pt idx="371">
                  <c:v>35.408974394312402</c:v>
                </c:pt>
                <c:pt idx="372">
                  <c:v>36.0267540933433</c:v>
                </c:pt>
                <c:pt idx="373">
                  <c:v>35.202150482981899</c:v>
                </c:pt>
                <c:pt idx="374">
                  <c:v>33.978632949764602</c:v>
                </c:pt>
                <c:pt idx="375">
                  <c:v>33.881251988418803</c:v>
                </c:pt>
                <c:pt idx="376">
                  <c:v>33.680472559087697</c:v>
                </c:pt>
                <c:pt idx="377">
                  <c:v>33.522864355579301</c:v>
                </c:pt>
                <c:pt idx="378">
                  <c:v>33.250008972594699</c:v>
                </c:pt>
                <c:pt idx="379">
                  <c:v>32.920701844085499</c:v>
                </c:pt>
                <c:pt idx="380">
                  <c:v>32.6365692391377</c:v>
                </c:pt>
                <c:pt idx="381">
                  <c:v>32.901828619733003</c:v>
                </c:pt>
                <c:pt idx="382">
                  <c:v>33.843721689773297</c:v>
                </c:pt>
                <c:pt idx="383">
                  <c:v>33.8397785579551</c:v>
                </c:pt>
                <c:pt idx="384">
                  <c:v>34.362193350928102</c:v>
                </c:pt>
                <c:pt idx="385">
                  <c:v>36.151065321793602</c:v>
                </c:pt>
                <c:pt idx="386">
                  <c:v>35.102276247107497</c:v>
                </c:pt>
                <c:pt idx="387">
                  <c:v>34.589577186762</c:v>
                </c:pt>
                <c:pt idx="388">
                  <c:v>34.597926126721703</c:v>
                </c:pt>
                <c:pt idx="389">
                  <c:v>35.034692047449397</c:v>
                </c:pt>
                <c:pt idx="390">
                  <c:v>34.742557310828197</c:v>
                </c:pt>
                <c:pt idx="391">
                  <c:v>34.420257618638402</c:v>
                </c:pt>
                <c:pt idx="392">
                  <c:v>34.0611903858197</c:v>
                </c:pt>
              </c:numCache>
            </c:numRef>
          </c:xVal>
          <c:yVal>
            <c:numRef>
              <c:f>selhausen_SM_Kdose_daily!$C$8:$C$400</c:f>
              <c:numCache>
                <c:formatCode>General</c:formatCode>
                <c:ptCount val="393"/>
                <c:pt idx="0">
                  <c:v>9.8397584076850304</c:v>
                </c:pt>
                <c:pt idx="1">
                  <c:v>9.8460448870814918</c:v>
                </c:pt>
                <c:pt idx="2">
                  <c:v>9.8992351203092941</c:v>
                </c:pt>
                <c:pt idx="3">
                  <c:v>9.9530031627685815</c:v>
                </c:pt>
                <c:pt idx="4">
                  <c:v>10.00735848105076</c:v>
                </c:pt>
                <c:pt idx="5">
                  <c:v>10.062310749678465</c:v>
                </c:pt>
                <c:pt idx="6">
                  <c:v>10.078033794452619</c:v>
                </c:pt>
                <c:pt idx="7">
                  <c:v>10.091028566219775</c:v>
                </c:pt>
                <c:pt idx="8">
                  <c:v>10.104841649759971</c:v>
                </c:pt>
                <c:pt idx="9">
                  <c:v>10.131713107110432</c:v>
                </c:pt>
                <c:pt idx="10">
                  <c:v>10.155138406643115</c:v>
                </c:pt>
                <c:pt idx="11">
                  <c:v>10.166074169309233</c:v>
                </c:pt>
                <c:pt idx="12">
                  <c:v>10.182233953202383</c:v>
                </c:pt>
                <c:pt idx="13">
                  <c:v>10.200558272796837</c:v>
                </c:pt>
                <c:pt idx="14">
                  <c:v>10.163462605541095</c:v>
                </c:pt>
                <c:pt idx="15">
                  <c:v>10.166566349088319</c:v>
                </c:pt>
                <c:pt idx="16">
                  <c:v>10.188147060370115</c:v>
                </c:pt>
                <c:pt idx="17">
                  <c:v>10.201555179937763</c:v>
                </c:pt>
                <c:pt idx="18">
                  <c:v>10.037772915372145</c:v>
                </c:pt>
                <c:pt idx="19">
                  <c:v>10.052397949561223</c:v>
                </c:pt>
                <c:pt idx="20">
                  <c:v>10.071983452320108</c:v>
                </c:pt>
                <c:pt idx="21">
                  <c:v>10.132669712138147</c:v>
                </c:pt>
                <c:pt idx="22">
                  <c:v>10.195558661436486</c:v>
                </c:pt>
                <c:pt idx="23">
                  <c:v>10.233650104217043</c:v>
                </c:pt>
                <c:pt idx="24">
                  <c:v>10.276873135942676</c:v>
                </c:pt>
                <c:pt idx="25">
                  <c:v>10.298585181778659</c:v>
                </c:pt>
                <c:pt idx="26">
                  <c:v>10.306930154688756</c:v>
                </c:pt>
                <c:pt idx="27">
                  <c:v>10.305895520063741</c:v>
                </c:pt>
                <c:pt idx="28">
                  <c:v>10.311298768067395</c:v>
                </c:pt>
                <c:pt idx="29">
                  <c:v>10.313951394142304</c:v>
                </c:pt>
                <c:pt idx="30">
                  <c:v>10.11826660346947</c:v>
                </c:pt>
                <c:pt idx="31">
                  <c:v>9.7426209563510255</c:v>
                </c:pt>
                <c:pt idx="32">
                  <c:v>9.6790262636722098</c:v>
                </c:pt>
                <c:pt idx="33">
                  <c:v>9.6692542878298848</c:v>
                </c:pt>
                <c:pt idx="34">
                  <c:v>9.7677539015990718</c:v>
                </c:pt>
                <c:pt idx="35">
                  <c:v>9.8343118959949276</c:v>
                </c:pt>
                <c:pt idx="36">
                  <c:v>9.8763038151644285</c:v>
                </c:pt>
                <c:pt idx="37">
                  <c:v>9.7633486587246576</c:v>
                </c:pt>
                <c:pt idx="38">
                  <c:v>9.6928085853724362</c:v>
                </c:pt>
                <c:pt idx="39">
                  <c:v>9.8105807709428561</c:v>
                </c:pt>
                <c:pt idx="40">
                  <c:v>9.8884121011432207</c:v>
                </c:pt>
                <c:pt idx="41">
                  <c:v>9.9442479056821487</c:v>
                </c:pt>
                <c:pt idx="42">
                  <c:v>9.9804918499852775</c:v>
                </c:pt>
                <c:pt idx="43">
                  <c:v>10.010268129482133</c:v>
                </c:pt>
                <c:pt idx="44">
                  <c:v>10.017275918771796</c:v>
                </c:pt>
                <c:pt idx="45">
                  <c:v>10.025709075669315</c:v>
                </c:pt>
                <c:pt idx="46">
                  <c:v>10.053251901180701</c:v>
                </c:pt>
                <c:pt idx="47">
                  <c:v>10.088756064195749</c:v>
                </c:pt>
                <c:pt idx="48">
                  <c:v>10.08760435490435</c:v>
                </c:pt>
                <c:pt idx="49">
                  <c:v>9.8464563123842659</c:v>
                </c:pt>
                <c:pt idx="50">
                  <c:v>9.8135652491371719</c:v>
                </c:pt>
                <c:pt idx="51">
                  <c:v>9.915201220026276</c:v>
                </c:pt>
                <c:pt idx="52">
                  <c:v>9.9650880692475958</c:v>
                </c:pt>
                <c:pt idx="53">
                  <c:v>9.8711758736217039</c:v>
                </c:pt>
                <c:pt idx="54">
                  <c:v>9.7755891515037696</c:v>
                </c:pt>
                <c:pt idx="55">
                  <c:v>9.6433704699430525</c:v>
                </c:pt>
                <c:pt idx="56">
                  <c:v>9.6964459218828569</c:v>
                </c:pt>
                <c:pt idx="57">
                  <c:v>9.8259051487255551</c:v>
                </c:pt>
                <c:pt idx="58">
                  <c:v>9.9358605305441721</c:v>
                </c:pt>
                <c:pt idx="59">
                  <c:v>10.018523255796939</c:v>
                </c:pt>
                <c:pt idx="60">
                  <c:v>10.061180060005864</c:v>
                </c:pt>
                <c:pt idx="61">
                  <c:v>9.957292334952653</c:v>
                </c:pt>
                <c:pt idx="62">
                  <c:v>9.9957138494666484</c:v>
                </c:pt>
                <c:pt idx="63">
                  <c:v>10.065332629715586</c:v>
                </c:pt>
                <c:pt idx="64">
                  <c:v>10.691308879593405</c:v>
                </c:pt>
                <c:pt idx="65">
                  <c:v>10.808334087303344</c:v>
                </c:pt>
                <c:pt idx="66">
                  <c:v>10.934315492167633</c:v>
                </c:pt>
                <c:pt idx="67">
                  <c:v>11.018676725182692</c:v>
                </c:pt>
                <c:pt idx="68">
                  <c:v>10.675389378325717</c:v>
                </c:pt>
                <c:pt idx="69">
                  <c:v>10.478664750488178</c:v>
                </c:pt>
                <c:pt idx="70">
                  <c:v>10.618240999569824</c:v>
                </c:pt>
                <c:pt idx="71">
                  <c:v>10.70265538862269</c:v>
                </c:pt>
                <c:pt idx="72">
                  <c:v>10.770403649937411</c:v>
                </c:pt>
                <c:pt idx="73">
                  <c:v>10.765012020548108</c:v>
                </c:pt>
                <c:pt idx="74">
                  <c:v>10.651190847940001</c:v>
                </c:pt>
                <c:pt idx="75">
                  <c:v>10.282709872163217</c:v>
                </c:pt>
                <c:pt idx="76">
                  <c:v>10.188501385243216</c:v>
                </c:pt>
                <c:pt idx="77">
                  <c:v>10.307177705426806</c:v>
                </c:pt>
                <c:pt idx="78">
                  <c:v>10.425634719459286</c:v>
                </c:pt>
                <c:pt idx="79">
                  <c:v>10.564577982571411</c:v>
                </c:pt>
                <c:pt idx="80">
                  <c:v>10.692121783182765</c:v>
                </c:pt>
                <c:pt idx="81">
                  <c:v>10.995081047236264</c:v>
                </c:pt>
                <c:pt idx="82">
                  <c:v>11.022126195432271</c:v>
                </c:pt>
                <c:pt idx="83">
                  <c:v>11.052187408180114</c:v>
                </c:pt>
                <c:pt idx="84">
                  <c:v>11.08173860733422</c:v>
                </c:pt>
                <c:pt idx="85">
                  <c:v>11.116649190690614</c:v>
                </c:pt>
                <c:pt idx="86">
                  <c:v>10.990711324682385</c:v>
                </c:pt>
                <c:pt idx="87">
                  <c:v>10.398467492886311</c:v>
                </c:pt>
                <c:pt idx="88">
                  <c:v>10.477176250285897</c:v>
                </c:pt>
                <c:pt idx="89">
                  <c:v>10.563341735430187</c:v>
                </c:pt>
                <c:pt idx="90">
                  <c:v>10.603772329814532</c:v>
                </c:pt>
                <c:pt idx="91">
                  <c:v>10.608867324125686</c:v>
                </c:pt>
                <c:pt idx="92">
                  <c:v>10.645379155285335</c:v>
                </c:pt>
                <c:pt idx="93">
                  <c:v>10.697586658215339</c:v>
                </c:pt>
                <c:pt idx="94">
                  <c:v>10.765598447252003</c:v>
                </c:pt>
                <c:pt idx="95">
                  <c:v>10.753825462586537</c:v>
                </c:pt>
                <c:pt idx="96">
                  <c:v>10.545546229382058</c:v>
                </c:pt>
                <c:pt idx="97">
                  <c:v>10.497537179196009</c:v>
                </c:pt>
                <c:pt idx="98">
                  <c:v>10.59085540107159</c:v>
                </c:pt>
                <c:pt idx="99">
                  <c:v>10.672675281964789</c:v>
                </c:pt>
                <c:pt idx="100">
                  <c:v>10.733271176142425</c:v>
                </c:pt>
                <c:pt idx="101">
                  <c:v>10.782641325466388</c:v>
                </c:pt>
                <c:pt idx="102">
                  <c:v>10.824712422482795</c:v>
                </c:pt>
                <c:pt idx="103">
                  <c:v>10.859857874295384</c:v>
                </c:pt>
                <c:pt idx="104">
                  <c:v>10.8911755864229</c:v>
                </c:pt>
                <c:pt idx="105">
                  <c:v>10.92539669456437</c:v>
                </c:pt>
                <c:pt idx="106">
                  <c:v>10.961416090335145</c:v>
                </c:pt>
                <c:pt idx="107">
                  <c:v>10.987884119151445</c:v>
                </c:pt>
                <c:pt idx="108">
                  <c:v>10.99029130119917</c:v>
                </c:pt>
                <c:pt idx="109">
                  <c:v>11.01245380315379</c:v>
                </c:pt>
                <c:pt idx="110">
                  <c:v>11.052224245548677</c:v>
                </c:pt>
                <c:pt idx="111">
                  <c:v>11.1094298361608</c:v>
                </c:pt>
                <c:pt idx="112">
                  <c:v>11.168880505450653</c:v>
                </c:pt>
                <c:pt idx="113">
                  <c:v>11.218532964526181</c:v>
                </c:pt>
                <c:pt idx="114">
                  <c:v>11.275299618547221</c:v>
                </c:pt>
                <c:pt idx="115">
                  <c:v>11.34363497163887</c:v>
                </c:pt>
                <c:pt idx="116">
                  <c:v>11.418898315227677</c:v>
                </c:pt>
                <c:pt idx="117">
                  <c:v>11.437590824563891</c:v>
                </c:pt>
                <c:pt idx="118">
                  <c:v>11.414775496684589</c:v>
                </c:pt>
                <c:pt idx="119">
                  <c:v>11.37378054802662</c:v>
                </c:pt>
                <c:pt idx="120">
                  <c:v>11.357080709523769</c:v>
                </c:pt>
                <c:pt idx="121">
                  <c:v>11.36476886613058</c:v>
                </c:pt>
                <c:pt idx="122">
                  <c:v>11.337892718174643</c:v>
                </c:pt>
                <c:pt idx="123">
                  <c:v>10.970541500900275</c:v>
                </c:pt>
                <c:pt idx="124">
                  <c:v>10.407821040546102</c:v>
                </c:pt>
                <c:pt idx="125">
                  <c:v>10.059634523034555</c:v>
                </c:pt>
                <c:pt idx="126">
                  <c:v>10.135058868989011</c:v>
                </c:pt>
                <c:pt idx="127">
                  <c:v>10.087678912844506</c:v>
                </c:pt>
                <c:pt idx="128">
                  <c:v>9.9974743606431815</c:v>
                </c:pt>
                <c:pt idx="129">
                  <c:v>9.9143650058753767</c:v>
                </c:pt>
                <c:pt idx="130">
                  <c:v>9.9556285002384186</c:v>
                </c:pt>
                <c:pt idx="131">
                  <c:v>9.8321957143761747</c:v>
                </c:pt>
                <c:pt idx="132">
                  <c:v>9.9043955166575177</c:v>
                </c:pt>
                <c:pt idx="133">
                  <c:v>9.9883223434242154</c:v>
                </c:pt>
                <c:pt idx="134">
                  <c:v>9.9519728053607235</c:v>
                </c:pt>
                <c:pt idx="135">
                  <c:v>9.8710415319094977</c:v>
                </c:pt>
                <c:pt idx="136">
                  <c:v>9.8535376519693223</c:v>
                </c:pt>
                <c:pt idx="137">
                  <c:v>9.899468438984707</c:v>
                </c:pt>
                <c:pt idx="138">
                  <c:v>10.174014744880584</c:v>
                </c:pt>
                <c:pt idx="139">
                  <c:v>10.224065451686757</c:v>
                </c:pt>
                <c:pt idx="140">
                  <c:v>10.188872660860953</c:v>
                </c:pt>
                <c:pt idx="141">
                  <c:v>10.158137308262489</c:v>
                </c:pt>
                <c:pt idx="142">
                  <c:v>10.18273599425893</c:v>
                </c:pt>
                <c:pt idx="143">
                  <c:v>10.200061101558722</c:v>
                </c:pt>
                <c:pt idx="144">
                  <c:v>10.078402701118518</c:v>
                </c:pt>
                <c:pt idx="145">
                  <c:v>9.8657258494876601</c:v>
                </c:pt>
                <c:pt idx="146">
                  <c:v>9.762432461926652</c:v>
                </c:pt>
                <c:pt idx="147">
                  <c:v>9.8777172140612386</c:v>
                </c:pt>
                <c:pt idx="148">
                  <c:v>9.8282598652261015</c:v>
                </c:pt>
                <c:pt idx="149">
                  <c:v>9.6909250695877933</c:v>
                </c:pt>
                <c:pt idx="150">
                  <c:v>9.7227418401391876</c:v>
                </c:pt>
                <c:pt idx="151">
                  <c:v>9.8168442314618893</c:v>
                </c:pt>
                <c:pt idx="152">
                  <c:v>9.7014817862241642</c:v>
                </c:pt>
                <c:pt idx="153">
                  <c:v>9.6622666681983542</c:v>
                </c:pt>
                <c:pt idx="154">
                  <c:v>9.6722779914112742</c:v>
                </c:pt>
                <c:pt idx="155">
                  <c:v>9.6895299536118369</c:v>
                </c:pt>
                <c:pt idx="156">
                  <c:v>9.6522439023919215</c:v>
                </c:pt>
                <c:pt idx="157">
                  <c:v>9.7350592399496474</c:v>
                </c:pt>
                <c:pt idx="158">
                  <c:v>9.7861251694221814</c:v>
                </c:pt>
                <c:pt idx="159">
                  <c:v>9.6502746402774644</c:v>
                </c:pt>
                <c:pt idx="160">
                  <c:v>9.6230276963632537</c:v>
                </c:pt>
                <c:pt idx="161">
                  <c:v>9.6263671626757148</c:v>
                </c:pt>
                <c:pt idx="162">
                  <c:v>9.4912193360118184</c:v>
                </c:pt>
                <c:pt idx="163">
                  <c:v>9.5343346773356767</c:v>
                </c:pt>
                <c:pt idx="164">
                  <c:v>9.6361480889582811</c:v>
                </c:pt>
                <c:pt idx="165">
                  <c:v>9.6647732184856974</c:v>
                </c:pt>
                <c:pt idx="166">
                  <c:v>9.6878420720223328</c:v>
                </c:pt>
                <c:pt idx="167">
                  <c:v>9.7308711360657956</c:v>
                </c:pt>
                <c:pt idx="168">
                  <c:v>9.7900205646203879</c:v>
                </c:pt>
                <c:pt idx="169">
                  <c:v>9.7472046643992805</c:v>
                </c:pt>
                <c:pt idx="170">
                  <c:v>9.5370046876160437</c:v>
                </c:pt>
                <c:pt idx="171">
                  <c:v>9.5802628164422661</c:v>
                </c:pt>
                <c:pt idx="172">
                  <c:v>9.647050988011955</c:v>
                </c:pt>
                <c:pt idx="173">
                  <c:v>9.6340724740940615</c:v>
                </c:pt>
                <c:pt idx="174">
                  <c:v>9.6283590298912554</c:v>
                </c:pt>
                <c:pt idx="175">
                  <c:v>9.6191108838572408</c:v>
                </c:pt>
                <c:pt idx="176">
                  <c:v>9.6204754791127165</c:v>
                </c:pt>
                <c:pt idx="177">
                  <c:v>9.5636030834614463</c:v>
                </c:pt>
                <c:pt idx="178">
                  <c:v>9.5277313804386239</c:v>
                </c:pt>
                <c:pt idx="179">
                  <c:v>9.5823663426778367</c:v>
                </c:pt>
                <c:pt idx="180">
                  <c:v>9.5988010618395112</c:v>
                </c:pt>
                <c:pt idx="181">
                  <c:v>9.6303867317339211</c:v>
                </c:pt>
                <c:pt idx="182">
                  <c:v>9.6623953297922753</c:v>
                </c:pt>
                <c:pt idx="183">
                  <c:v>9.6947670155439756</c:v>
                </c:pt>
                <c:pt idx="184">
                  <c:v>9.669630935035503</c:v>
                </c:pt>
                <c:pt idx="185">
                  <c:v>9.5291816044585573</c:v>
                </c:pt>
                <c:pt idx="186">
                  <c:v>9.5151730759705071</c:v>
                </c:pt>
                <c:pt idx="187">
                  <c:v>9.4161892420540685</c:v>
                </c:pt>
                <c:pt idx="188">
                  <c:v>9.4574645418386822</c:v>
                </c:pt>
                <c:pt idx="189">
                  <c:v>9.4822377444983772</c:v>
                </c:pt>
                <c:pt idx="190">
                  <c:v>9.462386692375059</c:v>
                </c:pt>
                <c:pt idx="191">
                  <c:v>9.4837770677292053</c:v>
                </c:pt>
                <c:pt idx="192">
                  <c:v>9.5368901558876935</c:v>
                </c:pt>
                <c:pt idx="193">
                  <c:v>9.5857109076242271</c:v>
                </c:pt>
                <c:pt idx="194">
                  <c:v>9.5838577521437571</c:v>
                </c:pt>
                <c:pt idx="195">
                  <c:v>9.5328132313182952</c:v>
                </c:pt>
                <c:pt idx="196">
                  <c:v>9.5782650033078927</c:v>
                </c:pt>
                <c:pt idx="197">
                  <c:v>9.6164439708278699</c:v>
                </c:pt>
                <c:pt idx="198">
                  <c:v>9.4786261828791449</c:v>
                </c:pt>
                <c:pt idx="199">
                  <c:v>9.4605385847511556</c:v>
                </c:pt>
                <c:pt idx="200">
                  <c:v>9.4150245657251013</c:v>
                </c:pt>
                <c:pt idx="201">
                  <c:v>9.4895457221773558</c:v>
                </c:pt>
                <c:pt idx="202">
                  <c:v>9.446948382336922</c:v>
                </c:pt>
                <c:pt idx="203">
                  <c:v>9.4573249887514628</c:v>
                </c:pt>
                <c:pt idx="204">
                  <c:v>9.5214200251889682</c:v>
                </c:pt>
                <c:pt idx="205">
                  <c:v>9.5312303941701408</c:v>
                </c:pt>
                <c:pt idx="206">
                  <c:v>9.5300373779291121</c:v>
                </c:pt>
                <c:pt idx="207">
                  <c:v>9.5289233373421016</c:v>
                </c:pt>
                <c:pt idx="208">
                  <c:v>9.5309970339887169</c:v>
                </c:pt>
                <c:pt idx="209">
                  <c:v>9.533071633392888</c:v>
                </c:pt>
                <c:pt idx="210">
                  <c:v>9.5351471361442552</c:v>
                </c:pt>
                <c:pt idx="211">
                  <c:v>9.537223542832967</c:v>
                </c:pt>
                <c:pt idx="212">
                  <c:v>9.5393008540496869</c:v>
                </c:pt>
                <c:pt idx="213">
                  <c:v>9.5413790703856005</c:v>
                </c:pt>
                <c:pt idx="214">
                  <c:v>9.5434581924323822</c:v>
                </c:pt>
                <c:pt idx="215">
                  <c:v>9.5455382207822481</c:v>
                </c:pt>
                <c:pt idx="216">
                  <c:v>9.5476191560279258</c:v>
                </c:pt>
                <c:pt idx="217">
                  <c:v>9.5497009987626527</c:v>
                </c:pt>
                <c:pt idx="218">
                  <c:v>9.5517837495801885</c:v>
                </c:pt>
                <c:pt idx="219">
                  <c:v>9.5781619585911439</c:v>
                </c:pt>
                <c:pt idx="220">
                  <c:v>9.5954782123953564</c:v>
                </c:pt>
                <c:pt idx="221">
                  <c:v>9.6340200164995444</c:v>
                </c:pt>
                <c:pt idx="222">
                  <c:v>9.5752306728528094</c:v>
                </c:pt>
                <c:pt idx="223">
                  <c:v>9.6014384938428776</c:v>
                </c:pt>
                <c:pt idx="224">
                  <c:v>9.6653774048764109</c:v>
                </c:pt>
                <c:pt idx="225">
                  <c:v>9.6953850994702915</c:v>
                </c:pt>
                <c:pt idx="226">
                  <c:v>9.7161976467595697</c:v>
                </c:pt>
                <c:pt idx="227">
                  <c:v>9.7444605372215474</c:v>
                </c:pt>
                <c:pt idx="228">
                  <c:v>9.6611987250400517</c:v>
                </c:pt>
                <c:pt idx="229">
                  <c:v>9.6987316060012887</c:v>
                </c:pt>
                <c:pt idx="230">
                  <c:v>9.7278386734636584</c:v>
                </c:pt>
                <c:pt idx="231">
                  <c:v>9.6110276364678313</c:v>
                </c:pt>
                <c:pt idx="232">
                  <c:v>9.6492631957915656</c:v>
                </c:pt>
                <c:pt idx="233">
                  <c:v>9.7432166917966399</c:v>
                </c:pt>
                <c:pt idx="234">
                  <c:v>9.5500457874598421</c:v>
                </c:pt>
                <c:pt idx="235">
                  <c:v>9.4919240877701974</c:v>
                </c:pt>
                <c:pt idx="236">
                  <c:v>9.5093713536582438</c:v>
                </c:pt>
                <c:pt idx="237">
                  <c:v>9.5469449844243677</c:v>
                </c:pt>
                <c:pt idx="238">
                  <c:v>9.54994047601825</c:v>
                </c:pt>
                <c:pt idx="239">
                  <c:v>9.5996448368328249</c:v>
                </c:pt>
                <c:pt idx="240">
                  <c:v>9.6548866516686758</c:v>
                </c:pt>
                <c:pt idx="241">
                  <c:v>9.6896638159545461</c:v>
                </c:pt>
                <c:pt idx="242">
                  <c:v>9.6765331842283757</c:v>
                </c:pt>
                <c:pt idx="243">
                  <c:v>9.6917918990991225</c:v>
                </c:pt>
                <c:pt idx="244">
                  <c:v>9.6511681972415495</c:v>
                </c:pt>
                <c:pt idx="245">
                  <c:v>9.6177570182243226</c:v>
                </c:pt>
                <c:pt idx="246">
                  <c:v>9.5561899693013856</c:v>
                </c:pt>
                <c:pt idx="247">
                  <c:v>9.5723466519666207</c:v>
                </c:pt>
                <c:pt idx="248">
                  <c:v>9.644658045787569</c:v>
                </c:pt>
                <c:pt idx="249">
                  <c:v>9.5390704226153744</c:v>
                </c:pt>
                <c:pt idx="250">
                  <c:v>9.5526034028474083</c:v>
                </c:pt>
                <c:pt idx="251">
                  <c:v>9.6472074013384219</c:v>
                </c:pt>
                <c:pt idx="252">
                  <c:v>9.6983078230329216</c:v>
                </c:pt>
                <c:pt idx="253">
                  <c:v>9.5182251807326637</c:v>
                </c:pt>
                <c:pt idx="254">
                  <c:v>9.535185221835329</c:v>
                </c:pt>
                <c:pt idx="255">
                  <c:v>9.6051935444230541</c:v>
                </c:pt>
                <c:pt idx="256">
                  <c:v>9.6265099361796871</c:v>
                </c:pt>
                <c:pt idx="257">
                  <c:v>9.6203137253062145</c:v>
                </c:pt>
                <c:pt idx="258">
                  <c:v>9.614125485822834</c:v>
                </c:pt>
                <c:pt idx="259">
                  <c:v>9.5674110972654667</c:v>
                </c:pt>
                <c:pt idx="260">
                  <c:v>9.5339102854508049</c:v>
                </c:pt>
                <c:pt idx="261">
                  <c:v>9.642996181903678</c:v>
                </c:pt>
                <c:pt idx="262">
                  <c:v>9.6972681867348687</c:v>
                </c:pt>
                <c:pt idx="263">
                  <c:v>9.5758720887993949</c:v>
                </c:pt>
                <c:pt idx="264">
                  <c:v>9.6703770372665545</c:v>
                </c:pt>
                <c:pt idx="265">
                  <c:v>9.708527526199763</c:v>
                </c:pt>
                <c:pt idx="266">
                  <c:v>9.7627476634892307</c:v>
                </c:pt>
                <c:pt idx="267">
                  <c:v>9.819381973953595</c:v>
                </c:pt>
                <c:pt idx="268">
                  <c:v>9.8687578047211169</c:v>
                </c:pt>
                <c:pt idx="269">
                  <c:v>9.8889902732014221</c:v>
                </c:pt>
                <c:pt idx="270">
                  <c:v>9.7441502930417219</c:v>
                </c:pt>
                <c:pt idx="271">
                  <c:v>9.6321471404530463</c:v>
                </c:pt>
                <c:pt idx="272">
                  <c:v>9.6828582013252777</c:v>
                </c:pt>
                <c:pt idx="273">
                  <c:v>9.7791796765708501</c:v>
                </c:pt>
                <c:pt idx="274">
                  <c:v>9.7501183244606366</c:v>
                </c:pt>
                <c:pt idx="275">
                  <c:v>9.7378100735201318</c:v>
                </c:pt>
                <c:pt idx="276">
                  <c:v>9.7722475217711278</c:v>
                </c:pt>
                <c:pt idx="277">
                  <c:v>9.7799438460923103</c:v>
                </c:pt>
                <c:pt idx="278">
                  <c:v>9.7876523027495033</c:v>
                </c:pt>
                <c:pt idx="279">
                  <c:v>9.8182811267479142</c:v>
                </c:pt>
                <c:pt idx="280">
                  <c:v>9.7101327866614131</c:v>
                </c:pt>
                <c:pt idx="281">
                  <c:v>9.724744313185397</c:v>
                </c:pt>
                <c:pt idx="282">
                  <c:v>9.8340090180933419</c:v>
                </c:pt>
                <c:pt idx="283">
                  <c:v>9.9385910861662161</c:v>
                </c:pt>
                <c:pt idx="284">
                  <c:v>9.9196862909245951</c:v>
                </c:pt>
                <c:pt idx="285">
                  <c:v>9.9710160266904975</c:v>
                </c:pt>
                <c:pt idx="286">
                  <c:v>10.018688862640644</c:v>
                </c:pt>
                <c:pt idx="287">
                  <c:v>10.067443172945888</c:v>
                </c:pt>
                <c:pt idx="288">
                  <c:v>10.102317136512905</c:v>
                </c:pt>
                <c:pt idx="289">
                  <c:v>10.13879967889668</c:v>
                </c:pt>
                <c:pt idx="290">
                  <c:v>10.17407602962661</c:v>
                </c:pt>
                <c:pt idx="291">
                  <c:v>10.209598714408612</c:v>
                </c:pt>
                <c:pt idx="292">
                  <c:v>10.679654898602825</c:v>
                </c:pt>
                <c:pt idx="293">
                  <c:v>9.9089424890366509</c:v>
                </c:pt>
                <c:pt idx="294">
                  <c:v>9.8423952330105191</c:v>
                </c:pt>
                <c:pt idx="295">
                  <c:v>9.7931661849297953</c:v>
                </c:pt>
                <c:pt idx="296">
                  <c:v>9.7780212397324124</c:v>
                </c:pt>
                <c:pt idx="297">
                  <c:v>9.5272727713156531</c:v>
                </c:pt>
                <c:pt idx="298">
                  <c:v>9.6543600868698682</c:v>
                </c:pt>
                <c:pt idx="299">
                  <c:v>9.75999625067168</c:v>
                </c:pt>
                <c:pt idx="300">
                  <c:v>9.8888130324489243</c:v>
                </c:pt>
                <c:pt idx="301">
                  <c:v>10.007906716608336</c:v>
                </c:pt>
                <c:pt idx="302">
                  <c:v>10.118908702466243</c:v>
                </c:pt>
                <c:pt idx="303">
                  <c:v>10.217585194780284</c:v>
                </c:pt>
                <c:pt idx="304">
                  <c:v>10.300516463544172</c:v>
                </c:pt>
                <c:pt idx="305">
                  <c:v>10.330786581527647</c:v>
                </c:pt>
                <c:pt idx="306">
                  <c:v>10.140041962411185</c:v>
                </c:pt>
                <c:pt idx="307">
                  <c:v>10.162342185333564</c:v>
                </c:pt>
                <c:pt idx="308">
                  <c:v>10.202046690318769</c:v>
                </c:pt>
                <c:pt idx="309">
                  <c:v>10.241217117311784</c:v>
                </c:pt>
                <c:pt idx="310">
                  <c:v>10.248030694625278</c:v>
                </c:pt>
                <c:pt idx="311">
                  <c:v>10.073851189569918</c:v>
                </c:pt>
                <c:pt idx="312">
                  <c:v>10.142556605767632</c:v>
                </c:pt>
                <c:pt idx="313">
                  <c:v>9.882651020157537</c:v>
                </c:pt>
                <c:pt idx="314">
                  <c:v>9.7671335330761924</c:v>
                </c:pt>
                <c:pt idx="315">
                  <c:v>9.8884763485766261</c:v>
                </c:pt>
                <c:pt idx="316">
                  <c:v>9.9459641459457941</c:v>
                </c:pt>
                <c:pt idx="317">
                  <c:v>9.9114093265241205</c:v>
                </c:pt>
                <c:pt idx="318">
                  <c:v>9.953929125346475</c:v>
                </c:pt>
                <c:pt idx="319">
                  <c:v>9.6799648514419996</c:v>
                </c:pt>
                <c:pt idx="320">
                  <c:v>9.7314452061557546</c:v>
                </c:pt>
                <c:pt idx="321">
                  <c:v>9.8186374542679324</c:v>
                </c:pt>
                <c:pt idx="322">
                  <c:v>9.7795489349550984</c:v>
                </c:pt>
                <c:pt idx="323">
                  <c:v>9.8527371772321661</c:v>
                </c:pt>
                <c:pt idx="324">
                  <c:v>9.9464878014067413</c:v>
                </c:pt>
                <c:pt idx="325">
                  <c:v>10.030839701001446</c:v>
                </c:pt>
                <c:pt idx="326">
                  <c:v>10.098528147434171</c:v>
                </c:pt>
                <c:pt idx="327">
                  <c:v>10.192239979419083</c:v>
                </c:pt>
                <c:pt idx="328">
                  <c:v>10.288328552032789</c:v>
                </c:pt>
                <c:pt idx="329">
                  <c:v>10.369264588069456</c:v>
                </c:pt>
                <c:pt idx="330">
                  <c:v>10.43254843076458</c:v>
                </c:pt>
                <c:pt idx="331">
                  <c:v>10.456092095889776</c:v>
                </c:pt>
                <c:pt idx="332">
                  <c:v>10.495678926742038</c:v>
                </c:pt>
                <c:pt idx="333">
                  <c:v>10.51953143430679</c:v>
                </c:pt>
                <c:pt idx="334">
                  <c:v>10.567847096674589</c:v>
                </c:pt>
                <c:pt idx="335">
                  <c:v>10.590628320858851</c:v>
                </c:pt>
                <c:pt idx="336">
                  <c:v>10.626425897663177</c:v>
                </c:pt>
                <c:pt idx="337">
                  <c:v>10.620052047850104</c:v>
                </c:pt>
                <c:pt idx="338">
                  <c:v>10.395245022607776</c:v>
                </c:pt>
                <c:pt idx="339">
                  <c:v>9.8847730804756573</c:v>
                </c:pt>
                <c:pt idx="340">
                  <c:v>10.032492772376031</c:v>
                </c:pt>
                <c:pt idx="341">
                  <c:v>9.9246557606155026</c:v>
                </c:pt>
                <c:pt idx="342">
                  <c:v>9.8917069482641455</c:v>
                </c:pt>
                <c:pt idx="343">
                  <c:v>10.071422130991323</c:v>
                </c:pt>
                <c:pt idx="344">
                  <c:v>10.238555885313726</c:v>
                </c:pt>
                <c:pt idx="345">
                  <c:v>10.350912630364906</c:v>
                </c:pt>
                <c:pt idx="346">
                  <c:v>10.482405994479002</c:v>
                </c:pt>
                <c:pt idx="347">
                  <c:v>10.808625537778987</c:v>
                </c:pt>
                <c:pt idx="348">
                  <c:v>10.809425408494473</c:v>
                </c:pt>
                <c:pt idx="349">
                  <c:v>10.80277863464927</c:v>
                </c:pt>
                <c:pt idx="350">
                  <c:v>10.822684779122014</c:v>
                </c:pt>
                <c:pt idx="351">
                  <c:v>10.838913477266221</c:v>
                </c:pt>
                <c:pt idx="352">
                  <c:v>10.85415534188626</c:v>
                </c:pt>
                <c:pt idx="353">
                  <c:v>10.873695452124066</c:v>
                </c:pt>
                <c:pt idx="354">
                  <c:v>10.891631819884406</c:v>
                </c:pt>
                <c:pt idx="355">
                  <c:v>10.90319685160628</c:v>
                </c:pt>
                <c:pt idx="356">
                  <c:v>10.900243620347657</c:v>
                </c:pt>
                <c:pt idx="357">
                  <c:v>10.913269315310828</c:v>
                </c:pt>
                <c:pt idx="358">
                  <c:v>10.925173900419544</c:v>
                </c:pt>
                <c:pt idx="359">
                  <c:v>10.932089666447427</c:v>
                </c:pt>
                <c:pt idx="360">
                  <c:v>10.870927237095733</c:v>
                </c:pt>
                <c:pt idx="361">
                  <c:v>10.297969659583886</c:v>
                </c:pt>
                <c:pt idx="362">
                  <c:v>10.372679173579421</c:v>
                </c:pt>
                <c:pt idx="363">
                  <c:v>10.24615472652447</c:v>
                </c:pt>
                <c:pt idx="364">
                  <c:v>10.236944463721622</c:v>
                </c:pt>
                <c:pt idx="365">
                  <c:v>10.289148390023863</c:v>
                </c:pt>
                <c:pt idx="366">
                  <c:v>10.161780516917105</c:v>
                </c:pt>
                <c:pt idx="367">
                  <c:v>9.9127373218880717</c:v>
                </c:pt>
                <c:pt idx="368">
                  <c:v>9.7127734943016897</c:v>
                </c:pt>
                <c:pt idx="369">
                  <c:v>9.7054512510193405</c:v>
                </c:pt>
                <c:pt idx="370">
                  <c:v>9.7402737938717721</c:v>
                </c:pt>
                <c:pt idx="371">
                  <c:v>9.8268322824263006</c:v>
                </c:pt>
                <c:pt idx="372">
                  <c:v>9.7706392255121486</c:v>
                </c:pt>
                <c:pt idx="373">
                  <c:v>9.8457896201411241</c:v>
                </c:pt>
                <c:pt idx="374">
                  <c:v>9.9594498691550832</c:v>
                </c:pt>
                <c:pt idx="375">
                  <c:v>9.9686090466606405</c:v>
                </c:pt>
                <c:pt idx="376">
                  <c:v>9.9875466538824167</c:v>
                </c:pt>
                <c:pt idx="377">
                  <c:v>10.002462815818685</c:v>
                </c:pt>
                <c:pt idx="378">
                  <c:v>10.028391666292876</c:v>
                </c:pt>
                <c:pt idx="379">
                  <c:v>10.059864587785873</c:v>
                </c:pt>
                <c:pt idx="380">
                  <c:v>10.087179225800677</c:v>
                </c:pt>
                <c:pt idx="381">
                  <c:v>10.061674347842766</c:v>
                </c:pt>
                <c:pt idx="382">
                  <c:v>9.9721434621866756</c:v>
                </c:pt>
                <c:pt idx="383">
                  <c:v>9.9725149520893481</c:v>
                </c:pt>
                <c:pt idx="384">
                  <c:v>9.9235371640911456</c:v>
                </c:pt>
                <c:pt idx="385">
                  <c:v>9.7594094937956939</c:v>
                </c:pt>
                <c:pt idx="386">
                  <c:v>9.8549702365675653</c:v>
                </c:pt>
                <c:pt idx="387">
                  <c:v>9.9023692672323733</c:v>
                </c:pt>
                <c:pt idx="388">
                  <c:v>9.9015937560513141</c:v>
                </c:pt>
                <c:pt idx="389">
                  <c:v>9.861192414545112</c:v>
                </c:pt>
                <c:pt idx="390">
                  <c:v>9.8881785961987987</c:v>
                </c:pt>
                <c:pt idx="391">
                  <c:v>9.9181231740135782</c:v>
                </c:pt>
                <c:pt idx="392">
                  <c:v>9.9516980926434062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8C3-4658-BD55-03C7F1D33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0887920"/>
        <c:axId val="1786283104"/>
      </c:scatterChart>
      <c:valAx>
        <c:axId val="850887920"/>
        <c:scaling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283104"/>
        <c:crosses val="autoZero"/>
        <c:crossBetween val="midCat"/>
      </c:valAx>
      <c:valAx>
        <c:axId val="1786283104"/>
        <c:scaling>
          <c:orientation val="minMax"/>
          <c:max val="13"/>
          <c:min val="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K-dose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887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110936132983366"/>
                  <c:y val="0.160419947506561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selhausen_SM_Kdose_daily!$D$8:$D$400</c:f>
              <c:numCache>
                <c:formatCode>General</c:formatCode>
                <c:ptCount val="393"/>
                <c:pt idx="0">
                  <c:v>35.267864366824199</c:v>
                </c:pt>
                <c:pt idx="1">
                  <c:v>35.1993709636075</c:v>
                </c:pt>
                <c:pt idx="2">
                  <c:v>34.623326589406403</c:v>
                </c:pt>
                <c:pt idx="3">
                  <c:v>34.047282215205399</c:v>
                </c:pt>
                <c:pt idx="4">
                  <c:v>33.471237841004303</c:v>
                </c:pt>
                <c:pt idx="5">
                  <c:v>32.895193466803299</c:v>
                </c:pt>
                <c:pt idx="6">
                  <c:v>32.731530427774302</c:v>
                </c:pt>
                <c:pt idx="7">
                  <c:v>32.596651251184497</c:v>
                </c:pt>
                <c:pt idx="8">
                  <c:v>32.4536587751696</c:v>
                </c:pt>
                <c:pt idx="9">
                  <c:v>32.176603565747101</c:v>
                </c:pt>
                <c:pt idx="10">
                  <c:v>31.936275817145599</c:v>
                </c:pt>
                <c:pt idx="11">
                  <c:v>31.824461490872402</c:v>
                </c:pt>
                <c:pt idx="12">
                  <c:v>31.659673067343999</c:v>
                </c:pt>
                <c:pt idx="13">
                  <c:v>31.473443625845999</c:v>
                </c:pt>
                <c:pt idx="14">
                  <c:v>31.851141941655001</c:v>
                </c:pt>
                <c:pt idx="15">
                  <c:v>31.8194347825062</c:v>
                </c:pt>
                <c:pt idx="16">
                  <c:v>31.599505151353402</c:v>
                </c:pt>
                <c:pt idx="17">
                  <c:v>31.463331280833</c:v>
                </c:pt>
                <c:pt idx="18">
                  <c:v>33.151635158716701</c:v>
                </c:pt>
                <c:pt idx="19">
                  <c:v>32.998640120501001</c:v>
                </c:pt>
                <c:pt idx="20">
                  <c:v>32.794448674991102</c:v>
                </c:pt>
                <c:pt idx="21">
                  <c:v>32.166767682053397</c:v>
                </c:pt>
                <c:pt idx="22">
                  <c:v>31.524188101936598</c:v>
                </c:pt>
                <c:pt idx="23">
                  <c:v>31.138822162791101</c:v>
                </c:pt>
                <c:pt idx="24">
                  <c:v>30.705000572561101</c:v>
                </c:pt>
                <c:pt idx="25">
                  <c:v>30.488454813834799</c:v>
                </c:pt>
                <c:pt idx="26">
                  <c:v>30.405468680709301</c:v>
                </c:pt>
                <c:pt idx="27">
                  <c:v>30.4157502506878</c:v>
                </c:pt>
                <c:pt idx="28">
                  <c:v>30.3620788052596</c:v>
                </c:pt>
                <c:pt idx="29">
                  <c:v>30.335750368182499</c:v>
                </c:pt>
                <c:pt idx="30">
                  <c:v>32.315058318218497</c:v>
                </c:pt>
                <c:pt idx="31">
                  <c:v>36.337446053406097</c:v>
                </c:pt>
                <c:pt idx="32">
                  <c:v>37.0493163861155</c:v>
                </c:pt>
                <c:pt idx="33">
                  <c:v>37.159532534574801</c:v>
                </c:pt>
                <c:pt idx="34">
                  <c:v>36.058666854678798</c:v>
                </c:pt>
                <c:pt idx="35">
                  <c:v>35.3272768251298</c:v>
                </c:pt>
                <c:pt idx="36">
                  <c:v>34.870909228816899</c:v>
                </c:pt>
                <c:pt idx="37">
                  <c:v>36.107426871348601</c:v>
                </c:pt>
                <c:pt idx="38">
                  <c:v>36.894246105104102</c:v>
                </c:pt>
                <c:pt idx="39">
                  <c:v>35.586914151347898</c:v>
                </c:pt>
                <c:pt idx="40">
                  <c:v>34.740036497319103</c:v>
                </c:pt>
                <c:pt idx="41">
                  <c:v>34.1406571505727</c:v>
                </c:pt>
                <c:pt idx="42">
                  <c:v>33.755179624401798</c:v>
                </c:pt>
                <c:pt idx="43">
                  <c:v>33.440578497936897</c:v>
                </c:pt>
                <c:pt idx="44">
                  <c:v>33.366809618916299</c:v>
                </c:pt>
                <c:pt idx="45">
                  <c:v>33.2781730489151</c:v>
                </c:pt>
                <c:pt idx="46">
                  <c:v>32.989720538044701</c:v>
                </c:pt>
                <c:pt idx="47">
                  <c:v>32.6202136074062</c:v>
                </c:pt>
                <c:pt idx="48">
                  <c:v>32.632159117632497</c:v>
                </c:pt>
                <c:pt idx="49">
                  <c:v>35.194891389522901</c:v>
                </c:pt>
                <c:pt idx="50">
                  <c:v>35.5541925632211</c:v>
                </c:pt>
                <c:pt idx="51">
                  <c:v>34.451621502619801</c:v>
                </c:pt>
                <c:pt idx="52">
                  <c:v>33.918666064892903</c:v>
                </c:pt>
                <c:pt idx="53">
                  <c:v>34.9264315009531</c:v>
                </c:pt>
                <c:pt idx="54">
                  <c:v>35.9720499422329</c:v>
                </c:pt>
                <c:pt idx="55">
                  <c:v>37.452550331109897</c:v>
                </c:pt>
                <c:pt idx="56">
                  <c:v>36.853394534188098</c:v>
                </c:pt>
                <c:pt idx="57">
                  <c:v>35.419109861034798</c:v>
                </c:pt>
                <c:pt idx="58">
                  <c:v>34.230262953228298</c:v>
                </c:pt>
                <c:pt idx="59">
                  <c:v>33.353690098410297</c:v>
                </c:pt>
                <c:pt idx="60">
                  <c:v>32.906982665148497</c:v>
                </c:pt>
                <c:pt idx="61">
                  <c:v>34.001598062262502</c:v>
                </c:pt>
                <c:pt idx="62">
                  <c:v>33.594117494012103</c:v>
                </c:pt>
                <c:pt idx="63">
                  <c:v>32.863698666536798</c:v>
                </c:pt>
                <c:pt idx="64">
                  <c:v>26.7234445732221</c:v>
                </c:pt>
                <c:pt idx="65">
                  <c:v>25.654445621735999</c:v>
                </c:pt>
                <c:pt idx="66">
                  <c:v>24.529209716069399</c:v>
                </c:pt>
                <c:pt idx="67">
                  <c:v>23.790099215638801</c:v>
                </c:pt>
                <c:pt idx="68">
                  <c:v>26.870676620888801</c:v>
                </c:pt>
                <c:pt idx="69">
                  <c:v>28.727012494819299</c:v>
                </c:pt>
                <c:pt idx="70">
                  <c:v>27.4028524032916</c:v>
                </c:pt>
                <c:pt idx="71">
                  <c:v>26.6187733402259</c:v>
                </c:pt>
                <c:pt idx="72">
                  <c:v>25.998387141483601</c:v>
                </c:pt>
                <c:pt idx="73">
                  <c:v>26.047473524138798</c:v>
                </c:pt>
                <c:pt idx="74">
                  <c:v>27.095320503236</c:v>
                </c:pt>
                <c:pt idx="75">
                  <c:v>30.6466978299582</c:v>
                </c:pt>
                <c:pt idx="76">
                  <c:v>31.595901990735999</c:v>
                </c:pt>
                <c:pt idx="77">
                  <c:v>30.4030089779721</c:v>
                </c:pt>
                <c:pt idx="78">
                  <c:v>29.239402826499902</c:v>
                </c:pt>
                <c:pt idx="79">
                  <c:v>27.907813418013799</c:v>
                </c:pt>
                <c:pt idx="80">
                  <c:v>26.7159381721839</c:v>
                </c:pt>
                <c:pt idx="81">
                  <c:v>23.995684525626</c:v>
                </c:pt>
                <c:pt idx="82">
                  <c:v>23.7601182871337</c:v>
                </c:pt>
                <c:pt idx="83">
                  <c:v>23.499634694358502</c:v>
                </c:pt>
                <c:pt idx="84">
                  <c:v>23.244947879529199</c:v>
                </c:pt>
                <c:pt idx="85">
                  <c:v>22.945815931696501</c:v>
                </c:pt>
                <c:pt idx="86">
                  <c:v>24.033854082923799</c:v>
                </c:pt>
                <c:pt idx="87">
                  <c:v>29.503924314726401</c:v>
                </c:pt>
                <c:pt idx="88">
                  <c:v>28.741324029191901</c:v>
                </c:pt>
                <c:pt idx="89">
                  <c:v>27.9195067778133</c:v>
                </c:pt>
                <c:pt idx="90">
                  <c:v>27.538497196261599</c:v>
                </c:pt>
                <c:pt idx="91">
                  <c:v>27.4906890629847</c:v>
                </c:pt>
                <c:pt idx="92">
                  <c:v>27.149424685076301</c:v>
                </c:pt>
                <c:pt idx="93">
                  <c:v>26.665504798477802</c:v>
                </c:pt>
                <c:pt idx="94">
                  <c:v>26.0421322048668</c:v>
                </c:pt>
                <c:pt idx="95">
                  <c:v>26.1494750034615</c:v>
                </c:pt>
                <c:pt idx="96">
                  <c:v>28.088133900033</c:v>
                </c:pt>
                <c:pt idx="97">
                  <c:v>28.5459110472178</c:v>
                </c:pt>
                <c:pt idx="98">
                  <c:v>27.6599074387107</c:v>
                </c:pt>
                <c:pt idx="99">
                  <c:v>26.895821858144199</c:v>
                </c:pt>
                <c:pt idx="100">
                  <c:v>26.3374477187295</c:v>
                </c:pt>
                <c:pt idx="101">
                  <c:v>25.8871552580908</c:v>
                </c:pt>
                <c:pt idx="102">
                  <c:v>25.506677034009101</c:v>
                </c:pt>
                <c:pt idx="103">
                  <c:v>25.191092204862301</c:v>
                </c:pt>
                <c:pt idx="104">
                  <c:v>24.911594257879599</c:v>
                </c:pt>
                <c:pt idx="105">
                  <c:v>24.608016751176201</c:v>
                </c:pt>
                <c:pt idx="106">
                  <c:v>24.290534069230699</c:v>
                </c:pt>
                <c:pt idx="107">
                  <c:v>24.058565918509199</c:v>
                </c:pt>
                <c:pt idx="108">
                  <c:v>24.037524589978499</c:v>
                </c:pt>
                <c:pt idx="109">
                  <c:v>23.8442329907048</c:v>
                </c:pt>
                <c:pt idx="110">
                  <c:v>23.499316363920698</c:v>
                </c:pt>
                <c:pt idx="111">
                  <c:v>23.0075209086279</c:v>
                </c:pt>
                <c:pt idx="112">
                  <c:v>22.5017628295058</c:v>
                </c:pt>
                <c:pt idx="113">
                  <c:v>22.083467953183</c:v>
                </c:pt>
                <c:pt idx="114">
                  <c:v>21.609753503034899</c:v>
                </c:pt>
                <c:pt idx="115">
                  <c:v>21.0457879157969</c:v>
                </c:pt>
                <c:pt idx="116">
                  <c:v>20.4324574252689</c:v>
                </c:pt>
                <c:pt idx="117">
                  <c:v>20.281381125061799</c:v>
                </c:pt>
                <c:pt idx="118">
                  <c:v>20.465845404642501</c:v>
                </c:pt>
                <c:pt idx="119">
                  <c:v>20.799153317267098</c:v>
                </c:pt>
                <c:pt idx="120">
                  <c:v>20.9356204951224</c:v>
                </c:pt>
                <c:pt idx="121">
                  <c:v>20.872744858217601</c:v>
                </c:pt>
                <c:pt idx="122">
                  <c:v>21.0929165949312</c:v>
                </c:pt>
                <c:pt idx="123">
                  <c:v>24.210431733414801</c:v>
                </c:pt>
                <c:pt idx="124">
                  <c:v>29.412694938656099</c:v>
                </c:pt>
                <c:pt idx="125">
                  <c:v>32.923101578848701</c:v>
                </c:pt>
                <c:pt idx="126">
                  <c:v>32.142210303991497</c:v>
                </c:pt>
                <c:pt idx="127">
                  <c:v>32.631385721304099</c:v>
                </c:pt>
                <c:pt idx="128">
                  <c:v>33.575521381364801</c:v>
                </c:pt>
                <c:pt idx="129">
                  <c:v>34.460600721793199</c:v>
                </c:pt>
                <c:pt idx="130">
                  <c:v>34.0193149623856</c:v>
                </c:pt>
                <c:pt idx="131">
                  <c:v>35.350378631574301</c:v>
                </c:pt>
                <c:pt idx="132">
                  <c:v>34.567769313829501</c:v>
                </c:pt>
                <c:pt idx="133">
                  <c:v>33.672264810191301</c:v>
                </c:pt>
                <c:pt idx="134">
                  <c:v>34.058262461225901</c:v>
                </c:pt>
                <c:pt idx="135">
                  <c:v>34.927886847788798</c:v>
                </c:pt>
                <c:pt idx="136">
                  <c:v>35.117848816544999</c:v>
                </c:pt>
                <c:pt idx="137">
                  <c:v>34.620813410053501</c:v>
                </c:pt>
                <c:pt idx="138">
                  <c:v>31.7434225339444</c:v>
                </c:pt>
                <c:pt idx="139">
                  <c:v>31.2355184243332</c:v>
                </c:pt>
                <c:pt idx="140">
                  <c:v>31.592126725388798</c:v>
                </c:pt>
                <c:pt idx="141">
                  <c:v>31.905589145333199</c:v>
                </c:pt>
                <c:pt idx="142">
                  <c:v>31.654561910888798</c:v>
                </c:pt>
                <c:pt idx="143">
                  <c:v>31.478487529444301</c:v>
                </c:pt>
                <c:pt idx="144">
                  <c:v>32.727696565735997</c:v>
                </c:pt>
                <c:pt idx="145">
                  <c:v>34.985504359694303</c:v>
                </c:pt>
                <c:pt idx="146">
                  <c:v>36.117573445284599</c:v>
                </c:pt>
                <c:pt idx="147">
                  <c:v>34.855615928611002</c:v>
                </c:pt>
                <c:pt idx="148">
                  <c:v>35.393371734930398</c:v>
                </c:pt>
                <c:pt idx="149">
                  <c:v>36.915412255999399</c:v>
                </c:pt>
                <c:pt idx="150">
                  <c:v>36.5589696569632</c:v>
                </c:pt>
                <c:pt idx="151">
                  <c:v>35.518264992157199</c:v>
                </c:pt>
                <c:pt idx="152">
                  <c:v>36.796886413280298</c:v>
                </c:pt>
                <c:pt idx="153">
                  <c:v>37.2384811923638</c:v>
                </c:pt>
                <c:pt idx="154">
                  <c:v>37.1254049966279</c:v>
                </c:pt>
                <c:pt idx="155">
                  <c:v>36.931095282001898</c:v>
                </c:pt>
                <c:pt idx="156">
                  <c:v>37.351921598185697</c:v>
                </c:pt>
                <c:pt idx="157">
                  <c:v>36.421603679425097</c:v>
                </c:pt>
                <c:pt idx="158">
                  <c:v>35.855795303946202</c:v>
                </c:pt>
                <c:pt idx="159">
                  <c:v>37.374237942877102</c:v>
                </c:pt>
                <c:pt idx="160">
                  <c:v>37.683946984656302</c:v>
                </c:pt>
                <c:pt idx="161">
                  <c:v>37.645893852925099</c:v>
                </c:pt>
                <c:pt idx="162">
                  <c:v>39.207286499989003</c:v>
                </c:pt>
                <c:pt idx="163">
                  <c:v>38.704357218372998</c:v>
                </c:pt>
                <c:pt idx="164">
                  <c:v>37.534592205244998</c:v>
                </c:pt>
                <c:pt idx="165">
                  <c:v>37.210148148726198</c:v>
                </c:pt>
                <c:pt idx="166">
                  <c:v>36.950075435126202</c:v>
                </c:pt>
                <c:pt idx="167">
                  <c:v>36.4682711885836</c:v>
                </c:pt>
                <c:pt idx="168">
                  <c:v>35.812876792585598</c:v>
                </c:pt>
                <c:pt idx="169">
                  <c:v>36.286495541424202</c:v>
                </c:pt>
                <c:pt idx="170">
                  <c:v>38.6733617616187</c:v>
                </c:pt>
                <c:pt idx="171">
                  <c:v>38.173596798364102</c:v>
                </c:pt>
                <c:pt idx="172">
                  <c:v>37.410789125817097</c:v>
                </c:pt>
                <c:pt idx="173">
                  <c:v>37.5581926883549</c:v>
                </c:pt>
                <c:pt idx="174">
                  <c:v>37.623209145579402</c:v>
                </c:pt>
                <c:pt idx="175">
                  <c:v>37.728612629846602</c:v>
                </c:pt>
                <c:pt idx="176">
                  <c:v>37.71304724422</c:v>
                </c:pt>
                <c:pt idx="177">
                  <c:v>38.3655328539027</c:v>
                </c:pt>
                <c:pt idx="178">
                  <c:v>38.781087788155801</c:v>
                </c:pt>
                <c:pt idx="179">
                  <c:v>38.149409618447699</c:v>
                </c:pt>
                <c:pt idx="180">
                  <c:v>37.960801656700298</c:v>
                </c:pt>
                <c:pt idx="181">
                  <c:v>37.600125968260897</c:v>
                </c:pt>
                <c:pt idx="182">
                  <c:v>37.237026495168998</c:v>
                </c:pt>
                <c:pt idx="183">
                  <c:v>36.872246819696002</c:v>
                </c:pt>
                <c:pt idx="184">
                  <c:v>37.155280278940801</c:v>
                </c:pt>
                <c:pt idx="185">
                  <c:v>38.764227015145799</c:v>
                </c:pt>
                <c:pt idx="186">
                  <c:v>38.927309649202897</c:v>
                </c:pt>
                <c:pt idx="187">
                  <c:v>40.093474363694497</c:v>
                </c:pt>
                <c:pt idx="188">
                  <c:v>39.604227745787703</c:v>
                </c:pt>
                <c:pt idx="189">
                  <c:v>39.312630048909398</c:v>
                </c:pt>
                <c:pt idx="190">
                  <c:v>39.546169090370498</c:v>
                </c:pt>
                <c:pt idx="191">
                  <c:v>39.294561422320299</c:v>
                </c:pt>
                <c:pt idx="192">
                  <c:v>38.674690974476398</c:v>
                </c:pt>
                <c:pt idx="193">
                  <c:v>38.110974339970902</c:v>
                </c:pt>
                <c:pt idx="194">
                  <c:v>38.132267232782198</c:v>
                </c:pt>
                <c:pt idx="195">
                  <c:v>38.722027056319199</c:v>
                </c:pt>
                <c:pt idx="196">
                  <c:v>38.19657828335</c:v>
                </c:pt>
                <c:pt idx="197">
                  <c:v>37.759045780243902</c:v>
                </c:pt>
                <c:pt idx="198">
                  <c:v>39.355045714738502</c:v>
                </c:pt>
                <c:pt idx="199">
                  <c:v>39.567961146104601</c:v>
                </c:pt>
                <c:pt idx="200">
                  <c:v>40.107341797738101</c:v>
                </c:pt>
                <c:pt idx="201">
                  <c:v>39.226900913212702</c:v>
                </c:pt>
                <c:pt idx="202">
                  <c:v>39.728472595818097</c:v>
                </c:pt>
                <c:pt idx="203">
                  <c:v>39.605874709040499</c:v>
                </c:pt>
                <c:pt idx="204">
                  <c:v>38.854525458881803</c:v>
                </c:pt>
                <c:pt idx="205">
                  <c:v>38.740415868543103</c:v>
                </c:pt>
                <c:pt idx="206">
                  <c:v>38.754279923779698</c:v>
                </c:pt>
                <c:pt idx="207">
                  <c:v>38.767229336483197</c:v>
                </c:pt>
                <c:pt idx="208">
                  <c:v>38.743127476798399</c:v>
                </c:pt>
                <c:pt idx="209">
                  <c:v>38.719025617113701</c:v>
                </c:pt>
                <c:pt idx="210">
                  <c:v>38.694923757429002</c:v>
                </c:pt>
                <c:pt idx="211">
                  <c:v>38.670821897744297</c:v>
                </c:pt>
                <c:pt idx="212">
                  <c:v>38.646720038059598</c:v>
                </c:pt>
                <c:pt idx="213">
                  <c:v>38.6226181783748</c:v>
                </c:pt>
                <c:pt idx="214">
                  <c:v>38.598516318690102</c:v>
                </c:pt>
                <c:pt idx="215">
                  <c:v>38.574414459005403</c:v>
                </c:pt>
                <c:pt idx="216">
                  <c:v>38.550312599320698</c:v>
                </c:pt>
                <c:pt idx="217">
                  <c:v>38.526210739635999</c:v>
                </c:pt>
                <c:pt idx="218">
                  <c:v>38.502108879951301</c:v>
                </c:pt>
                <c:pt idx="219">
                  <c:v>38.197763899757099</c:v>
                </c:pt>
                <c:pt idx="220">
                  <c:v>37.998883200438101</c:v>
                </c:pt>
                <c:pt idx="221">
                  <c:v>37.558789281713203</c:v>
                </c:pt>
                <c:pt idx="222">
                  <c:v>38.231501503208897</c:v>
                </c:pt>
                <c:pt idx="223">
                  <c:v>37.930594108829197</c:v>
                </c:pt>
                <c:pt idx="224">
                  <c:v>37.203320865026697</c:v>
                </c:pt>
                <c:pt idx="225">
                  <c:v>36.8653056525118</c:v>
                </c:pt>
                <c:pt idx="226">
                  <c:v>36.632093418688399</c:v>
                </c:pt>
                <c:pt idx="227">
                  <c:v>36.316992311430297</c:v>
                </c:pt>
                <c:pt idx="228">
                  <c:v>37.250557261724602</c:v>
                </c:pt>
                <c:pt idx="229">
                  <c:v>36.827739288057799</c:v>
                </c:pt>
                <c:pt idx="230">
                  <c:v>36.502086615008203</c:v>
                </c:pt>
                <c:pt idx="231">
                  <c:v>37.820905597170601</c:v>
                </c:pt>
                <c:pt idx="232">
                  <c:v>37.385703514750197</c:v>
                </c:pt>
                <c:pt idx="233">
                  <c:v>36.330821405988701</c:v>
                </c:pt>
                <c:pt idx="234">
                  <c:v>38.522220074486697</c:v>
                </c:pt>
                <c:pt idx="235">
                  <c:v>39.199029022511397</c:v>
                </c:pt>
                <c:pt idx="236">
                  <c:v>38.994992077880099</c:v>
                </c:pt>
                <c:pt idx="237">
                  <c:v>38.558119855760197</c:v>
                </c:pt>
                <c:pt idx="238">
                  <c:v>38.523438943215801</c:v>
                </c:pt>
                <c:pt idx="239">
                  <c:v>37.951135763560401</c:v>
                </c:pt>
                <c:pt idx="240">
                  <c:v>37.3219873750744</c:v>
                </c:pt>
                <c:pt idx="241">
                  <c:v>36.929590288939401</c:v>
                </c:pt>
                <c:pt idx="242">
                  <c:v>37.077414175641501</c:v>
                </c:pt>
                <c:pt idx="243">
                  <c:v>36.905670172037802</c:v>
                </c:pt>
                <c:pt idx="244">
                  <c:v>37.364110724335703</c:v>
                </c:pt>
                <c:pt idx="245">
                  <c:v>37.744059991978702</c:v>
                </c:pt>
                <c:pt idx="246">
                  <c:v>38.451154163460501</c:v>
                </c:pt>
                <c:pt idx="247">
                  <c:v>38.264715277809898</c:v>
                </c:pt>
                <c:pt idx="248">
                  <c:v>37.437937154580602</c:v>
                </c:pt>
                <c:pt idx="249">
                  <c:v>38.649393085200501</c:v>
                </c:pt>
                <c:pt idx="250">
                  <c:v>38.492626629082899</c:v>
                </c:pt>
                <c:pt idx="251">
                  <c:v>37.409015079073001</c:v>
                </c:pt>
                <c:pt idx="252">
                  <c:v>36.832495049798197</c:v>
                </c:pt>
                <c:pt idx="253">
                  <c:v>38.891737159288901</c:v>
                </c:pt>
                <c:pt idx="254">
                  <c:v>38.694481583835099</c:v>
                </c:pt>
                <c:pt idx="255">
                  <c:v>37.887614657947402</c:v>
                </c:pt>
                <c:pt idx="256">
                  <c:v>37.644267541068402</c:v>
                </c:pt>
                <c:pt idx="257">
                  <c:v>37.714892073714701</c:v>
                </c:pt>
                <c:pt idx="258">
                  <c:v>37.785516606361</c:v>
                </c:pt>
                <c:pt idx="259">
                  <c:v>38.3216019609401</c:v>
                </c:pt>
                <c:pt idx="260">
                  <c:v>38.709285472713503</c:v>
                </c:pt>
                <c:pt idx="261">
                  <c:v>37.456798997182503</c:v>
                </c:pt>
                <c:pt idx="262">
                  <c:v>36.844163778936199</c:v>
                </c:pt>
                <c:pt idx="263">
                  <c:v>38.224117367542597</c:v>
                </c:pt>
                <c:pt idx="264">
                  <c:v>37.1468579436063</c:v>
                </c:pt>
                <c:pt idx="265">
                  <c:v>36.717923589951901</c:v>
                </c:pt>
                <c:pt idx="266">
                  <c:v>36.1140824782252</c:v>
                </c:pt>
                <c:pt idx="267">
                  <c:v>35.4904756034882</c:v>
                </c:pt>
                <c:pt idx="268">
                  <c:v>34.9526329184134</c:v>
                </c:pt>
                <c:pt idx="269">
                  <c:v>34.733795326231601</c:v>
                </c:pt>
                <c:pt idx="270">
                  <c:v>36.320441281008002</c:v>
                </c:pt>
                <c:pt idx="271">
                  <c:v>37.5800935134939</c:v>
                </c:pt>
                <c:pt idx="272">
                  <c:v>37.006157454053998</c:v>
                </c:pt>
                <c:pt idx="273">
                  <c:v>35.932403876890902</c:v>
                </c:pt>
                <c:pt idx="274">
                  <c:v>36.254133463046898</c:v>
                </c:pt>
                <c:pt idx="275">
                  <c:v>36.390973332691502</c:v>
                </c:pt>
                <c:pt idx="276">
                  <c:v>36.008973915065198</c:v>
                </c:pt>
                <c:pt idx="277">
                  <c:v>35.9239697832028</c:v>
                </c:pt>
                <c:pt idx="278">
                  <c:v>35.838965651340402</c:v>
                </c:pt>
                <c:pt idx="279">
                  <c:v>35.502528596995298</c:v>
                </c:pt>
                <c:pt idx="280">
                  <c:v>36.699949187168897</c:v>
                </c:pt>
                <c:pt idx="281">
                  <c:v>36.536614010711297</c:v>
                </c:pt>
                <c:pt idx="282">
                  <c:v>35.3305826550299</c:v>
                </c:pt>
                <c:pt idx="283">
                  <c:v>34.201074692677899</c:v>
                </c:pt>
                <c:pt idx="284">
                  <c:v>34.403486905825503</c:v>
                </c:pt>
                <c:pt idx="285">
                  <c:v>33.855690507900697</c:v>
                </c:pt>
                <c:pt idx="286">
                  <c:v>33.351948487343698</c:v>
                </c:pt>
                <c:pt idx="287">
                  <c:v>32.841713263601797</c:v>
                </c:pt>
                <c:pt idx="288">
                  <c:v>32.4797632307071</c:v>
                </c:pt>
                <c:pt idx="289">
                  <c:v>32.103782964479898</c:v>
                </c:pt>
                <c:pt idx="290">
                  <c:v>31.742797573479098</c:v>
                </c:pt>
                <c:pt idx="291">
                  <c:v>31.381812182478299</c:v>
                </c:pt>
                <c:pt idx="292">
                  <c:v>26.831183762971801</c:v>
                </c:pt>
                <c:pt idx="293">
                  <c:v>34.518864171282701</c:v>
                </c:pt>
                <c:pt idx="294">
                  <c:v>35.2391245748125</c:v>
                </c:pt>
                <c:pt idx="295">
                  <c:v>35.778244035441197</c:v>
                </c:pt>
                <c:pt idx="296">
                  <c:v>35.945191989545997</c:v>
                </c:pt>
                <c:pt idx="297">
                  <c:v>38.786420794270299</c:v>
                </c:pt>
                <c:pt idx="298">
                  <c:v>37.327950427753798</c:v>
                </c:pt>
                <c:pt idx="299">
                  <c:v>36.144562939614801</c:v>
                </c:pt>
                <c:pt idx="300">
                  <c:v>34.735708502413402</c:v>
                </c:pt>
                <c:pt idx="301">
                  <c:v>33.465459648726799</c:v>
                </c:pt>
                <c:pt idx="302">
                  <c:v>32.308438444707399</c:v>
                </c:pt>
                <c:pt idx="303">
                  <c:v>31.300998297678699</c:v>
                </c:pt>
                <c:pt idx="304">
                  <c:v>30.469237327995899</c:v>
                </c:pt>
                <c:pt idx="305">
                  <c:v>30.168969211969401</c:v>
                </c:pt>
                <c:pt idx="306">
                  <c:v>32.0910279215949</c:v>
                </c:pt>
                <c:pt idx="307">
                  <c:v>31.862592664967799</c:v>
                </c:pt>
                <c:pt idx="308">
                  <c:v>31.4583462654731</c:v>
                </c:pt>
                <c:pt idx="309">
                  <c:v>31.062609024766999</c:v>
                </c:pt>
                <c:pt idx="310">
                  <c:v>30.994080608836001</c:v>
                </c:pt>
                <c:pt idx="311">
                  <c:v>32.7750177828378</c:v>
                </c:pt>
                <c:pt idx="312">
                  <c:v>32.065218593262003</c:v>
                </c:pt>
                <c:pt idx="313">
                  <c:v>34.802265302004301</c:v>
                </c:pt>
                <c:pt idx="314">
                  <c:v>36.065530825288597</c:v>
                </c:pt>
                <c:pt idx="315">
                  <c:v>34.739342932042398</c:v>
                </c:pt>
                <c:pt idx="316">
                  <c:v>34.122340470902699</c:v>
                </c:pt>
                <c:pt idx="317">
                  <c:v>34.492350777914901</c:v>
                </c:pt>
                <c:pt idx="318">
                  <c:v>34.037416416620601</c:v>
                </c:pt>
                <c:pt idx="319">
                  <c:v>37.0387419568141</c:v>
                </c:pt>
                <c:pt idx="320">
                  <c:v>36.461872022930798</c:v>
                </c:pt>
                <c:pt idx="321">
                  <c:v>35.498626930236597</c:v>
                </c:pt>
                <c:pt idx="322">
                  <c:v>35.928328229430001</c:v>
                </c:pt>
                <c:pt idx="323">
                  <c:v>35.126552158502001</c:v>
                </c:pt>
                <c:pt idx="324">
                  <c:v>34.1167529843746</c:v>
                </c:pt>
                <c:pt idx="325">
                  <c:v>33.224320606064701</c:v>
                </c:pt>
                <c:pt idx="326">
                  <c:v>32.518967356221502</c:v>
                </c:pt>
                <c:pt idx="327">
                  <c:v>31.557899166655702</c:v>
                </c:pt>
                <c:pt idx="328">
                  <c:v>30.590635727977698</c:v>
                </c:pt>
                <c:pt idx="329">
                  <c:v>29.7898125302466</c:v>
                </c:pt>
                <c:pt idx="330">
                  <c:v>29.1723054063017</c:v>
                </c:pt>
                <c:pt idx="331">
                  <c:v>28.944480207266501</c:v>
                </c:pt>
                <c:pt idx="332">
                  <c:v>28.5637140906992</c:v>
                </c:pt>
                <c:pt idx="333">
                  <c:v>28.3356722144595</c:v>
                </c:pt>
                <c:pt idx="334">
                  <c:v>27.8769048488621</c:v>
                </c:pt>
                <c:pt idx="335">
                  <c:v>27.662044485460701</c:v>
                </c:pt>
                <c:pt idx="336">
                  <c:v>27.326281992673099</c:v>
                </c:pt>
                <c:pt idx="337">
                  <c:v>27.385899725779801</c:v>
                </c:pt>
                <c:pt idx="338">
                  <c:v>29.5353925470143</c:v>
                </c:pt>
                <c:pt idx="339">
                  <c:v>34.779335249115498</c:v>
                </c:pt>
                <c:pt idx="340">
                  <c:v>33.206981250376501</c:v>
                </c:pt>
                <c:pt idx="341">
                  <c:v>34.350204460009799</c:v>
                </c:pt>
                <c:pt idx="342">
                  <c:v>34.704479509313899</c:v>
                </c:pt>
                <c:pt idx="343">
                  <c:v>32.800289756108803</c:v>
                </c:pt>
                <c:pt idx="344">
                  <c:v>31.089399471392699</c:v>
                </c:pt>
                <c:pt idx="345">
                  <c:v>29.9702984372367</c:v>
                </c:pt>
                <c:pt idx="346">
                  <c:v>28.691059373047299</c:v>
                </c:pt>
                <c:pt idx="347">
                  <c:v>25.651812184132002</c:v>
                </c:pt>
                <c:pt idx="348">
                  <c:v>25.644585580873201</c:v>
                </c:pt>
                <c:pt idx="349">
                  <c:v>25.704669784903</c:v>
                </c:pt>
                <c:pt idx="350">
                  <c:v>25.524946577219801</c:v>
                </c:pt>
                <c:pt idx="351">
                  <c:v>25.378913774904198</c:v>
                </c:pt>
                <c:pt idx="352">
                  <c:v>25.242158586146701</c:v>
                </c:pt>
                <c:pt idx="353">
                  <c:v>25.067398879416999</c:v>
                </c:pt>
                <c:pt idx="354">
                  <c:v>24.907534436572998</c:v>
                </c:pt>
                <c:pt idx="355">
                  <c:v>24.8047357611104</c:v>
                </c:pt>
                <c:pt idx="356">
                  <c:v>24.830965556009001</c:v>
                </c:pt>
                <c:pt idx="357">
                  <c:v>24.7153816619062</c:v>
                </c:pt>
                <c:pt idx="358">
                  <c:v>24.609987020952701</c:v>
                </c:pt>
                <c:pt idx="359">
                  <c:v>24.548865205684098</c:v>
                </c:pt>
                <c:pt idx="360">
                  <c:v>25.092118600356699</c:v>
                </c:pt>
                <c:pt idx="361">
                  <c:v>30.494581167153999</c:v>
                </c:pt>
                <c:pt idx="362">
                  <c:v>29.756301592032699</c:v>
                </c:pt>
                <c:pt idx="363">
                  <c:v>31.0129393030074</c:v>
                </c:pt>
                <c:pt idx="364">
                  <c:v>31.105628316753201</c:v>
                </c:pt>
                <c:pt idx="365">
                  <c:v>30.582460661745898</c:v>
                </c:pt>
                <c:pt idx="366">
                  <c:v>31.868333880808699</c:v>
                </c:pt>
                <c:pt idx="367">
                  <c:v>34.478083042584601</c:v>
                </c:pt>
                <c:pt idx="368">
                  <c:v>36.670393613875802</c:v>
                </c:pt>
                <c:pt idx="369">
                  <c:v>36.752385835974501</c:v>
                </c:pt>
                <c:pt idx="370">
                  <c:v>36.363554659059503</c:v>
                </c:pt>
                <c:pt idx="371">
                  <c:v>35.408974394312402</c:v>
                </c:pt>
                <c:pt idx="372">
                  <c:v>36.0267540933433</c:v>
                </c:pt>
                <c:pt idx="373">
                  <c:v>35.202150482981899</c:v>
                </c:pt>
                <c:pt idx="374">
                  <c:v>33.978632949764602</c:v>
                </c:pt>
                <c:pt idx="375">
                  <c:v>33.881251988418803</c:v>
                </c:pt>
                <c:pt idx="376">
                  <c:v>33.680472559087697</c:v>
                </c:pt>
                <c:pt idx="377">
                  <c:v>33.522864355579301</c:v>
                </c:pt>
                <c:pt idx="378">
                  <c:v>33.250008972594699</c:v>
                </c:pt>
                <c:pt idx="379">
                  <c:v>32.920701844085499</c:v>
                </c:pt>
                <c:pt idx="380">
                  <c:v>32.6365692391377</c:v>
                </c:pt>
                <c:pt idx="381">
                  <c:v>32.901828619733003</c:v>
                </c:pt>
                <c:pt idx="382">
                  <c:v>33.843721689773297</c:v>
                </c:pt>
                <c:pt idx="383">
                  <c:v>33.8397785579551</c:v>
                </c:pt>
                <c:pt idx="384">
                  <c:v>34.362193350928102</c:v>
                </c:pt>
                <c:pt idx="385">
                  <c:v>36.151065321793602</c:v>
                </c:pt>
                <c:pt idx="386">
                  <c:v>35.102276247107497</c:v>
                </c:pt>
                <c:pt idx="387">
                  <c:v>34.589577186762</c:v>
                </c:pt>
                <c:pt idx="388">
                  <c:v>34.597926126721703</c:v>
                </c:pt>
                <c:pt idx="389">
                  <c:v>35.034692047449397</c:v>
                </c:pt>
                <c:pt idx="390">
                  <c:v>34.742557310828197</c:v>
                </c:pt>
                <c:pt idx="391">
                  <c:v>34.420257618638402</c:v>
                </c:pt>
                <c:pt idx="392">
                  <c:v>34.0611903858197</c:v>
                </c:pt>
              </c:numCache>
            </c:numRef>
          </c:xVal>
          <c:yVal>
            <c:numRef>
              <c:f>selhausen_SM_Kdose_daily!$F$8:$F$400</c:f>
              <c:numCache>
                <c:formatCode>General</c:formatCode>
                <c:ptCount val="393"/>
                <c:pt idx="0">
                  <c:v>37.235954103720346</c:v>
                </c:pt>
                <c:pt idx="1">
                  <c:v>37.010844602946065</c:v>
                </c:pt>
                <c:pt idx="2">
                  <c:v>36.742844345337318</c:v>
                </c:pt>
                <c:pt idx="3">
                  <c:v>36.7203286191369</c:v>
                </c:pt>
                <c:pt idx="4">
                  <c:v>36.55780534663225</c:v>
                </c:pt>
                <c:pt idx="5">
                  <c:v>35.935165960520294</c:v>
                </c:pt>
                <c:pt idx="6">
                  <c:v>35.314432200807687</c:v>
                </c:pt>
                <c:pt idx="7">
                  <c:v>34.657878830477088</c:v>
                </c:pt>
                <c:pt idx="8">
                  <c:v>34.239836245699315</c:v>
                </c:pt>
                <c:pt idx="9">
                  <c:v>33.432864612342378</c:v>
                </c:pt>
                <c:pt idx="10">
                  <c:v>33.346110977560301</c:v>
                </c:pt>
                <c:pt idx="11">
                  <c:v>32.725384054944989</c:v>
                </c:pt>
                <c:pt idx="12">
                  <c:v>32.95770924855637</c:v>
                </c:pt>
                <c:pt idx="13">
                  <c:v>33.403832581533685</c:v>
                </c:pt>
                <c:pt idx="14">
                  <c:v>34.365028377340565</c:v>
                </c:pt>
                <c:pt idx="15">
                  <c:v>34.295025018870753</c:v>
                </c:pt>
                <c:pt idx="16">
                  <c:v>33.48153173022996</c:v>
                </c:pt>
                <c:pt idx="17">
                  <c:v>33.523067952401533</c:v>
                </c:pt>
                <c:pt idx="18">
                  <c:v>34.744245519942019</c:v>
                </c:pt>
                <c:pt idx="19">
                  <c:v>36.276695540711664</c:v>
                </c:pt>
                <c:pt idx="20">
                  <c:v>36.553008797389943</c:v>
                </c:pt>
                <c:pt idx="21">
                  <c:v>35.760651911081368</c:v>
                </c:pt>
                <c:pt idx="22">
                  <c:v>34.937154697447376</c:v>
                </c:pt>
                <c:pt idx="23">
                  <c:v>34.454072860579068</c:v>
                </c:pt>
                <c:pt idx="24">
                  <c:v>34.126307831011253</c:v>
                </c:pt>
                <c:pt idx="25">
                  <c:v>33.920753826771957</c:v>
                </c:pt>
                <c:pt idx="26">
                  <c:v>33.826140847544913</c:v>
                </c:pt>
                <c:pt idx="27">
                  <c:v>33.954173284394038</c:v>
                </c:pt>
                <c:pt idx="28">
                  <c:v>34.100023378580623</c:v>
                </c:pt>
                <c:pt idx="29">
                  <c:v>35.630170788546259</c:v>
                </c:pt>
                <c:pt idx="30">
                  <c:v>39.006150807025193</c:v>
                </c:pt>
                <c:pt idx="31">
                  <c:v>40.414560384602282</c:v>
                </c:pt>
                <c:pt idx="32">
                  <c:v>40.069039628742054</c:v>
                </c:pt>
                <c:pt idx="33">
                  <c:v>37.59352108638047</c:v>
                </c:pt>
                <c:pt idx="34">
                  <c:v>37.126881025953772</c:v>
                </c:pt>
                <c:pt idx="35">
                  <c:v>35.851325224935756</c:v>
                </c:pt>
                <c:pt idx="36">
                  <c:v>36.447905506938305</c:v>
                </c:pt>
                <c:pt idx="37">
                  <c:v>36.96106767225146</c:v>
                </c:pt>
                <c:pt idx="38">
                  <c:v>37.532270633623362</c:v>
                </c:pt>
                <c:pt idx="39">
                  <c:v>35.626143836463598</c:v>
                </c:pt>
                <c:pt idx="40">
                  <c:v>33.584470273666575</c:v>
                </c:pt>
                <c:pt idx="41">
                  <c:v>33.110943228081489</c:v>
                </c:pt>
                <c:pt idx="42">
                  <c:v>33.623256478585944</c:v>
                </c:pt>
                <c:pt idx="43">
                  <c:v>34.366338563988577</c:v>
                </c:pt>
                <c:pt idx="44">
                  <c:v>34.159258957916016</c:v>
                </c:pt>
                <c:pt idx="45">
                  <c:v>33.492255655948789</c:v>
                </c:pt>
                <c:pt idx="46">
                  <c:v>33.061903181143911</c:v>
                </c:pt>
                <c:pt idx="47">
                  <c:v>33.529398664780373</c:v>
                </c:pt>
                <c:pt idx="48">
                  <c:v>35.137282377935499</c:v>
                </c:pt>
                <c:pt idx="49">
                  <c:v>36.712598897331041</c:v>
                </c:pt>
                <c:pt idx="50">
                  <c:v>37.009345968107368</c:v>
                </c:pt>
                <c:pt idx="51">
                  <c:v>35.817001455839716</c:v>
                </c:pt>
                <c:pt idx="52">
                  <c:v>34.929048979273446</c:v>
                </c:pt>
                <c:pt idx="53">
                  <c:v>35.072597932112949</c:v>
                </c:pt>
                <c:pt idx="54">
                  <c:v>36.731511674941594</c:v>
                </c:pt>
                <c:pt idx="55">
                  <c:v>37.923301138356116</c:v>
                </c:pt>
                <c:pt idx="56">
                  <c:v>38.199334436400591</c:v>
                </c:pt>
                <c:pt idx="57">
                  <c:v>37.054450757104291</c:v>
                </c:pt>
                <c:pt idx="58">
                  <c:v>35.455406879900607</c:v>
                </c:pt>
                <c:pt idx="59">
                  <c:v>35.047197405611278</c:v>
                </c:pt>
                <c:pt idx="60">
                  <c:v>36.046943368741069</c:v>
                </c:pt>
                <c:pt idx="61">
                  <c:v>36.796962522953201</c:v>
                </c:pt>
                <c:pt idx="62">
                  <c:v>36.394236996807805</c:v>
                </c:pt>
                <c:pt idx="63">
                  <c:v>34.755775146443895</c:v>
                </c:pt>
                <c:pt idx="64">
                  <c:v>26.130158496134907</c:v>
                </c:pt>
                <c:pt idx="65">
                  <c:v>25.22483551907732</c:v>
                </c:pt>
                <c:pt idx="66">
                  <c:v>24.775595692671651</c:v>
                </c:pt>
                <c:pt idx="67">
                  <c:v>26.083670791829466</c:v>
                </c:pt>
                <c:pt idx="68">
                  <c:v>28.458592525084232</c:v>
                </c:pt>
                <c:pt idx="69">
                  <c:v>30.198729751838361</c:v>
                </c:pt>
                <c:pt idx="70">
                  <c:v>30.275171799499912</c:v>
                </c:pt>
                <c:pt idx="71">
                  <c:v>29.905932062558033</c:v>
                </c:pt>
                <c:pt idx="72">
                  <c:v>30.326324561280416</c:v>
                </c:pt>
                <c:pt idx="73">
                  <c:v>30.955714277262185</c:v>
                </c:pt>
                <c:pt idx="74">
                  <c:v>32.313122117038105</c:v>
                </c:pt>
                <c:pt idx="75">
                  <c:v>32.081359803068068</c:v>
                </c:pt>
                <c:pt idx="76">
                  <c:v>31.623393074135571</c:v>
                </c:pt>
                <c:pt idx="77">
                  <c:v>29.655495446056758</c:v>
                </c:pt>
                <c:pt idx="78">
                  <c:v>27.663470007815295</c:v>
                </c:pt>
                <c:pt idx="79">
                  <c:v>25.081826388477641</c:v>
                </c:pt>
                <c:pt idx="80">
                  <c:v>22.545394655534245</c:v>
                </c:pt>
                <c:pt idx="81">
                  <c:v>20.392999238917422</c:v>
                </c:pt>
                <c:pt idx="82">
                  <c:v>19.145806010012834</c:v>
                </c:pt>
                <c:pt idx="83">
                  <c:v>17.883772467948127</c:v>
                </c:pt>
                <c:pt idx="84">
                  <c:v>17.142026673967987</c:v>
                </c:pt>
                <c:pt idx="85">
                  <c:v>17.313743806912214</c:v>
                </c:pt>
                <c:pt idx="86">
                  <c:v>21.277271008405339</c:v>
                </c:pt>
                <c:pt idx="87">
                  <c:v>25.470397070813494</c:v>
                </c:pt>
                <c:pt idx="88">
                  <c:v>28.112044290852197</c:v>
                </c:pt>
                <c:pt idx="89">
                  <c:v>25.508400919078291</c:v>
                </c:pt>
                <c:pt idx="90">
                  <c:v>23.818714938363151</c:v>
                </c:pt>
                <c:pt idx="91">
                  <c:v>23.263819527344744</c:v>
                </c:pt>
                <c:pt idx="92">
                  <c:v>24.360579251484566</c:v>
                </c:pt>
                <c:pt idx="93">
                  <c:v>23.881088946274591</c:v>
                </c:pt>
                <c:pt idx="94">
                  <c:v>23.719292922682488</c:v>
                </c:pt>
                <c:pt idx="95">
                  <c:v>25.41210332852674</c:v>
                </c:pt>
                <c:pt idx="96">
                  <c:v>28.042509857592044</c:v>
                </c:pt>
                <c:pt idx="97">
                  <c:v>29.294630609674517</c:v>
                </c:pt>
                <c:pt idx="98">
                  <c:v>27.200918904893161</c:v>
                </c:pt>
                <c:pt idx="99">
                  <c:v>25.186410115201362</c:v>
                </c:pt>
                <c:pt idx="100">
                  <c:v>23.487461286803114</c:v>
                </c:pt>
                <c:pt idx="101">
                  <c:v>22.284137502516135</c:v>
                </c:pt>
                <c:pt idx="102">
                  <c:v>21.917546419834256</c:v>
                </c:pt>
                <c:pt idx="103">
                  <c:v>22.422948333501417</c:v>
                </c:pt>
                <c:pt idx="104">
                  <c:v>22.681203005547225</c:v>
                </c:pt>
                <c:pt idx="105">
                  <c:v>21.883870733875906</c:v>
                </c:pt>
                <c:pt idx="106">
                  <c:v>22.000933419802912</c:v>
                </c:pt>
                <c:pt idx="107">
                  <c:v>23.030828597631135</c:v>
                </c:pt>
                <c:pt idx="108">
                  <c:v>24.491297178401368</c:v>
                </c:pt>
                <c:pt idx="109">
                  <c:v>24.356272072282987</c:v>
                </c:pt>
                <c:pt idx="110">
                  <c:v>23.188934492889516</c:v>
                </c:pt>
                <c:pt idx="111">
                  <c:v>21.926785201007501</c:v>
                </c:pt>
                <c:pt idx="112">
                  <c:v>20.964795106701033</c:v>
                </c:pt>
                <c:pt idx="113">
                  <c:v>20.615676374939454</c:v>
                </c:pt>
                <c:pt idx="114">
                  <c:v>19.700351777876389</c:v>
                </c:pt>
                <c:pt idx="115">
                  <c:v>19.73332074260923</c:v>
                </c:pt>
                <c:pt idx="116">
                  <c:v>19.454998139141193</c:v>
                </c:pt>
                <c:pt idx="117">
                  <c:v>22.635496708182156</c:v>
                </c:pt>
                <c:pt idx="118">
                  <c:v>25.706486602430896</c:v>
                </c:pt>
                <c:pt idx="119">
                  <c:v>29.340833479581786</c:v>
                </c:pt>
                <c:pt idx="120">
                  <c:v>29.451850970176078</c:v>
                </c:pt>
                <c:pt idx="121">
                  <c:v>28.432296704327275</c:v>
                </c:pt>
                <c:pt idx="122">
                  <c:v>28.560874911792268</c:v>
                </c:pt>
                <c:pt idx="123">
                  <c:v>29.776102034027378</c:v>
                </c:pt>
                <c:pt idx="124">
                  <c:v>31.867195322889945</c:v>
                </c:pt>
                <c:pt idx="125">
                  <c:v>33.339877681902109</c:v>
                </c:pt>
                <c:pt idx="126">
                  <c:v>34.48333072884278</c:v>
                </c:pt>
                <c:pt idx="127">
                  <c:v>35.063918566240979</c:v>
                </c:pt>
                <c:pt idx="128">
                  <c:v>35.544024220352881</c:v>
                </c:pt>
                <c:pt idx="129">
                  <c:v>36.178646432633684</c:v>
                </c:pt>
                <c:pt idx="130">
                  <c:v>36.817263975968736</c:v>
                </c:pt>
                <c:pt idx="131">
                  <c:v>37.056687281754172</c:v>
                </c:pt>
                <c:pt idx="132">
                  <c:v>36.216255758891137</c:v>
                </c:pt>
                <c:pt idx="133">
                  <c:v>35.77727823867972</c:v>
                </c:pt>
                <c:pt idx="134">
                  <c:v>35.407052544283822</c:v>
                </c:pt>
                <c:pt idx="135">
                  <c:v>36.212767844606084</c:v>
                </c:pt>
                <c:pt idx="136">
                  <c:v>36.244324442744549</c:v>
                </c:pt>
                <c:pt idx="137">
                  <c:v>36.16030982856185</c:v>
                </c:pt>
                <c:pt idx="138">
                  <c:v>35.836109403703809</c:v>
                </c:pt>
                <c:pt idx="139">
                  <c:v>36.226001535767608</c:v>
                </c:pt>
                <c:pt idx="140">
                  <c:v>36.817218786282069</c:v>
                </c:pt>
                <c:pt idx="141">
                  <c:v>36.912616178994718</c:v>
                </c:pt>
                <c:pt idx="142">
                  <c:v>36.448818661174755</c:v>
                </c:pt>
                <c:pt idx="143">
                  <c:v>36.45797168923707</c:v>
                </c:pt>
                <c:pt idx="144">
                  <c:v>37.259480849261941</c:v>
                </c:pt>
                <c:pt idx="145">
                  <c:v>38.881620791105604</c:v>
                </c:pt>
                <c:pt idx="146">
                  <c:v>39.830920853762549</c:v>
                </c:pt>
                <c:pt idx="147">
                  <c:v>39.763120787223485</c:v>
                </c:pt>
                <c:pt idx="148">
                  <c:v>39.451508440962563</c:v>
                </c:pt>
                <c:pt idx="149">
                  <c:v>39.009875163414826</c:v>
                </c:pt>
                <c:pt idx="150">
                  <c:v>39.122976113176598</c:v>
                </c:pt>
                <c:pt idx="151">
                  <c:v>39.304548710516549</c:v>
                </c:pt>
                <c:pt idx="152">
                  <c:v>39.849493657467036</c:v>
                </c:pt>
                <c:pt idx="153">
                  <c:v>39.391574727709106</c:v>
                </c:pt>
                <c:pt idx="154">
                  <c:v>39.054327260718686</c:v>
                </c:pt>
                <c:pt idx="155">
                  <c:v>39.141501445715555</c:v>
                </c:pt>
                <c:pt idx="156">
                  <c:v>39.969495729559753</c:v>
                </c:pt>
                <c:pt idx="157">
                  <c:v>39.863505528296024</c:v>
                </c:pt>
                <c:pt idx="158">
                  <c:v>40.513920148442843</c:v>
                </c:pt>
                <c:pt idx="159">
                  <c:v>41.005967482164209</c:v>
                </c:pt>
                <c:pt idx="160">
                  <c:v>41.876483913669375</c:v>
                </c:pt>
                <c:pt idx="161">
                  <c:v>41.376412589941594</c:v>
                </c:pt>
                <c:pt idx="162">
                  <c:v>41.450114023308579</c:v>
                </c:pt>
                <c:pt idx="163">
                  <c:v>41.603856199098061</c:v>
                </c:pt>
                <c:pt idx="164">
                  <c:v>41.912127178391266</c:v>
                </c:pt>
                <c:pt idx="165">
                  <c:v>41.668524006177414</c:v>
                </c:pt>
                <c:pt idx="166">
                  <c:v>41.094516702785086</c:v>
                </c:pt>
                <c:pt idx="167">
                  <c:v>40.804113306649967</c:v>
                </c:pt>
                <c:pt idx="168">
                  <c:v>41.594363170335953</c:v>
                </c:pt>
                <c:pt idx="169">
                  <c:v>41.439715260897991</c:v>
                </c:pt>
                <c:pt idx="170">
                  <c:v>41.734953541947547</c:v>
                </c:pt>
                <c:pt idx="171">
                  <c:v>41.178271218597544</c:v>
                </c:pt>
                <c:pt idx="172">
                  <c:v>41.501803031695125</c:v>
                </c:pt>
                <c:pt idx="173">
                  <c:v>41.186714185774932</c:v>
                </c:pt>
                <c:pt idx="174">
                  <c:v>40.418745725112679</c:v>
                </c:pt>
                <c:pt idx="175">
                  <c:v>40.229691250146466</c:v>
                </c:pt>
                <c:pt idx="176">
                  <c:v>40.107794210138906</c:v>
                </c:pt>
                <c:pt idx="177">
                  <c:v>40.685135040882933</c:v>
                </c:pt>
                <c:pt idx="178">
                  <c:v>40.544175983031479</c:v>
                </c:pt>
                <c:pt idx="179">
                  <c:v>40.597712046051981</c:v>
                </c:pt>
                <c:pt idx="180">
                  <c:v>40.090295667584726</c:v>
                </c:pt>
                <c:pt idx="181">
                  <c:v>39.437654052145142</c:v>
                </c:pt>
                <c:pt idx="182">
                  <c:v>38.757464013177447</c:v>
                </c:pt>
                <c:pt idx="183">
                  <c:v>38.572837973447157</c:v>
                </c:pt>
                <c:pt idx="184">
                  <c:v>39.68798252547915</c:v>
                </c:pt>
                <c:pt idx="185">
                  <c:v>40.483189393419615</c:v>
                </c:pt>
                <c:pt idx="186">
                  <c:v>41.485578424360384</c:v>
                </c:pt>
                <c:pt idx="187">
                  <c:v>41.962904984354843</c:v>
                </c:pt>
                <c:pt idx="188">
                  <c:v>41.69930479177161</c:v>
                </c:pt>
                <c:pt idx="189">
                  <c:v>41.236686927696447</c:v>
                </c:pt>
                <c:pt idx="190">
                  <c:v>40.675299269102332</c:v>
                </c:pt>
                <c:pt idx="191">
                  <c:v>40.396395183957921</c:v>
                </c:pt>
                <c:pt idx="192">
                  <c:v>39.505725108389086</c:v>
                </c:pt>
                <c:pt idx="193">
                  <c:v>39.070351177798742</c:v>
                </c:pt>
                <c:pt idx="194">
                  <c:v>39.245788040768581</c:v>
                </c:pt>
                <c:pt idx="195">
                  <c:v>39.662470283489803</c:v>
                </c:pt>
                <c:pt idx="196">
                  <c:v>39.632689294945727</c:v>
                </c:pt>
                <c:pt idx="197">
                  <c:v>39.962140647767868</c:v>
                </c:pt>
                <c:pt idx="198">
                  <c:v>40.448614818691624</c:v>
                </c:pt>
                <c:pt idx="199">
                  <c:v>41.429580842374989</c:v>
                </c:pt>
                <c:pt idx="200">
                  <c:v>41.381436760489031</c:v>
                </c:pt>
                <c:pt idx="201">
                  <c:v>41.612017396194638</c:v>
                </c:pt>
                <c:pt idx="202">
                  <c:v>41.673302027798833</c:v>
                </c:pt>
                <c:pt idx="203">
                  <c:v>41.462714773995337</c:v>
                </c:pt>
                <c:pt idx="204">
                  <c:v>40.936699872010216</c:v>
                </c:pt>
                <c:pt idx="205">
                  <c:v>40.401060212071776</c:v>
                </c:pt>
                <c:pt idx="206">
                  <c:v>40.368527242649535</c:v>
                </c:pt>
                <c:pt idx="207">
                  <c:v>41.149441449441397</c:v>
                </c:pt>
                <c:pt idx="208">
                  <c:v>41.921454783211381</c:v>
                </c:pt>
                <c:pt idx="209">
                  <c:v>42.67716375096802</c:v>
                </c:pt>
                <c:pt idx="210">
                  <c:v>42.764107120809754</c:v>
                </c:pt>
                <c:pt idx="211">
                  <c:v>42.300860840455925</c:v>
                </c:pt>
                <c:pt idx="212">
                  <c:v>41.637840861203479</c:v>
                </c:pt>
                <c:pt idx="213">
                  <c:v>40.982467873713439</c:v>
                </c:pt>
                <c:pt idx="214">
                  <c:v>40.334610340784735</c:v>
                </c:pt>
                <c:pt idx="215">
                  <c:v>39.694139724808529</c:v>
                </c:pt>
                <c:pt idx="216">
                  <c:v>39.060930402749797</c:v>
                </c:pt>
                <c:pt idx="217">
                  <c:v>38.434859584002758</c:v>
                </c:pt>
                <c:pt idx="218">
                  <c:v>37.815807231010837</c:v>
                </c:pt>
                <c:pt idx="219">
                  <c:v>38.107353106069624</c:v>
                </c:pt>
                <c:pt idx="220">
                  <c:v>38.329457664195225</c:v>
                </c:pt>
                <c:pt idx="221">
                  <c:v>38.480813122563205</c:v>
                </c:pt>
                <c:pt idx="222">
                  <c:v>38.648593479805989</c:v>
                </c:pt>
                <c:pt idx="223">
                  <c:v>38.216268871505719</c:v>
                </c:pt>
                <c:pt idx="224">
                  <c:v>37.64628447868585</c:v>
                </c:pt>
                <c:pt idx="225">
                  <c:v>36.824618448232741</c:v>
                </c:pt>
                <c:pt idx="226">
                  <c:v>36.708376503923454</c:v>
                </c:pt>
                <c:pt idx="227">
                  <c:v>37.119865368405307</c:v>
                </c:pt>
                <c:pt idx="228">
                  <c:v>35.830450116318083</c:v>
                </c:pt>
                <c:pt idx="229">
                  <c:v>35.346053988214898</c:v>
                </c:pt>
                <c:pt idx="230">
                  <c:v>35.164529123066103</c:v>
                </c:pt>
                <c:pt idx="231">
                  <c:v>34.988676790378179</c:v>
                </c:pt>
                <c:pt idx="232">
                  <c:v>35.070940899309839</c:v>
                </c:pt>
                <c:pt idx="233">
                  <c:v>35.181881590738307</c:v>
                </c:pt>
                <c:pt idx="234">
                  <c:v>36.234770124800171</c:v>
                </c:pt>
                <c:pt idx="235">
                  <c:v>36.886759190390229</c:v>
                </c:pt>
                <c:pt idx="236">
                  <c:v>36.791666653880469</c:v>
                </c:pt>
                <c:pt idx="237">
                  <c:v>36.108211786227983</c:v>
                </c:pt>
                <c:pt idx="238">
                  <c:v>36.286948573078433</c:v>
                </c:pt>
                <c:pt idx="239">
                  <c:v>36.467701700026709</c:v>
                </c:pt>
                <c:pt idx="240">
                  <c:v>35.968861895678373</c:v>
                </c:pt>
                <c:pt idx="241">
                  <c:v>34.505376739068353</c:v>
                </c:pt>
                <c:pt idx="242">
                  <c:v>33.348486687719848</c:v>
                </c:pt>
                <c:pt idx="243">
                  <c:v>33.523527098895222</c:v>
                </c:pt>
                <c:pt idx="244">
                  <c:v>34.327572679221049</c:v>
                </c:pt>
                <c:pt idx="245">
                  <c:v>35.326876103462666</c:v>
                </c:pt>
                <c:pt idx="246">
                  <c:v>35.125461299090212</c:v>
                </c:pt>
                <c:pt idx="247">
                  <c:v>34.939005742307842</c:v>
                </c:pt>
                <c:pt idx="248">
                  <c:v>34.725895231725637</c:v>
                </c:pt>
                <c:pt idx="249">
                  <c:v>35.96817157130058</c:v>
                </c:pt>
                <c:pt idx="250">
                  <c:v>36.678505118428475</c:v>
                </c:pt>
                <c:pt idx="251">
                  <c:v>36.801994076128189</c:v>
                </c:pt>
                <c:pt idx="252">
                  <c:v>35.306445978561449</c:v>
                </c:pt>
                <c:pt idx="253">
                  <c:v>35.62019415341036</c:v>
                </c:pt>
                <c:pt idx="254">
                  <c:v>35.635727714971623</c:v>
                </c:pt>
                <c:pt idx="255">
                  <c:v>36.398538109962139</c:v>
                </c:pt>
                <c:pt idx="256">
                  <c:v>35.519860034479919</c:v>
                </c:pt>
                <c:pt idx="257">
                  <c:v>35.022188258137781</c:v>
                </c:pt>
                <c:pt idx="258">
                  <c:v>33.742540248389275</c:v>
                </c:pt>
                <c:pt idx="259">
                  <c:v>35.322696401737396</c:v>
                </c:pt>
                <c:pt idx="260">
                  <c:v>35.316830737400643</c:v>
                </c:pt>
                <c:pt idx="261">
                  <c:v>34.512202990404212</c:v>
                </c:pt>
                <c:pt idx="262">
                  <c:v>34.477872250147271</c:v>
                </c:pt>
                <c:pt idx="263">
                  <c:v>35.067199563183507</c:v>
                </c:pt>
                <c:pt idx="264">
                  <c:v>35.102511287821528</c:v>
                </c:pt>
                <c:pt idx="265">
                  <c:v>33.816223214076054</c:v>
                </c:pt>
                <c:pt idx="266">
                  <c:v>32.633961998551428</c:v>
                </c:pt>
                <c:pt idx="267">
                  <c:v>32.147040164115666</c:v>
                </c:pt>
                <c:pt idx="268">
                  <c:v>32.140446038648165</c:v>
                </c:pt>
                <c:pt idx="269">
                  <c:v>33.846998993985025</c:v>
                </c:pt>
                <c:pt idx="270">
                  <c:v>35.310037358381727</c:v>
                </c:pt>
                <c:pt idx="271">
                  <c:v>36.074662470361957</c:v>
                </c:pt>
                <c:pt idx="272">
                  <c:v>35.53662773065799</c:v>
                </c:pt>
                <c:pt idx="273">
                  <c:v>34.343047862044934</c:v>
                </c:pt>
                <c:pt idx="274">
                  <c:v>33.869723827921476</c:v>
                </c:pt>
                <c:pt idx="275">
                  <c:v>33.013027385591194</c:v>
                </c:pt>
                <c:pt idx="276">
                  <c:v>32.544653074492338</c:v>
                </c:pt>
                <c:pt idx="277">
                  <c:v>32.112765532773501</c:v>
                </c:pt>
                <c:pt idx="278">
                  <c:v>33.034872860027392</c:v>
                </c:pt>
                <c:pt idx="279">
                  <c:v>33.647437358899552</c:v>
                </c:pt>
                <c:pt idx="280">
                  <c:v>33.138606716239124</c:v>
                </c:pt>
                <c:pt idx="281">
                  <c:v>31.384837277555754</c:v>
                </c:pt>
                <c:pt idx="282">
                  <c:v>29.358210137410889</c:v>
                </c:pt>
                <c:pt idx="283">
                  <c:v>28.393092094010992</c:v>
                </c:pt>
                <c:pt idx="284">
                  <c:v>29.366106285764825</c:v>
                </c:pt>
                <c:pt idx="285">
                  <c:v>30.203698770032528</c:v>
                </c:pt>
                <c:pt idx="286">
                  <c:v>31.014299530919608</c:v>
                </c:pt>
                <c:pt idx="287">
                  <c:v>30.016762736710632</c:v>
                </c:pt>
                <c:pt idx="288">
                  <c:v>28.784680577370388</c:v>
                </c:pt>
                <c:pt idx="289">
                  <c:v>27.845237052992889</c:v>
                </c:pt>
                <c:pt idx="290">
                  <c:v>29.392818986886489</c:v>
                </c:pt>
                <c:pt idx="291">
                  <c:v>33.0489574844838</c:v>
                </c:pt>
                <c:pt idx="292">
                  <c:v>25.138856181458468</c:v>
                </c:pt>
                <c:pt idx="293">
                  <c:v>29.105441368371633</c:v>
                </c:pt>
                <c:pt idx="294">
                  <c:v>33.833038603837586</c:v>
                </c:pt>
                <c:pt idx="295">
                  <c:v>33.862010152675893</c:v>
                </c:pt>
                <c:pt idx="296">
                  <c:v>33.329985269359753</c:v>
                </c:pt>
                <c:pt idx="297">
                  <c:v>33.459719638890824</c:v>
                </c:pt>
                <c:pt idx="298">
                  <c:v>32.218687310540204</c:v>
                </c:pt>
                <c:pt idx="299">
                  <c:v>30.066805019293618</c:v>
                </c:pt>
                <c:pt idx="300">
                  <c:v>26.976036475578496</c:v>
                </c:pt>
                <c:pt idx="301">
                  <c:v>24.649433547713635</c:v>
                </c:pt>
                <c:pt idx="302">
                  <c:v>22.545554583408709</c:v>
                </c:pt>
                <c:pt idx="303">
                  <c:v>21.499559968441503</c:v>
                </c:pt>
                <c:pt idx="304">
                  <c:v>21.600254001371606</c:v>
                </c:pt>
                <c:pt idx="305">
                  <c:v>24.313315037543489</c:v>
                </c:pt>
                <c:pt idx="306">
                  <c:v>27.693456232445168</c:v>
                </c:pt>
                <c:pt idx="307">
                  <c:v>29.924576235436501</c:v>
                </c:pt>
                <c:pt idx="308">
                  <c:v>29.326725050495028</c:v>
                </c:pt>
                <c:pt idx="309">
                  <c:v>27.495143275806793</c:v>
                </c:pt>
                <c:pt idx="310">
                  <c:v>27.330367265611265</c:v>
                </c:pt>
                <c:pt idx="311">
                  <c:v>27.5970633553219</c:v>
                </c:pt>
                <c:pt idx="312">
                  <c:v>30.039256507717944</c:v>
                </c:pt>
                <c:pt idx="313">
                  <c:v>30.491044339472623</c:v>
                </c:pt>
                <c:pt idx="314">
                  <c:v>31.564826023394421</c:v>
                </c:pt>
                <c:pt idx="315">
                  <c:v>30.98968490816565</c:v>
                </c:pt>
                <c:pt idx="316">
                  <c:v>30.860201837791767</c:v>
                </c:pt>
                <c:pt idx="317">
                  <c:v>31.395894143773713</c:v>
                </c:pt>
                <c:pt idx="318">
                  <c:v>32.647506965472672</c:v>
                </c:pt>
                <c:pt idx="319">
                  <c:v>32.70681466224287</c:v>
                </c:pt>
                <c:pt idx="320">
                  <c:v>33.298021024592536</c:v>
                </c:pt>
                <c:pt idx="321">
                  <c:v>33.144425827681232</c:v>
                </c:pt>
                <c:pt idx="322">
                  <c:v>33.048667041719881</c:v>
                </c:pt>
                <c:pt idx="323">
                  <c:v>31.258512534199724</c:v>
                </c:pt>
                <c:pt idx="324">
                  <c:v>30.072522170596976</c:v>
                </c:pt>
                <c:pt idx="325">
                  <c:v>28.209119815600531</c:v>
                </c:pt>
                <c:pt idx="326">
                  <c:v>27.315891955946803</c:v>
                </c:pt>
                <c:pt idx="327">
                  <c:v>25.204527884355059</c:v>
                </c:pt>
                <c:pt idx="328">
                  <c:v>23.853478727246124</c:v>
                </c:pt>
                <c:pt idx="329">
                  <c:v>24.187485907248934</c:v>
                </c:pt>
                <c:pt idx="330">
                  <c:v>24.424984378626871</c:v>
                </c:pt>
                <c:pt idx="331">
                  <c:v>25.452542514299527</c:v>
                </c:pt>
                <c:pt idx="332">
                  <c:v>24.341180636861985</c:v>
                </c:pt>
                <c:pt idx="333">
                  <c:v>23.832855522030592</c:v>
                </c:pt>
                <c:pt idx="334">
                  <c:v>23.348538394438894</c:v>
                </c:pt>
                <c:pt idx="335">
                  <c:v>23.628025074627512</c:v>
                </c:pt>
                <c:pt idx="336">
                  <c:v>24.04702615929784</c:v>
                </c:pt>
                <c:pt idx="337">
                  <c:v>24.895596396288379</c:v>
                </c:pt>
                <c:pt idx="338">
                  <c:v>27.372570959579672</c:v>
                </c:pt>
                <c:pt idx="339">
                  <c:v>29.343300047915331</c:v>
                </c:pt>
                <c:pt idx="340">
                  <c:v>30.846363866424507</c:v>
                </c:pt>
                <c:pt idx="341">
                  <c:v>30.623950857643585</c:v>
                </c:pt>
                <c:pt idx="342">
                  <c:v>29.595332096466752</c:v>
                </c:pt>
                <c:pt idx="343">
                  <c:v>27.263699051359502</c:v>
                </c:pt>
                <c:pt idx="344">
                  <c:v>24.735498647758199</c:v>
                </c:pt>
                <c:pt idx="345">
                  <c:v>22.673226724392403</c:v>
                </c:pt>
                <c:pt idx="346">
                  <c:v>20.880743269289283</c:v>
                </c:pt>
                <c:pt idx="347">
                  <c:v>24.817374821113805</c:v>
                </c:pt>
                <c:pt idx="348">
                  <c:v>23.240110730234409</c:v>
                </c:pt>
                <c:pt idx="349">
                  <c:v>28.034959017723803</c:v>
                </c:pt>
                <c:pt idx="350">
                  <c:v>28.129364939402961</c:v>
                </c:pt>
                <c:pt idx="351">
                  <c:v>28.681804833965085</c:v>
                </c:pt>
                <c:pt idx="352">
                  <c:v>28.578406684781282</c:v>
                </c:pt>
                <c:pt idx="353">
                  <c:v>28.212212213161862</c:v>
                </c:pt>
                <c:pt idx="354">
                  <c:v>27.693587025840603</c:v>
                </c:pt>
                <c:pt idx="355">
                  <c:v>27.885135281516533</c:v>
                </c:pt>
                <c:pt idx="356">
                  <c:v>27.994559445528832</c:v>
                </c:pt>
                <c:pt idx="357">
                  <c:v>28.36382801710095</c:v>
                </c:pt>
                <c:pt idx="358">
                  <c:v>28.131040597993991</c:v>
                </c:pt>
                <c:pt idx="359">
                  <c:v>28.861868344605888</c:v>
                </c:pt>
                <c:pt idx="360">
                  <c:v>30.504703896935375</c:v>
                </c:pt>
                <c:pt idx="361">
                  <c:v>32.670700054003241</c:v>
                </c:pt>
                <c:pt idx="362">
                  <c:v>33.93742522874237</c:v>
                </c:pt>
                <c:pt idx="363">
                  <c:v>34.583639973651145</c:v>
                </c:pt>
                <c:pt idx="364">
                  <c:v>34.396829367569211</c:v>
                </c:pt>
                <c:pt idx="365">
                  <c:v>34.620757700118943</c:v>
                </c:pt>
                <c:pt idx="366">
                  <c:v>35.064589834311782</c:v>
                </c:pt>
                <c:pt idx="367">
                  <c:v>36.266706680567864</c:v>
                </c:pt>
                <c:pt idx="368">
                  <c:v>38.047601931155654</c:v>
                </c:pt>
                <c:pt idx="369">
                  <c:v>38.86586963551072</c:v>
                </c:pt>
                <c:pt idx="370">
                  <c:v>39.141574594960673</c:v>
                </c:pt>
                <c:pt idx="371">
                  <c:v>38.700292649341087</c:v>
                </c:pt>
                <c:pt idx="372">
                  <c:v>36.688608971739434</c:v>
                </c:pt>
                <c:pt idx="373">
                  <c:v>34.260471454946035</c:v>
                </c:pt>
                <c:pt idx="374">
                  <c:v>32.904863029207363</c:v>
                </c:pt>
                <c:pt idx="375">
                  <c:v>33.318671503368321</c:v>
                </c:pt>
                <c:pt idx="376">
                  <c:v>34.480915997949275</c:v>
                </c:pt>
                <c:pt idx="377">
                  <c:v>34.257707743990608</c:v>
                </c:pt>
                <c:pt idx="378">
                  <c:v>33.948266670107657</c:v>
                </c:pt>
                <c:pt idx="379">
                  <c:v>33.967237143893634</c:v>
                </c:pt>
                <c:pt idx="380">
                  <c:v>34.038318584951213</c:v>
                </c:pt>
                <c:pt idx="381">
                  <c:v>34.869763138457863</c:v>
                </c:pt>
                <c:pt idx="382">
                  <c:v>35.963201496336474</c:v>
                </c:pt>
                <c:pt idx="383">
                  <c:v>36.648251428585752</c:v>
                </c:pt>
                <c:pt idx="384">
                  <c:v>36.979376711686058</c:v>
                </c:pt>
                <c:pt idx="385">
                  <c:v>36.317387365870182</c:v>
                </c:pt>
                <c:pt idx="386">
                  <c:v>36.114195038890408</c:v>
                </c:pt>
                <c:pt idx="387">
                  <c:v>35.554146580204808</c:v>
                </c:pt>
                <c:pt idx="388">
                  <c:v>35.423828101719195</c:v>
                </c:pt>
                <c:pt idx="389">
                  <c:v>35.82653520301821</c:v>
                </c:pt>
                <c:pt idx="390">
                  <c:v>36.331578430127095</c:v>
                </c:pt>
                <c:pt idx="391">
                  <c:v>36.074262833188342</c:v>
                </c:pt>
                <c:pt idx="392">
                  <c:v>35.858338447146409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B8-487A-9BEF-77A22A9B9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0666592"/>
        <c:axId val="770694688"/>
      </c:scatterChart>
      <c:valAx>
        <c:axId val="850666592"/>
        <c:scaling>
          <c:orientation val="minMax"/>
          <c:max val="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Ref.</a:t>
                </a:r>
                <a:r>
                  <a:rPr lang="en-US" baseline="0"/>
                  <a:t> vol. SM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694688"/>
        <c:crosses val="autoZero"/>
        <c:crossBetween val="midCat"/>
      </c:valAx>
      <c:valAx>
        <c:axId val="7706946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Pred.</a:t>
                </a:r>
                <a:r>
                  <a:rPr lang="en-US" baseline="0"/>
                  <a:t> vol. SM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666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0-3.5 cm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R2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2E-3</c:v>
                </c:pt>
                <c:pt idx="2">
                  <c:v>4.0000000000000001E-3</c:v>
                </c:pt>
                <c:pt idx="3">
                  <c:v>6.0000000000000001E-3</c:v>
                </c:pt>
                <c:pt idx="4">
                  <c:v>8.0000000000000002E-3</c:v>
                </c:pt>
                <c:pt idx="5">
                  <c:v>0.01</c:v>
                </c:pt>
                <c:pt idx="6">
                  <c:v>1.4999999999999999E-2</c:v>
                </c:pt>
                <c:pt idx="7">
                  <c:v>0.02</c:v>
                </c:pt>
              </c:numCache>
            </c:numRef>
          </c:xVal>
          <c:yVal>
            <c:numRef>
              <c:f>Sheet1!$B$3:$B$10</c:f>
              <c:numCache>
                <c:formatCode>General</c:formatCode>
                <c:ptCount val="8"/>
                <c:pt idx="0">
                  <c:v>0.68</c:v>
                </c:pt>
                <c:pt idx="1">
                  <c:v>0.75</c:v>
                </c:pt>
                <c:pt idx="2">
                  <c:v>0.77</c:v>
                </c:pt>
                <c:pt idx="3">
                  <c:v>0.76</c:v>
                </c:pt>
                <c:pt idx="4">
                  <c:v>0.73</c:v>
                </c:pt>
                <c:pt idx="5">
                  <c:v>0.7</c:v>
                </c:pt>
                <c:pt idx="6">
                  <c:v>0.62</c:v>
                </c:pt>
                <c:pt idx="7">
                  <c:v>0.55000000000000004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A5-4F01-AE1C-D8BE06D0D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4665824"/>
        <c:axId val="1134666784"/>
      </c:scatterChart>
      <c:valAx>
        <c:axId val="1134665824"/>
        <c:scaling>
          <c:orientation val="minMax"/>
          <c:max val="2.2000000000000006E-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666784"/>
        <c:crosses val="autoZero"/>
        <c:crossBetween val="midCat"/>
      </c:valAx>
      <c:valAx>
        <c:axId val="113466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baseline="0"/>
                  <a:t>R</a:t>
                </a:r>
                <a:r>
                  <a:rPr lang="en-US" sz="1400" b="1" i="0" u="none" strike="noStrike" baseline="30000"/>
                  <a:t>2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665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0-7.5 cm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0-7.5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2E-3</c:v>
                </c:pt>
                <c:pt idx="2">
                  <c:v>4.0000000000000001E-3</c:v>
                </c:pt>
                <c:pt idx="3">
                  <c:v>6.0000000000000001E-3</c:v>
                </c:pt>
                <c:pt idx="4">
                  <c:v>8.0000000000000002E-3</c:v>
                </c:pt>
                <c:pt idx="5">
                  <c:v>0.01</c:v>
                </c:pt>
                <c:pt idx="6">
                  <c:v>1.4999999999999999E-2</c:v>
                </c:pt>
                <c:pt idx="7">
                  <c:v>0.02</c:v>
                </c:pt>
              </c:numCache>
            </c:numRef>
          </c:xVal>
          <c:yVal>
            <c:numRef>
              <c:f>Sheet1!$E$3:$E$10</c:f>
              <c:numCache>
                <c:formatCode>General</c:formatCode>
                <c:ptCount val="8"/>
                <c:pt idx="0">
                  <c:v>0.66</c:v>
                </c:pt>
                <c:pt idx="1">
                  <c:v>0.75</c:v>
                </c:pt>
                <c:pt idx="2">
                  <c:v>0.78</c:v>
                </c:pt>
                <c:pt idx="3">
                  <c:v>0.77</c:v>
                </c:pt>
                <c:pt idx="4">
                  <c:v>0.75</c:v>
                </c:pt>
                <c:pt idx="5">
                  <c:v>0.72</c:v>
                </c:pt>
                <c:pt idx="6">
                  <c:v>0.64</c:v>
                </c:pt>
                <c:pt idx="7">
                  <c:v>0.57999999999999996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72-4B64-8873-67BA2FBC0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4665824"/>
        <c:axId val="1134666784"/>
      </c:scatterChart>
      <c:valAx>
        <c:axId val="1134665824"/>
        <c:scaling>
          <c:orientation val="minMax"/>
          <c:max val="2.2000000000000006E-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666784"/>
        <c:crosses val="autoZero"/>
        <c:crossBetween val="midCat"/>
      </c:valAx>
      <c:valAx>
        <c:axId val="113466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baseline="0"/>
                  <a:t>R</a:t>
                </a:r>
                <a:r>
                  <a:rPr lang="en-US" sz="1400" b="1" i="0" u="none" strike="noStrike" baseline="30000"/>
                  <a:t>2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66582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0-15 cm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0-15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2E-3</c:v>
                </c:pt>
                <c:pt idx="2">
                  <c:v>4.0000000000000001E-3</c:v>
                </c:pt>
                <c:pt idx="3">
                  <c:v>6.0000000000000001E-3</c:v>
                </c:pt>
                <c:pt idx="4">
                  <c:v>8.0000000000000002E-3</c:v>
                </c:pt>
                <c:pt idx="5">
                  <c:v>0.01</c:v>
                </c:pt>
                <c:pt idx="6">
                  <c:v>1.4999999999999999E-2</c:v>
                </c:pt>
                <c:pt idx="7">
                  <c:v>0.02</c:v>
                </c:pt>
              </c:numCache>
            </c:numRef>
          </c:xVal>
          <c:yVal>
            <c:numRef>
              <c:f>Sheet1!$H$3:$H$10</c:f>
              <c:numCache>
                <c:formatCode>General</c:formatCode>
                <c:ptCount val="8"/>
                <c:pt idx="0">
                  <c:v>0.66</c:v>
                </c:pt>
                <c:pt idx="1">
                  <c:v>0.78</c:v>
                </c:pt>
                <c:pt idx="2">
                  <c:v>0.84</c:v>
                </c:pt>
                <c:pt idx="3">
                  <c:v>0.85</c:v>
                </c:pt>
                <c:pt idx="4">
                  <c:v>0.84</c:v>
                </c:pt>
                <c:pt idx="5">
                  <c:v>0.82</c:v>
                </c:pt>
                <c:pt idx="6">
                  <c:v>0.76</c:v>
                </c:pt>
                <c:pt idx="7">
                  <c:v>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401-4B44-A6B1-5424842E6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4665824"/>
        <c:axId val="1134666784"/>
      </c:scatterChart>
      <c:valAx>
        <c:axId val="1134665824"/>
        <c:scaling>
          <c:orientation val="minMax"/>
          <c:max val="2.2000000000000006E-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666784"/>
        <c:crosses val="autoZero"/>
        <c:crossBetween val="midCat"/>
      </c:valAx>
      <c:valAx>
        <c:axId val="113466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baseline="0"/>
                  <a:t>R</a:t>
                </a:r>
                <a:r>
                  <a:rPr lang="en-US" sz="1400" b="1" i="0" u="none" strike="noStrike" baseline="30000"/>
                  <a:t>2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66582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0-25 cm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SM_dw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2E-3</c:v>
                </c:pt>
                <c:pt idx="2">
                  <c:v>4.0000000000000001E-3</c:v>
                </c:pt>
                <c:pt idx="3">
                  <c:v>6.0000000000000001E-3</c:v>
                </c:pt>
                <c:pt idx="4">
                  <c:v>8.0000000000000002E-3</c:v>
                </c:pt>
                <c:pt idx="5">
                  <c:v>0.01</c:v>
                </c:pt>
                <c:pt idx="6">
                  <c:v>1.4999999999999999E-2</c:v>
                </c:pt>
                <c:pt idx="7">
                  <c:v>0.02</c:v>
                </c:pt>
              </c:numCache>
            </c:numRef>
          </c:xVal>
          <c:yVal>
            <c:numRef>
              <c:f>Sheet1!$K$3:$K$10</c:f>
              <c:numCache>
                <c:formatCode>General</c:formatCode>
                <c:ptCount val="8"/>
                <c:pt idx="0">
                  <c:v>0.54</c:v>
                </c:pt>
                <c:pt idx="1">
                  <c:v>0.68</c:v>
                </c:pt>
                <c:pt idx="2">
                  <c:v>0.76</c:v>
                </c:pt>
                <c:pt idx="3">
                  <c:v>0.8</c:v>
                </c:pt>
                <c:pt idx="4">
                  <c:v>0.80979999999999996</c:v>
                </c:pt>
                <c:pt idx="5">
                  <c:v>0.80649999999999999</c:v>
                </c:pt>
                <c:pt idx="6">
                  <c:v>0.77</c:v>
                </c:pt>
                <c:pt idx="7">
                  <c:v>0.73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18-4D2A-A605-370DFF3CD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4665824"/>
        <c:axId val="1134666784"/>
      </c:scatterChart>
      <c:valAx>
        <c:axId val="1134665824"/>
        <c:scaling>
          <c:orientation val="minMax"/>
          <c:max val="2.2000000000000006E-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666784"/>
        <c:crosses val="autoZero"/>
        <c:crossBetween val="midCat"/>
      </c:valAx>
      <c:valAx>
        <c:axId val="113466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baseline="0"/>
                  <a:t>R</a:t>
                </a:r>
                <a:r>
                  <a:rPr lang="en-US" sz="1400" b="1" i="0" u="none" strike="noStrike" baseline="30000"/>
                  <a:t>2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665824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Sensitivity</a:t>
            </a:r>
            <a:r>
              <a:rPr lang="en-US" baseline="0"/>
              <a:t> weighted mean SM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SM_sw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Sheet1!$A$3:$A$10</c:f>
              <c:numCache>
                <c:formatCode>General</c:formatCode>
                <c:ptCount val="8"/>
                <c:pt idx="0">
                  <c:v>0</c:v>
                </c:pt>
                <c:pt idx="1">
                  <c:v>2E-3</c:v>
                </c:pt>
                <c:pt idx="2">
                  <c:v>4.0000000000000001E-3</c:v>
                </c:pt>
                <c:pt idx="3">
                  <c:v>6.0000000000000001E-3</c:v>
                </c:pt>
                <c:pt idx="4">
                  <c:v>8.0000000000000002E-3</c:v>
                </c:pt>
                <c:pt idx="5">
                  <c:v>0.01</c:v>
                </c:pt>
                <c:pt idx="6">
                  <c:v>1.4999999999999999E-2</c:v>
                </c:pt>
                <c:pt idx="7">
                  <c:v>0.02</c:v>
                </c:pt>
              </c:numCache>
            </c:numRef>
          </c:xVal>
          <c:yVal>
            <c:numRef>
              <c:f>Sheet1!$N$3:$N$10</c:f>
              <c:numCache>
                <c:formatCode>General</c:formatCode>
                <c:ptCount val="8"/>
                <c:pt idx="0">
                  <c:v>0.65</c:v>
                </c:pt>
                <c:pt idx="1">
                  <c:v>0.75</c:v>
                </c:pt>
                <c:pt idx="2">
                  <c:v>0.8</c:v>
                </c:pt>
                <c:pt idx="3">
                  <c:v>0.81</c:v>
                </c:pt>
                <c:pt idx="4">
                  <c:v>0.79</c:v>
                </c:pt>
                <c:pt idx="5">
                  <c:v>0.77</c:v>
                </c:pt>
                <c:pt idx="6">
                  <c:v>0.71</c:v>
                </c:pt>
                <c:pt idx="7">
                  <c:v>0.65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5B-40DC-AADB-69534406C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4665824"/>
        <c:axId val="1134666784"/>
      </c:scatterChart>
      <c:valAx>
        <c:axId val="1134665824"/>
        <c:scaling>
          <c:orientation val="minMax"/>
          <c:max val="2.2000000000000006E-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666784"/>
        <c:crosses val="autoZero"/>
        <c:crossBetween val="midCat"/>
      </c:valAx>
      <c:valAx>
        <c:axId val="113466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baseline="0"/>
                  <a:t>R</a:t>
                </a:r>
                <a:r>
                  <a:rPr lang="en-US" sz="1400" b="1" i="0" u="none" strike="noStrike" baseline="30000"/>
                  <a:t>2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66582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439737</xdr:colOff>
      <xdr:row>6</xdr:row>
      <xdr:rowOff>152401</xdr:rowOff>
    </xdr:from>
    <xdr:to>
      <xdr:col>15</xdr:col>
      <xdr:colOff>744537</xdr:colOff>
      <xdr:row>24</xdr:row>
      <xdr:rowOff>95251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32DA1F-CA1B-F82B-6B76-DAFA14E716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409575</xdr:colOff>
      <xdr:row>6</xdr:row>
      <xdr:rowOff>152400</xdr:rowOff>
    </xdr:from>
    <xdr:to>
      <xdr:col>24</xdr:col>
      <xdr:colOff>352425</xdr:colOff>
      <xdr:row>24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D4A216-ED2B-40DC-84D2-73A264473C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409575</xdr:colOff>
      <xdr:row>25</xdr:row>
      <xdr:rowOff>114300</xdr:rowOff>
    </xdr:from>
    <xdr:to>
      <xdr:col>15</xdr:col>
      <xdr:colOff>714375</xdr:colOff>
      <xdr:row>40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BD03849-BB7A-4D6F-93C9-F0A3F6019A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406400</xdr:colOff>
      <xdr:row>25</xdr:row>
      <xdr:rowOff>123825</xdr:rowOff>
    </xdr:from>
    <xdr:to>
      <xdr:col>24</xdr:col>
      <xdr:colOff>330200</xdr:colOff>
      <xdr:row>40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D5D1608-C554-41CD-B883-44A4AD311E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14</xdr:row>
      <xdr:rowOff>84137</xdr:rowOff>
    </xdr:from>
    <xdr:to>
      <xdr:col>7</xdr:col>
      <xdr:colOff>514350</xdr:colOff>
      <xdr:row>29</xdr:row>
      <xdr:rowOff>106362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C768D4-BC07-163E-7F06-D5B503263F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152400</xdr:colOff>
      <xdr:row>31</xdr:row>
      <xdr:rowOff>66675</xdr:rowOff>
    </xdr:from>
    <xdr:to>
      <xdr:col>7</xdr:col>
      <xdr:colOff>457200</xdr:colOff>
      <xdr:row>46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0BBFA7-1617-4A73-8F3E-C557D34BB3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48</xdr:row>
      <xdr:rowOff>85725</xdr:rowOff>
    </xdr:from>
    <xdr:to>
      <xdr:col>7</xdr:col>
      <xdr:colOff>419100</xdr:colOff>
      <xdr:row>63</xdr:row>
      <xdr:rowOff>111125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A8959C-58EB-4134-9E1A-CECB8D6ECC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14</xdr:row>
      <xdr:rowOff>0</xdr:rowOff>
    </xdr:from>
    <xdr:to>
      <xdr:col>17</xdr:col>
      <xdr:colOff>304800</xdr:colOff>
      <xdr:row>29</xdr:row>
      <xdr:rowOff>15875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85D75C9-251D-46A4-AC3F-E15E4178FF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32</xdr:row>
      <xdr:rowOff>0</xdr:rowOff>
    </xdr:from>
    <xdr:to>
      <xdr:col>17</xdr:col>
      <xdr:colOff>304800</xdr:colOff>
      <xdr:row>47</xdr:row>
      <xdr:rowOff>15875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29C1F6F-4B60-497C-9C99-1966D3FB05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8"/>
  <sheetViews>
    <sheetView tabSelected="1" workbookViewId="0">
      <selection activeCell="K6" sqref="K6"/>
    </sheetView>
  </sheetViews>
  <sheetFormatPr defaultRowHeight="14.5" x14ac:dyDescent="0.35"/>
  <cols>
    <col min="1" max="1" width="13.1796875" customWidth="1"/>
    <col min="11" max="11" width="12" bestFit="1" customWidth="1"/>
    <col min="15" max="16" width="12" bestFit="1" customWidth="1"/>
  </cols>
  <sheetData>
    <row r="1" spans="1:16" x14ac:dyDescent="0.35">
      <c r="A1" t="s">
        <v>1</v>
      </c>
      <c r="B1" t="s">
        <v>2</v>
      </c>
    </row>
    <row r="2" spans="1:16" x14ac:dyDescent="0.35">
      <c r="A2" t="s">
        <v>3</v>
      </c>
      <c r="B2">
        <v>14.659028899360298</v>
      </c>
    </row>
    <row r="3" spans="1:16" x14ac:dyDescent="0.35">
      <c r="A3" t="s">
        <v>4</v>
      </c>
      <c r="B3">
        <v>1.38</v>
      </c>
    </row>
    <row r="4" spans="1:16" x14ac:dyDescent="0.35">
      <c r="A4" t="s">
        <v>5</v>
      </c>
      <c r="B4">
        <v>1.9164469051034823</v>
      </c>
      <c r="J4" t="s">
        <v>9</v>
      </c>
      <c r="O4" t="s">
        <v>11</v>
      </c>
    </row>
    <row r="5" spans="1:16" x14ac:dyDescent="0.35">
      <c r="A5" t="s">
        <v>252</v>
      </c>
      <c r="B5">
        <v>0</v>
      </c>
      <c r="J5" t="s">
        <v>6</v>
      </c>
      <c r="K5">
        <f>RSQ(B8:B460,C8:C460)</f>
        <v>0.68389541012026955</v>
      </c>
      <c r="O5" t="s">
        <v>10</v>
      </c>
    </row>
    <row r="6" spans="1:16" x14ac:dyDescent="0.35">
      <c r="J6" t="s">
        <v>7</v>
      </c>
      <c r="K6" cm="1">
        <f t="array" ref="K6">SQRT(SUMSQ(B8:B460-C8:C460) / COUNTA(B8:B460))</f>
        <v>0.31934715733165697</v>
      </c>
      <c r="N6" t="s">
        <v>7</v>
      </c>
      <c r="O6" cm="1">
        <f t="array" ref="O6">SQRT(SUMSQ(D8:D460-E8:E460) / COUNTA(D8:D460))</f>
        <v>4.1764127505640625</v>
      </c>
      <c r="P6" cm="1">
        <f t="array" ref="P6">SQRT(SUMSQ(D8:D460-F8:F460) / COUNTA(D8:D460))</f>
        <v>3.1850339645744405</v>
      </c>
    </row>
    <row r="7" spans="1:16" x14ac:dyDescent="0.35">
      <c r="A7" t="s">
        <v>0</v>
      </c>
      <c r="B7" t="s">
        <v>23</v>
      </c>
      <c r="C7" t="s">
        <v>13</v>
      </c>
      <c r="D7" t="s">
        <v>12</v>
      </c>
      <c r="E7" t="s">
        <v>8</v>
      </c>
      <c r="F7" t="s">
        <v>14</v>
      </c>
      <c r="G7" t="s">
        <v>436</v>
      </c>
      <c r="H7" t="s">
        <v>22</v>
      </c>
    </row>
    <row r="8" spans="1:16" x14ac:dyDescent="0.35">
      <c r="A8" t="s">
        <v>24</v>
      </c>
      <c r="B8">
        <v>9.6624901803118899</v>
      </c>
      <c r="C8">
        <f>$B$2/(1+$B$4*((D8/100)/$B$3))</f>
        <v>9.8397584076850304</v>
      </c>
      <c r="D8">
        <v>35.267864366824199</v>
      </c>
      <c r="E8">
        <f xml:space="preserve"> (12.822 - B8)/0.0811</f>
        <v>38.958197530062996</v>
      </c>
      <c r="F8">
        <f xml:space="preserve"> ((($B$3 *($B$2-B8))/($B$4*B8)))*100</f>
        <v>37.235954103720346</v>
      </c>
      <c r="H8">
        <v>9.6624901803118899</v>
      </c>
    </row>
    <row r="9" spans="1:16" x14ac:dyDescent="0.35">
      <c r="A9" t="s">
        <v>25</v>
      </c>
      <c r="B9">
        <v>9.6824418981481397</v>
      </c>
      <c r="C9">
        <f t="shared" ref="C9:C72" si="0">$B$2/(1+$B$4*((D9/100)/$B$3))</f>
        <v>9.8460448870814918</v>
      </c>
      <c r="D9">
        <v>35.1993709636075</v>
      </c>
      <c r="E9">
        <f t="shared" ref="E9:E72" si="1" xml:space="preserve"> (12.822 - B9)/0.0811</f>
        <v>38.71218374663205</v>
      </c>
      <c r="F9">
        <f t="shared" ref="F9:F72" si="2" xml:space="preserve"> ((($B$3 *($B$2-B9))/($B$4*B9)))*100</f>
        <v>37.010844602946065</v>
      </c>
      <c r="H9">
        <v>9.6824418981481397</v>
      </c>
    </row>
    <row r="10" spans="1:16" x14ac:dyDescent="0.35">
      <c r="A10" t="s">
        <v>26</v>
      </c>
      <c r="B10">
        <v>9.7063027777777808</v>
      </c>
      <c r="C10">
        <f t="shared" si="0"/>
        <v>9.8992351203092941</v>
      </c>
      <c r="D10">
        <v>34.623326589406403</v>
      </c>
      <c r="E10">
        <f t="shared" si="1"/>
        <v>38.417968214823901</v>
      </c>
      <c r="F10">
        <f t="shared" si="2"/>
        <v>36.742844345337318</v>
      </c>
      <c r="H10">
        <v>9.7063027777777808</v>
      </c>
    </row>
    <row r="11" spans="1:16" x14ac:dyDescent="0.35">
      <c r="A11" t="s">
        <v>27</v>
      </c>
      <c r="B11">
        <v>9.7083127777777793</v>
      </c>
      <c r="C11">
        <f t="shared" si="0"/>
        <v>9.9530031627685815</v>
      </c>
      <c r="D11">
        <v>34.047282215205399</v>
      </c>
      <c r="E11">
        <f t="shared" si="1"/>
        <v>38.393183997807888</v>
      </c>
      <c r="F11">
        <f t="shared" si="2"/>
        <v>36.7203286191369</v>
      </c>
      <c r="H11">
        <v>9.7083127777777793</v>
      </c>
    </row>
    <row r="12" spans="1:16" x14ac:dyDescent="0.35">
      <c r="A12" t="s">
        <v>28</v>
      </c>
      <c r="B12">
        <v>9.7228461111111102</v>
      </c>
      <c r="C12">
        <f t="shared" si="0"/>
        <v>10.00735848105076</v>
      </c>
      <c r="D12">
        <v>33.471237841004303</v>
      </c>
      <c r="E12">
        <f t="shared" si="1"/>
        <v>38.213981367310588</v>
      </c>
      <c r="F12">
        <f t="shared" si="2"/>
        <v>36.55780534663225</v>
      </c>
      <c r="H12">
        <v>9.7228461111111102</v>
      </c>
    </row>
    <row r="13" spans="1:16" x14ac:dyDescent="0.35">
      <c r="A13" t="s">
        <v>29</v>
      </c>
      <c r="B13">
        <v>9.7789294444444401</v>
      </c>
      <c r="C13">
        <f t="shared" si="0"/>
        <v>10.062310749678465</v>
      </c>
      <c r="D13">
        <v>32.895193466803299</v>
      </c>
      <c r="E13">
        <f t="shared" si="1"/>
        <v>37.522448280586424</v>
      </c>
      <c r="F13">
        <f t="shared" si="2"/>
        <v>35.935165960520294</v>
      </c>
      <c r="H13">
        <v>9.7789294444444401</v>
      </c>
    </row>
    <row r="14" spans="1:16" x14ac:dyDescent="0.35">
      <c r="A14" t="s">
        <v>30</v>
      </c>
      <c r="B14">
        <v>9.8354888888888894</v>
      </c>
      <c r="C14">
        <f t="shared" si="0"/>
        <v>10.078033794452619</v>
      </c>
      <c r="D14">
        <v>32.731530427774302</v>
      </c>
      <c r="E14">
        <f t="shared" si="1"/>
        <v>36.825044526647467</v>
      </c>
      <c r="F14">
        <f t="shared" si="2"/>
        <v>35.314432200807687</v>
      </c>
      <c r="H14">
        <v>9.8354888888888894</v>
      </c>
    </row>
    <row r="15" spans="1:16" x14ac:dyDescent="0.35">
      <c r="A15" t="s">
        <v>31</v>
      </c>
      <c r="B15">
        <v>9.8960284722222198</v>
      </c>
      <c r="C15">
        <f t="shared" si="0"/>
        <v>10.091028566219775</v>
      </c>
      <c r="D15">
        <v>32.596651251184497</v>
      </c>
      <c r="E15">
        <f t="shared" si="1"/>
        <v>36.078563844362257</v>
      </c>
      <c r="F15">
        <f t="shared" si="2"/>
        <v>34.657878830477088</v>
      </c>
      <c r="H15">
        <v>9.8960284722222198</v>
      </c>
    </row>
    <row r="16" spans="1:16" x14ac:dyDescent="0.35">
      <c r="A16" t="s">
        <v>32</v>
      </c>
      <c r="B16">
        <v>9.9349652777777706</v>
      </c>
      <c r="C16">
        <f t="shared" si="0"/>
        <v>10.104841649759971</v>
      </c>
      <c r="D16">
        <v>32.4536587751696</v>
      </c>
      <c r="E16">
        <f t="shared" si="1"/>
        <v>35.598455267844983</v>
      </c>
      <c r="F16">
        <f t="shared" si="2"/>
        <v>34.239836245699315</v>
      </c>
      <c r="H16">
        <v>9.9349652777777706</v>
      </c>
    </row>
    <row r="17" spans="1:8" x14ac:dyDescent="0.35">
      <c r="A17" t="s">
        <v>33</v>
      </c>
      <c r="B17">
        <v>10.011000462962899</v>
      </c>
      <c r="C17">
        <f t="shared" si="0"/>
        <v>10.131713107110432</v>
      </c>
      <c r="D17">
        <v>32.176603565747101</v>
      </c>
      <c r="E17">
        <f t="shared" si="1"/>
        <v>34.660906745217012</v>
      </c>
      <c r="F17">
        <f t="shared" si="2"/>
        <v>33.432864612342378</v>
      </c>
      <c r="H17">
        <v>10.011000462962899</v>
      </c>
    </row>
    <row r="18" spans="1:8" x14ac:dyDescent="0.35">
      <c r="A18" t="s">
        <v>34</v>
      </c>
      <c r="B18">
        <v>10.0192439814814</v>
      </c>
      <c r="C18">
        <f t="shared" si="0"/>
        <v>10.155138406643115</v>
      </c>
      <c r="D18">
        <v>31.936275817145599</v>
      </c>
      <c r="E18">
        <f t="shared" si="1"/>
        <v>34.559260400969158</v>
      </c>
      <c r="F18">
        <f t="shared" si="2"/>
        <v>33.346110977560301</v>
      </c>
      <c r="H18">
        <v>10.0192439814814</v>
      </c>
    </row>
    <row r="19" spans="1:8" x14ac:dyDescent="0.35">
      <c r="A19" t="s">
        <v>35</v>
      </c>
      <c r="B19">
        <v>10.0786252314814</v>
      </c>
      <c r="C19">
        <f t="shared" si="0"/>
        <v>10.166074169309233</v>
      </c>
      <c r="D19">
        <v>31.824461490872402</v>
      </c>
      <c r="E19">
        <f t="shared" si="1"/>
        <v>33.82706249714672</v>
      </c>
      <c r="F19">
        <f t="shared" si="2"/>
        <v>32.725384054944989</v>
      </c>
      <c r="H19">
        <v>10.0786252314814</v>
      </c>
    </row>
    <row r="20" spans="1:8" x14ac:dyDescent="0.35">
      <c r="A20" t="s">
        <v>36</v>
      </c>
      <c r="B20">
        <v>10.056317824074</v>
      </c>
      <c r="C20">
        <f t="shared" si="0"/>
        <v>10.182233953202383</v>
      </c>
      <c r="D20">
        <v>31.659673067343999</v>
      </c>
      <c r="E20">
        <f t="shared" si="1"/>
        <v>34.102123007718852</v>
      </c>
      <c r="F20">
        <f t="shared" si="2"/>
        <v>32.95770924855637</v>
      </c>
      <c r="H20">
        <v>10.056317824074</v>
      </c>
    </row>
    <row r="21" spans="1:8" x14ac:dyDescent="0.35">
      <c r="A21" t="s">
        <v>37</v>
      </c>
      <c r="B21">
        <v>10.0137576388888</v>
      </c>
      <c r="C21">
        <f t="shared" si="0"/>
        <v>10.200558272796837</v>
      </c>
      <c r="D21">
        <v>31.473443625845999</v>
      </c>
      <c r="E21">
        <f t="shared" si="1"/>
        <v>34.626909508152892</v>
      </c>
      <c r="F21">
        <f t="shared" si="2"/>
        <v>33.403832581533685</v>
      </c>
      <c r="H21">
        <v>10.0137576388888</v>
      </c>
    </row>
    <row r="22" spans="1:8" x14ac:dyDescent="0.35">
      <c r="A22" t="s">
        <v>38</v>
      </c>
      <c r="B22">
        <v>9.9232726851851805</v>
      </c>
      <c r="C22">
        <f t="shared" si="0"/>
        <v>10.163462605541095</v>
      </c>
      <c r="D22">
        <v>31.851141941655001</v>
      </c>
      <c r="E22">
        <f t="shared" si="1"/>
        <v>35.742630268986666</v>
      </c>
      <c r="F22">
        <f t="shared" si="2"/>
        <v>34.365028377340565</v>
      </c>
      <c r="H22">
        <v>9.9232726851851805</v>
      </c>
    </row>
    <row r="23" spans="1:8" x14ac:dyDescent="0.35">
      <c r="A23" t="s">
        <v>39</v>
      </c>
      <c r="B23">
        <v>9.9298074074074005</v>
      </c>
      <c r="C23">
        <f t="shared" si="0"/>
        <v>10.166566349088319</v>
      </c>
      <c r="D23">
        <v>31.8194347825062</v>
      </c>
      <c r="E23">
        <f t="shared" si="1"/>
        <v>35.662054162670756</v>
      </c>
      <c r="F23">
        <f t="shared" si="2"/>
        <v>34.295025018870753</v>
      </c>
      <c r="H23">
        <v>9.9298074074074005</v>
      </c>
    </row>
    <row r="24" spans="1:8" x14ac:dyDescent="0.35">
      <c r="A24" t="s">
        <v>40</v>
      </c>
      <c r="B24">
        <v>10.006381944444399</v>
      </c>
      <c r="C24">
        <f t="shared" si="0"/>
        <v>10.188147060370115</v>
      </c>
      <c r="D24">
        <v>31.599505151353402</v>
      </c>
      <c r="E24">
        <f t="shared" si="1"/>
        <v>34.717855185642414</v>
      </c>
      <c r="F24">
        <f t="shared" si="2"/>
        <v>33.48153173022996</v>
      </c>
      <c r="H24">
        <v>10.006381944444399</v>
      </c>
    </row>
    <row r="25" spans="1:8" x14ac:dyDescent="0.35">
      <c r="A25" t="s">
        <v>41</v>
      </c>
      <c r="B25">
        <v>10.002443518518501</v>
      </c>
      <c r="C25">
        <f t="shared" si="0"/>
        <v>10.201555179937763</v>
      </c>
      <c r="D25">
        <v>31.463331280833</v>
      </c>
      <c r="E25">
        <f t="shared" si="1"/>
        <v>34.76641777412452</v>
      </c>
      <c r="F25">
        <f t="shared" si="2"/>
        <v>33.523067952401533</v>
      </c>
      <c r="H25">
        <v>10.002443518518501</v>
      </c>
    </row>
    <row r="26" spans="1:8" x14ac:dyDescent="0.35">
      <c r="A26" t="s">
        <v>42</v>
      </c>
      <c r="B26">
        <v>9.8880222222222205</v>
      </c>
      <c r="C26">
        <f t="shared" si="0"/>
        <v>10.037772915372145</v>
      </c>
      <c r="D26">
        <v>33.151635158716701</v>
      </c>
      <c r="E26">
        <f t="shared" si="1"/>
        <v>36.177284559528708</v>
      </c>
      <c r="F26">
        <f t="shared" si="2"/>
        <v>34.744245519942019</v>
      </c>
      <c r="H26">
        <v>9.8880222222222205</v>
      </c>
    </row>
    <row r="27" spans="1:8" x14ac:dyDescent="0.35">
      <c r="A27" t="s">
        <v>43</v>
      </c>
      <c r="B27">
        <v>9.7480868055555501</v>
      </c>
      <c r="C27">
        <f t="shared" si="0"/>
        <v>10.052397949561223</v>
      </c>
      <c r="D27">
        <v>32.998640120501001</v>
      </c>
      <c r="E27">
        <f t="shared" si="1"/>
        <v>37.902752089327358</v>
      </c>
      <c r="F27">
        <f t="shared" si="2"/>
        <v>36.276695540711664</v>
      </c>
      <c r="H27">
        <v>9.7480868055555501</v>
      </c>
    </row>
    <row r="28" spans="1:8" x14ac:dyDescent="0.35">
      <c r="A28" t="s">
        <v>44</v>
      </c>
      <c r="B28">
        <v>9.7232756944444407</v>
      </c>
      <c r="C28">
        <f t="shared" si="0"/>
        <v>10.071983452320108</v>
      </c>
      <c r="D28">
        <v>32.794448674991102</v>
      </c>
      <c r="E28">
        <f t="shared" si="1"/>
        <v>38.20868440882316</v>
      </c>
      <c r="F28">
        <f t="shared" si="2"/>
        <v>36.553008797389943</v>
      </c>
      <c r="H28">
        <v>9.7232756944444407</v>
      </c>
    </row>
    <row r="29" spans="1:8" x14ac:dyDescent="0.35">
      <c r="A29" t="s">
        <v>45</v>
      </c>
      <c r="B29">
        <v>9.7947648148148101</v>
      </c>
      <c r="C29">
        <f t="shared" si="0"/>
        <v>10.132669712138147</v>
      </c>
      <c r="D29">
        <v>32.166767682053397</v>
      </c>
      <c r="E29">
        <f t="shared" si="1"/>
        <v>37.327190939398136</v>
      </c>
      <c r="F29">
        <f t="shared" si="2"/>
        <v>35.760651911081368</v>
      </c>
      <c r="H29">
        <v>9.7947648148148101</v>
      </c>
    </row>
    <row r="30" spans="1:8" x14ac:dyDescent="0.35">
      <c r="A30" t="s">
        <v>46</v>
      </c>
      <c r="B30">
        <v>9.87018611111111</v>
      </c>
      <c r="C30">
        <f t="shared" si="0"/>
        <v>10.195558661436486</v>
      </c>
      <c r="D30">
        <v>31.524188101936598</v>
      </c>
      <c r="E30">
        <f t="shared" si="1"/>
        <v>36.397211946842035</v>
      </c>
      <c r="F30">
        <f t="shared" si="2"/>
        <v>34.937154697447376</v>
      </c>
      <c r="H30">
        <v>9.87018611111111</v>
      </c>
    </row>
    <row r="31" spans="1:8" x14ac:dyDescent="0.35">
      <c r="A31" t="s">
        <v>47</v>
      </c>
      <c r="B31">
        <v>9.9149729166666596</v>
      </c>
      <c r="C31">
        <f t="shared" si="0"/>
        <v>10.233650104217043</v>
      </c>
      <c r="D31">
        <v>31.138822162791101</v>
      </c>
      <c r="E31">
        <f t="shared" si="1"/>
        <v>35.84497020139753</v>
      </c>
      <c r="F31">
        <f t="shared" si="2"/>
        <v>34.454072860579068</v>
      </c>
      <c r="H31">
        <v>9.9149729166666596</v>
      </c>
    </row>
    <row r="32" spans="1:8" x14ac:dyDescent="0.35">
      <c r="A32" t="s">
        <v>48</v>
      </c>
      <c r="B32">
        <v>9.9455923611111103</v>
      </c>
      <c r="C32">
        <f t="shared" si="0"/>
        <v>10.276873135942676</v>
      </c>
      <c r="D32">
        <v>30.705000572561101</v>
      </c>
      <c r="E32">
        <f t="shared" si="1"/>
        <v>35.467418481983827</v>
      </c>
      <c r="F32">
        <f t="shared" si="2"/>
        <v>34.126307831011253</v>
      </c>
      <c r="H32">
        <v>9.9455923611111103</v>
      </c>
    </row>
    <row r="33" spans="1:8" x14ac:dyDescent="0.35">
      <c r="A33" t="s">
        <v>49</v>
      </c>
      <c r="B33">
        <v>9.9648916666666594</v>
      </c>
      <c r="C33">
        <f t="shared" si="0"/>
        <v>10.298585181778659</v>
      </c>
      <c r="D33">
        <v>30.488454813834799</v>
      </c>
      <c r="E33">
        <f t="shared" si="1"/>
        <v>35.229449239621943</v>
      </c>
      <c r="F33">
        <f t="shared" si="2"/>
        <v>33.920753826771957</v>
      </c>
      <c r="H33">
        <v>9.9648916666666594</v>
      </c>
    </row>
    <row r="34" spans="1:8" x14ac:dyDescent="0.35">
      <c r="A34" t="s">
        <v>50</v>
      </c>
      <c r="B34">
        <v>9.9738000000000007</v>
      </c>
      <c r="C34">
        <f t="shared" si="0"/>
        <v>10.306930154688756</v>
      </c>
      <c r="D34">
        <v>30.405468680709301</v>
      </c>
      <c r="E34">
        <f t="shared" si="1"/>
        <v>35.119605425400721</v>
      </c>
      <c r="F34">
        <f t="shared" si="2"/>
        <v>33.826140847544913</v>
      </c>
      <c r="H34">
        <v>9.9738000000000007</v>
      </c>
    </row>
    <row r="35" spans="1:8" x14ac:dyDescent="0.35">
      <c r="A35" t="s">
        <v>51</v>
      </c>
      <c r="B35">
        <v>9.9617488425925895</v>
      </c>
      <c r="C35">
        <f t="shared" si="0"/>
        <v>10.305895520063741</v>
      </c>
      <c r="D35">
        <v>30.4157502506878</v>
      </c>
      <c r="E35">
        <f t="shared" si="1"/>
        <v>35.268201694296046</v>
      </c>
      <c r="F35">
        <f t="shared" si="2"/>
        <v>33.954173284394038</v>
      </c>
      <c r="H35">
        <v>9.9617488425925895</v>
      </c>
    </row>
    <row r="36" spans="1:8" x14ac:dyDescent="0.35">
      <c r="A36" t="s">
        <v>52</v>
      </c>
      <c r="B36">
        <v>9.9480560185185194</v>
      </c>
      <c r="C36">
        <f t="shared" si="0"/>
        <v>10.311298768067395</v>
      </c>
      <c r="D36">
        <v>30.3620788052596</v>
      </c>
      <c r="E36">
        <f t="shared" si="1"/>
        <v>35.437040462163743</v>
      </c>
      <c r="F36">
        <f t="shared" si="2"/>
        <v>34.100023378580623</v>
      </c>
      <c r="H36">
        <v>9.9480560185185194</v>
      </c>
    </row>
    <row r="37" spans="1:8" x14ac:dyDescent="0.35">
      <c r="A37" t="s">
        <v>53</v>
      </c>
      <c r="B37">
        <v>9.8066381944444405</v>
      </c>
      <c r="C37">
        <f t="shared" si="0"/>
        <v>10.313951394142304</v>
      </c>
      <c r="D37">
        <v>30.335750368182499</v>
      </c>
      <c r="E37">
        <f t="shared" si="1"/>
        <v>37.180786751609844</v>
      </c>
      <c r="F37">
        <f t="shared" si="2"/>
        <v>35.630170788546259</v>
      </c>
      <c r="H37">
        <v>9.8066381944444405</v>
      </c>
    </row>
    <row r="38" spans="1:8" x14ac:dyDescent="0.35">
      <c r="A38" t="s">
        <v>54</v>
      </c>
      <c r="B38">
        <v>9.5084155092592599</v>
      </c>
      <c r="C38">
        <f t="shared" si="0"/>
        <v>10.11826660346947</v>
      </c>
      <c r="D38">
        <v>32.315058318218497</v>
      </c>
      <c r="E38">
        <f t="shared" si="1"/>
        <v>40.858008517148448</v>
      </c>
      <c r="F38">
        <f t="shared" si="2"/>
        <v>39.006150807025193</v>
      </c>
      <c r="H38">
        <v>9.5084155092592599</v>
      </c>
    </row>
    <row r="39" spans="1:8" x14ac:dyDescent="0.35">
      <c r="A39" t="s">
        <v>55</v>
      </c>
      <c r="B39">
        <v>9.3892960648148094</v>
      </c>
      <c r="C39">
        <f t="shared" si="0"/>
        <v>9.7426209563510255</v>
      </c>
      <c r="D39">
        <v>36.337446053406097</v>
      </c>
      <c r="E39">
        <f t="shared" si="1"/>
        <v>42.326805612641053</v>
      </c>
      <c r="F39">
        <f t="shared" si="2"/>
        <v>40.414560384602282</v>
      </c>
      <c r="H39">
        <v>9.3892960648148094</v>
      </c>
    </row>
    <row r="40" spans="1:8" x14ac:dyDescent="0.35">
      <c r="A40" t="s">
        <v>56</v>
      </c>
      <c r="B40">
        <v>9.4182421296296308</v>
      </c>
      <c r="C40">
        <f t="shared" si="0"/>
        <v>9.6790262636722098</v>
      </c>
      <c r="D40">
        <v>37.0493163861155</v>
      </c>
      <c r="E40">
        <f t="shared" si="1"/>
        <v>41.969887427501455</v>
      </c>
      <c r="F40">
        <f t="shared" si="2"/>
        <v>40.069039628742054</v>
      </c>
      <c r="H40">
        <v>9.4182421296296308</v>
      </c>
    </row>
    <row r="41" spans="1:8" x14ac:dyDescent="0.35">
      <c r="A41" t="s">
        <v>57</v>
      </c>
      <c r="B41">
        <v>9.6309670833333296</v>
      </c>
      <c r="C41">
        <f t="shared" si="0"/>
        <v>9.6692542878298848</v>
      </c>
      <c r="D41">
        <v>37.159532534574801</v>
      </c>
      <c r="E41">
        <f t="shared" si="1"/>
        <v>39.346891697492843</v>
      </c>
      <c r="F41">
        <f t="shared" si="2"/>
        <v>37.59352108638047</v>
      </c>
      <c r="H41">
        <v>9.6309670833333296</v>
      </c>
    </row>
    <row r="42" spans="1:8" x14ac:dyDescent="0.35">
      <c r="A42" t="s">
        <v>58</v>
      </c>
      <c r="B42">
        <v>9.6721471759259199</v>
      </c>
      <c r="C42">
        <f t="shared" si="0"/>
        <v>9.7677539015990718</v>
      </c>
      <c r="D42">
        <v>36.058666854678798</v>
      </c>
      <c r="E42">
        <f t="shared" si="1"/>
        <v>38.839122368361025</v>
      </c>
      <c r="F42">
        <f t="shared" si="2"/>
        <v>37.126881025953772</v>
      </c>
      <c r="H42">
        <v>9.6721471759259199</v>
      </c>
    </row>
    <row r="43" spans="1:8" x14ac:dyDescent="0.35">
      <c r="A43" t="s">
        <v>59</v>
      </c>
      <c r="B43">
        <v>9.7865307407407407</v>
      </c>
      <c r="C43">
        <f t="shared" si="0"/>
        <v>9.8343118959949276</v>
      </c>
      <c r="D43">
        <v>35.3272768251298</v>
      </c>
      <c r="E43">
        <f t="shared" si="1"/>
        <v>37.428720829337337</v>
      </c>
      <c r="F43">
        <f t="shared" si="2"/>
        <v>35.851325224935756</v>
      </c>
      <c r="H43">
        <v>9.7865307407407407</v>
      </c>
    </row>
    <row r="44" spans="1:8" x14ac:dyDescent="0.35">
      <c r="A44" t="s">
        <v>60</v>
      </c>
      <c r="B44">
        <v>9.73269837962963</v>
      </c>
      <c r="C44">
        <f t="shared" si="0"/>
        <v>9.8763038151644285</v>
      </c>
      <c r="D44">
        <v>34.870909228816899</v>
      </c>
      <c r="E44">
        <f t="shared" si="1"/>
        <v>38.092498401607507</v>
      </c>
      <c r="F44">
        <f t="shared" si="2"/>
        <v>36.447905506938305</v>
      </c>
      <c r="G44">
        <v>0.01</v>
      </c>
      <c r="H44">
        <v>9.73269837962963</v>
      </c>
    </row>
    <row r="45" spans="1:8" x14ac:dyDescent="0.35">
      <c r="A45" t="s">
        <v>61</v>
      </c>
      <c r="B45">
        <v>9.6868648148148093</v>
      </c>
      <c r="C45">
        <f t="shared" si="0"/>
        <v>9.7633486587246576</v>
      </c>
      <c r="D45">
        <v>36.107426871348601</v>
      </c>
      <c r="E45">
        <f t="shared" si="1"/>
        <v>38.657647166278544</v>
      </c>
      <c r="F45">
        <f t="shared" si="2"/>
        <v>36.96106767225146</v>
      </c>
      <c r="G45">
        <v>1.4999999999999999E-2</v>
      </c>
      <c r="H45">
        <v>9.6868648148148093</v>
      </c>
    </row>
    <row r="46" spans="1:8" x14ac:dyDescent="0.35">
      <c r="A46" t="s">
        <v>62</v>
      </c>
      <c r="B46">
        <v>9.6363523148148094</v>
      </c>
      <c r="C46">
        <f t="shared" si="0"/>
        <v>9.6928085853724362</v>
      </c>
      <c r="D46">
        <v>36.894246105104102</v>
      </c>
      <c r="E46">
        <f t="shared" si="1"/>
        <v>39.280489336438833</v>
      </c>
      <c r="F46">
        <f t="shared" si="2"/>
        <v>37.532270633623362</v>
      </c>
      <c r="G46">
        <v>1.7000000000000001E-2</v>
      </c>
      <c r="H46">
        <v>9.6363523148148094</v>
      </c>
    </row>
    <row r="47" spans="1:8" x14ac:dyDescent="0.35">
      <c r="A47" t="s">
        <v>63</v>
      </c>
      <c r="B47">
        <v>9.8070050925925898</v>
      </c>
      <c r="C47">
        <f t="shared" si="0"/>
        <v>9.8105807709428561</v>
      </c>
      <c r="D47">
        <v>35.586914151347898</v>
      </c>
      <c r="E47">
        <f t="shared" si="1"/>
        <v>37.176262730054368</v>
      </c>
      <c r="F47">
        <f t="shared" si="2"/>
        <v>35.626143836463598</v>
      </c>
      <c r="G47">
        <v>2.9538356000000002E-2</v>
      </c>
      <c r="H47">
        <v>9.8070050925925898</v>
      </c>
    </row>
    <row r="48" spans="1:8" x14ac:dyDescent="0.35">
      <c r="A48" t="s">
        <v>64</v>
      </c>
      <c r="B48">
        <v>9.9966270833333297</v>
      </c>
      <c r="C48">
        <f t="shared" si="0"/>
        <v>9.8884121011432207</v>
      </c>
      <c r="D48">
        <v>34.740036497319103</v>
      </c>
      <c r="E48">
        <f t="shared" si="1"/>
        <v>34.838137073571751</v>
      </c>
      <c r="F48">
        <f t="shared" si="2"/>
        <v>33.584470273666575</v>
      </c>
      <c r="G48">
        <v>0.31783092499999999</v>
      </c>
      <c r="H48">
        <v>9.9966270833333297</v>
      </c>
    </row>
    <row r="49" spans="1:8" x14ac:dyDescent="0.35">
      <c r="A49" t="s">
        <v>65</v>
      </c>
      <c r="B49">
        <v>10.041658564814799</v>
      </c>
      <c r="C49">
        <f t="shared" si="0"/>
        <v>9.9442479056821487</v>
      </c>
      <c r="D49">
        <v>34.1406571505727</v>
      </c>
      <c r="E49">
        <f t="shared" si="1"/>
        <v>34.282878362332916</v>
      </c>
      <c r="F49">
        <f t="shared" si="2"/>
        <v>33.110943228081489</v>
      </c>
      <c r="G49">
        <v>0.31783092499999999</v>
      </c>
      <c r="H49">
        <v>10.041658564814799</v>
      </c>
    </row>
    <row r="50" spans="1:8" x14ac:dyDescent="0.35">
      <c r="A50" t="s">
        <v>66</v>
      </c>
      <c r="B50">
        <v>9.99295648148148</v>
      </c>
      <c r="C50">
        <f t="shared" si="0"/>
        <v>9.9804918499852775</v>
      </c>
      <c r="D50">
        <v>33.755179624401798</v>
      </c>
      <c r="E50">
        <f t="shared" si="1"/>
        <v>34.883397269032294</v>
      </c>
      <c r="F50">
        <f t="shared" si="2"/>
        <v>33.623256478585944</v>
      </c>
      <c r="G50">
        <v>0.31783092499999999</v>
      </c>
      <c r="H50">
        <v>9.99295648148148</v>
      </c>
    </row>
    <row r="51" spans="1:8" x14ac:dyDescent="0.35">
      <c r="A51" t="s">
        <v>67</v>
      </c>
      <c r="B51">
        <v>9.9231504629629601</v>
      </c>
      <c r="C51">
        <f t="shared" si="0"/>
        <v>10.010268129482133</v>
      </c>
      <c r="D51">
        <v>33.440578497936897</v>
      </c>
      <c r="E51">
        <f t="shared" si="1"/>
        <v>35.744137324747705</v>
      </c>
      <c r="F51">
        <f t="shared" si="2"/>
        <v>34.366338563988577</v>
      </c>
      <c r="G51">
        <v>0.31783092499999999</v>
      </c>
      <c r="H51">
        <v>9.9231504629629601</v>
      </c>
    </row>
    <row r="52" spans="1:8" x14ac:dyDescent="0.35">
      <c r="A52" t="s">
        <v>68</v>
      </c>
      <c r="B52">
        <v>9.9425055555555506</v>
      </c>
      <c r="C52">
        <f t="shared" si="0"/>
        <v>10.017275918771796</v>
      </c>
      <c r="D52">
        <v>33.366809618916299</v>
      </c>
      <c r="E52">
        <f t="shared" si="1"/>
        <v>35.505480202767551</v>
      </c>
      <c r="F52">
        <f t="shared" si="2"/>
        <v>34.159258957916016</v>
      </c>
      <c r="G52">
        <v>0.31783092499999999</v>
      </c>
      <c r="H52">
        <v>9.9425055555555506</v>
      </c>
    </row>
    <row r="53" spans="1:8" x14ac:dyDescent="0.35">
      <c r="A53" t="s">
        <v>69</v>
      </c>
      <c r="B53">
        <v>10.005364814814801</v>
      </c>
      <c r="C53">
        <f t="shared" si="0"/>
        <v>10.025709075669315</v>
      </c>
      <c r="D53">
        <v>33.2781730489151</v>
      </c>
      <c r="E53">
        <f t="shared" si="1"/>
        <v>34.730396858017244</v>
      </c>
      <c r="F53">
        <f t="shared" si="2"/>
        <v>33.492255655948789</v>
      </c>
      <c r="G53">
        <v>1.7000000000000001E-2</v>
      </c>
      <c r="H53">
        <v>10.005364814814801</v>
      </c>
    </row>
    <row r="54" spans="1:8" x14ac:dyDescent="0.35">
      <c r="A54" t="s">
        <v>70</v>
      </c>
      <c r="B54">
        <v>10.0463453703703</v>
      </c>
      <c r="C54">
        <f t="shared" si="0"/>
        <v>10.053251901180701</v>
      </c>
      <c r="D54">
        <v>32.989720538044701</v>
      </c>
      <c r="E54">
        <f t="shared" si="1"/>
        <v>34.225087911586911</v>
      </c>
      <c r="F54">
        <f t="shared" si="2"/>
        <v>33.061903181143911</v>
      </c>
      <c r="G54">
        <v>2.9538356000000002E-2</v>
      </c>
      <c r="H54">
        <v>10.0463453703703</v>
      </c>
    </row>
    <row r="55" spans="1:8" x14ac:dyDescent="0.35">
      <c r="A55" t="s">
        <v>71</v>
      </c>
      <c r="B55">
        <v>10.0018435185185</v>
      </c>
      <c r="C55">
        <f t="shared" si="0"/>
        <v>10.088756064195749</v>
      </c>
      <c r="D55">
        <v>32.6202136074062</v>
      </c>
      <c r="E55">
        <f t="shared" si="1"/>
        <v>34.773816047860649</v>
      </c>
      <c r="F55">
        <f t="shared" si="2"/>
        <v>33.529398664780373</v>
      </c>
      <c r="G55">
        <v>0.21238654100000001</v>
      </c>
      <c r="H55">
        <v>10.0018435185185</v>
      </c>
    </row>
    <row r="56" spans="1:8" x14ac:dyDescent="0.35">
      <c r="A56" t="s">
        <v>72</v>
      </c>
      <c r="B56">
        <v>9.8517504629629595</v>
      </c>
      <c r="C56">
        <f t="shared" si="0"/>
        <v>10.08760435490435</v>
      </c>
      <c r="D56">
        <v>32.632159117632497</v>
      </c>
      <c r="E56">
        <f t="shared" si="1"/>
        <v>36.62453189934697</v>
      </c>
      <c r="F56">
        <f t="shared" si="2"/>
        <v>35.137282377935499</v>
      </c>
      <c r="G56">
        <v>0.21238654100000001</v>
      </c>
      <c r="H56">
        <v>9.8517504629629595</v>
      </c>
    </row>
    <row r="57" spans="1:8" x14ac:dyDescent="0.35">
      <c r="A57" t="s">
        <v>73</v>
      </c>
      <c r="B57">
        <v>9.7090030092592592</v>
      </c>
      <c r="C57">
        <f t="shared" si="0"/>
        <v>9.8464563123842659</v>
      </c>
      <c r="D57">
        <v>35.194891389522901</v>
      </c>
      <c r="E57">
        <f t="shared" si="1"/>
        <v>38.384673128739088</v>
      </c>
      <c r="F57">
        <f t="shared" si="2"/>
        <v>36.712598897331041</v>
      </c>
      <c r="G57">
        <v>0.21238654100000001</v>
      </c>
      <c r="H57">
        <v>9.7090030092592592</v>
      </c>
    </row>
    <row r="58" spans="1:8" x14ac:dyDescent="0.35">
      <c r="A58" t="s">
        <v>74</v>
      </c>
      <c r="B58">
        <v>9.6825749999999999</v>
      </c>
      <c r="C58">
        <f t="shared" si="0"/>
        <v>9.8135652491371719</v>
      </c>
      <c r="D58">
        <v>35.5541925632211</v>
      </c>
      <c r="E58">
        <f t="shared" si="1"/>
        <v>38.710542540073973</v>
      </c>
      <c r="F58">
        <f t="shared" si="2"/>
        <v>37.009345968107368</v>
      </c>
      <c r="G58">
        <v>0.21238654100000001</v>
      </c>
      <c r="H58">
        <v>9.6825749999999999</v>
      </c>
    </row>
    <row r="59" spans="1:8" x14ac:dyDescent="0.35">
      <c r="A59" t="s">
        <v>75</v>
      </c>
      <c r="B59">
        <v>9.7896460648148107</v>
      </c>
      <c r="C59">
        <f t="shared" si="0"/>
        <v>9.915201220026276</v>
      </c>
      <c r="D59">
        <v>34.451621502619801</v>
      </c>
      <c r="E59">
        <f t="shared" si="1"/>
        <v>37.390307462209471</v>
      </c>
      <c r="F59">
        <f t="shared" si="2"/>
        <v>35.817001455839716</v>
      </c>
      <c r="G59">
        <v>0.21238654100000001</v>
      </c>
      <c r="H59">
        <v>9.7896460648148107</v>
      </c>
    </row>
    <row r="60" spans="1:8" x14ac:dyDescent="0.35">
      <c r="A60" t="s">
        <v>76</v>
      </c>
      <c r="B60">
        <v>9.8709342592592595</v>
      </c>
      <c r="C60">
        <f t="shared" si="0"/>
        <v>9.9650880692475958</v>
      </c>
      <c r="D60">
        <v>33.918666064892903</v>
      </c>
      <c r="E60">
        <f t="shared" si="1"/>
        <v>36.387986938850055</v>
      </c>
      <c r="F60">
        <f t="shared" si="2"/>
        <v>34.929048979273446</v>
      </c>
      <c r="G60">
        <v>0.21238654100000001</v>
      </c>
      <c r="H60">
        <v>9.8709342592592595</v>
      </c>
    </row>
    <row r="61" spans="1:8" x14ac:dyDescent="0.35">
      <c r="A61" t="s">
        <v>77</v>
      </c>
      <c r="B61">
        <v>9.8577016203703707</v>
      </c>
      <c r="C61">
        <f t="shared" si="0"/>
        <v>9.8711758736217039</v>
      </c>
      <c r="D61">
        <v>34.9264315009531</v>
      </c>
      <c r="E61">
        <f t="shared" si="1"/>
        <v>36.551151413435612</v>
      </c>
      <c r="F61">
        <f t="shared" si="2"/>
        <v>35.072597932112949</v>
      </c>
      <c r="G61">
        <v>0.21238654100000001</v>
      </c>
      <c r="H61">
        <v>9.8577016203703707</v>
      </c>
    </row>
    <row r="62" spans="1:8" x14ac:dyDescent="0.35">
      <c r="A62" t="s">
        <v>78</v>
      </c>
      <c r="B62">
        <v>9.7073143518518492</v>
      </c>
      <c r="C62">
        <f t="shared" si="0"/>
        <v>9.7755891515037696</v>
      </c>
      <c r="D62">
        <v>35.9720499422329</v>
      </c>
      <c r="E62">
        <f t="shared" si="1"/>
        <v>38.405495044983354</v>
      </c>
      <c r="F62">
        <f t="shared" si="2"/>
        <v>36.731511674941594</v>
      </c>
      <c r="G62">
        <v>0.21238654100000001</v>
      </c>
      <c r="H62">
        <v>9.7073143518518492</v>
      </c>
    </row>
    <row r="63" spans="1:8" x14ac:dyDescent="0.35">
      <c r="A63" t="s">
        <v>79</v>
      </c>
      <c r="B63">
        <v>9.6020754629629597</v>
      </c>
      <c r="C63">
        <f t="shared" si="0"/>
        <v>9.6433704699430525</v>
      </c>
      <c r="D63">
        <v>37.452550331109897</v>
      </c>
      <c r="E63">
        <f t="shared" si="1"/>
        <v>39.703138557793331</v>
      </c>
      <c r="F63">
        <f t="shared" si="2"/>
        <v>37.923301138356116</v>
      </c>
      <c r="G63">
        <v>0.19163704300000001</v>
      </c>
      <c r="H63">
        <v>9.6020754629629597</v>
      </c>
    </row>
    <row r="64" spans="1:8" x14ac:dyDescent="0.35">
      <c r="A64" t="s">
        <v>80</v>
      </c>
      <c r="B64">
        <v>9.5780254629629606</v>
      </c>
      <c r="C64">
        <f t="shared" si="0"/>
        <v>9.6964459218828569</v>
      </c>
      <c r="D64">
        <v>36.853394534188098</v>
      </c>
      <c r="E64">
        <f t="shared" si="1"/>
        <v>39.999686030049794</v>
      </c>
      <c r="F64">
        <f t="shared" si="2"/>
        <v>38.199334436400591</v>
      </c>
      <c r="G64">
        <v>0.19163704300000001</v>
      </c>
      <c r="H64">
        <v>9.5780254629629606</v>
      </c>
    </row>
    <row r="65" spans="1:8" x14ac:dyDescent="0.35">
      <c r="A65" t="s">
        <v>81</v>
      </c>
      <c r="B65">
        <v>9.6785706018518507</v>
      </c>
      <c r="C65">
        <f t="shared" si="0"/>
        <v>9.8259051487255551</v>
      </c>
      <c r="D65">
        <v>35.419109861034798</v>
      </c>
      <c r="E65">
        <f t="shared" si="1"/>
        <v>38.759918596154726</v>
      </c>
      <c r="F65">
        <f t="shared" si="2"/>
        <v>37.054450757104291</v>
      </c>
      <c r="G65">
        <v>0.182846866</v>
      </c>
      <c r="H65">
        <v>9.6785706018518507</v>
      </c>
    </row>
    <row r="66" spans="1:8" x14ac:dyDescent="0.35">
      <c r="A66" t="s">
        <v>82</v>
      </c>
      <c r="B66">
        <v>9.8225863425925901</v>
      </c>
      <c r="C66">
        <f t="shared" si="0"/>
        <v>9.9358605305441721</v>
      </c>
      <c r="D66">
        <v>34.230262953228298</v>
      </c>
      <c r="E66">
        <f t="shared" si="1"/>
        <v>36.984138808969284</v>
      </c>
      <c r="F66">
        <f t="shared" si="2"/>
        <v>35.455406879900607</v>
      </c>
      <c r="G66">
        <v>0.182846866</v>
      </c>
      <c r="H66">
        <v>9.8225863425925901</v>
      </c>
    </row>
    <row r="67" spans="1:8" x14ac:dyDescent="0.35">
      <c r="A67" t="s">
        <v>83</v>
      </c>
      <c r="B67">
        <v>9.8600405092592496</v>
      </c>
      <c r="C67">
        <f t="shared" si="0"/>
        <v>10.018523255796939</v>
      </c>
      <c r="D67">
        <v>33.353690098410297</v>
      </c>
      <c r="E67">
        <f t="shared" si="1"/>
        <v>36.522311846371757</v>
      </c>
      <c r="F67">
        <f t="shared" si="2"/>
        <v>35.047197405611278</v>
      </c>
      <c r="G67">
        <v>0.182846866</v>
      </c>
      <c r="H67">
        <v>9.8600405092592496</v>
      </c>
    </row>
    <row r="68" spans="1:8" x14ac:dyDescent="0.35">
      <c r="A68" t="s">
        <v>84</v>
      </c>
      <c r="B68">
        <v>9.7688136574073994</v>
      </c>
      <c r="C68">
        <f t="shared" si="0"/>
        <v>10.061180060005864</v>
      </c>
      <c r="D68">
        <v>32.906982665148497</v>
      </c>
      <c r="E68">
        <f t="shared" si="1"/>
        <v>37.6471805498471</v>
      </c>
      <c r="F68">
        <f t="shared" si="2"/>
        <v>36.046943368741069</v>
      </c>
      <c r="G68">
        <v>0.182846866</v>
      </c>
      <c r="H68">
        <v>9.7688136574073994</v>
      </c>
    </row>
    <row r="69" spans="1:8" x14ac:dyDescent="0.35">
      <c r="A69" t="s">
        <v>85</v>
      </c>
      <c r="B69">
        <v>9.7014750000000003</v>
      </c>
      <c r="C69">
        <f t="shared" si="0"/>
        <v>9.957292334952653</v>
      </c>
      <c r="D69">
        <v>34.001598062262502</v>
      </c>
      <c r="E69">
        <f t="shared" si="1"/>
        <v>38.477496917385928</v>
      </c>
      <c r="F69">
        <f t="shared" si="2"/>
        <v>36.796962522953201</v>
      </c>
      <c r="G69">
        <v>0.182846866</v>
      </c>
      <c r="H69">
        <v>9.7014750000000003</v>
      </c>
    </row>
    <row r="70" spans="1:8" x14ac:dyDescent="0.35">
      <c r="A70" t="s">
        <v>86</v>
      </c>
      <c r="B70">
        <v>9.7375168981481401</v>
      </c>
      <c r="C70">
        <f t="shared" si="0"/>
        <v>9.9957138494666484</v>
      </c>
      <c r="D70">
        <v>33.594117494012103</v>
      </c>
      <c r="E70">
        <f t="shared" si="1"/>
        <v>38.033083869936604</v>
      </c>
      <c r="F70">
        <f t="shared" si="2"/>
        <v>36.394236996807805</v>
      </c>
      <c r="G70">
        <v>0.182846866</v>
      </c>
      <c r="H70">
        <v>9.7375168981481401</v>
      </c>
    </row>
    <row r="71" spans="1:8" x14ac:dyDescent="0.35">
      <c r="A71" t="s">
        <v>87</v>
      </c>
      <c r="B71">
        <v>9.8869543981481396</v>
      </c>
      <c r="C71">
        <f t="shared" si="0"/>
        <v>10.065332629715586</v>
      </c>
      <c r="D71">
        <v>32.863698666536798</v>
      </c>
      <c r="E71">
        <f t="shared" si="1"/>
        <v>36.190451317532172</v>
      </c>
      <c r="F71">
        <f t="shared" si="2"/>
        <v>34.755775146443895</v>
      </c>
      <c r="G71">
        <v>0.19163704300000001</v>
      </c>
      <c r="H71">
        <v>9.8869543981481396</v>
      </c>
    </row>
    <row r="72" spans="1:8" x14ac:dyDescent="0.35">
      <c r="A72" t="s">
        <v>88</v>
      </c>
      <c r="B72">
        <v>10.755942129629601</v>
      </c>
      <c r="C72">
        <f t="shared" si="0"/>
        <v>10.691308879593405</v>
      </c>
      <c r="D72">
        <v>26.7234445732221</v>
      </c>
      <c r="E72">
        <f t="shared" si="1"/>
        <v>25.475436132803928</v>
      </c>
      <c r="F72">
        <f t="shared" si="2"/>
        <v>26.130158496134907</v>
      </c>
      <c r="G72">
        <v>0.36635052200000001</v>
      </c>
      <c r="H72">
        <v>10.755942129629601</v>
      </c>
    </row>
    <row r="73" spans="1:8" x14ac:dyDescent="0.35">
      <c r="A73" t="s">
        <v>89</v>
      </c>
      <c r="B73">
        <v>10.856089120370299</v>
      </c>
      <c r="C73">
        <f t="shared" ref="C73:C136" si="3">$B$2/(1+$B$4*((D73/100)/$B$3))</f>
        <v>10.808334087303344</v>
      </c>
      <c r="D73">
        <v>25.654445621735999</v>
      </c>
      <c r="E73">
        <f t="shared" ref="E73:E136" si="4" xml:space="preserve"> (12.822 - B73)/0.0811</f>
        <v>24.240578047221945</v>
      </c>
      <c r="F73">
        <f t="shared" ref="F73:F136" si="5" xml:space="preserve"> ((($B$3 *($B$2-B73))/($B$4*B73)))*100</f>
        <v>25.22483551907732</v>
      </c>
      <c r="G73">
        <v>0.40061996999999999</v>
      </c>
      <c r="H73">
        <v>10.856089120370299</v>
      </c>
    </row>
    <row r="74" spans="1:8" x14ac:dyDescent="0.35">
      <c r="A74" t="s">
        <v>90</v>
      </c>
      <c r="B74">
        <v>10.906479629629599</v>
      </c>
      <c r="C74">
        <f t="shared" si="3"/>
        <v>10.934315492167633</v>
      </c>
      <c r="D74">
        <v>24.529209716069399</v>
      </c>
      <c r="E74">
        <f t="shared" si="4"/>
        <v>23.619240078549936</v>
      </c>
      <c r="F74">
        <f t="shared" si="5"/>
        <v>24.775595692671651</v>
      </c>
      <c r="G74">
        <v>0.42089291299999998</v>
      </c>
      <c r="H74">
        <v>10.906479629629599</v>
      </c>
    </row>
    <row r="75" spans="1:8" x14ac:dyDescent="0.35">
      <c r="A75" t="s">
        <v>91</v>
      </c>
      <c r="B75">
        <v>10.7610395833333</v>
      </c>
      <c r="C75">
        <f t="shared" si="3"/>
        <v>11.018676725182692</v>
      </c>
      <c r="D75">
        <v>23.790099215638801</v>
      </c>
      <c r="E75">
        <f t="shared" si="4"/>
        <v>25.412582203041911</v>
      </c>
      <c r="F75">
        <f t="shared" si="5"/>
        <v>26.083670791829466</v>
      </c>
      <c r="G75">
        <v>0.54389936800000005</v>
      </c>
      <c r="H75">
        <v>10.7610395833333</v>
      </c>
    </row>
    <row r="76" spans="1:8" x14ac:dyDescent="0.35">
      <c r="A76" t="s">
        <v>92</v>
      </c>
      <c r="B76">
        <v>10.506660879629599</v>
      </c>
      <c r="C76">
        <f t="shared" si="3"/>
        <v>10.675389378325717</v>
      </c>
      <c r="D76">
        <v>26.870676620888801</v>
      </c>
      <c r="E76">
        <f t="shared" si="4"/>
        <v>28.549187674110968</v>
      </c>
      <c r="F76">
        <f t="shared" si="5"/>
        <v>28.458592525084232</v>
      </c>
      <c r="G76">
        <v>0.59238267899999997</v>
      </c>
      <c r="H76">
        <v>10.506660879629599</v>
      </c>
    </row>
    <row r="77" spans="1:8" x14ac:dyDescent="0.35">
      <c r="A77" t="s">
        <v>93</v>
      </c>
      <c r="B77">
        <v>10.327778472222199</v>
      </c>
      <c r="C77">
        <f t="shared" si="3"/>
        <v>10.478664750488178</v>
      </c>
      <c r="D77">
        <v>28.727012494819299</v>
      </c>
      <c r="E77">
        <f t="shared" si="4"/>
        <v>30.7548893684069</v>
      </c>
      <c r="F77">
        <f t="shared" si="5"/>
        <v>30.198729751838361</v>
      </c>
      <c r="G77">
        <v>0.713653172</v>
      </c>
      <c r="H77">
        <v>10.327778472222199</v>
      </c>
    </row>
    <row r="78" spans="1:8" x14ac:dyDescent="0.35">
      <c r="A78" t="s">
        <v>94</v>
      </c>
      <c r="B78">
        <v>10.3200599537037</v>
      </c>
      <c r="C78">
        <f t="shared" si="3"/>
        <v>10.618240999569824</v>
      </c>
      <c r="D78">
        <v>27.4028524032916</v>
      </c>
      <c r="E78">
        <f t="shared" si="4"/>
        <v>30.850062223135627</v>
      </c>
      <c r="F78">
        <f t="shared" si="5"/>
        <v>30.275171799499912</v>
      </c>
      <c r="G78">
        <v>0.713653172</v>
      </c>
      <c r="H78">
        <v>10.3200599537037</v>
      </c>
    </row>
    <row r="79" spans="1:8" x14ac:dyDescent="0.35">
      <c r="A79" t="s">
        <v>95</v>
      </c>
      <c r="B79">
        <v>10.35745</v>
      </c>
      <c r="C79">
        <f t="shared" si="3"/>
        <v>10.70265538862269</v>
      </c>
      <c r="D79">
        <v>26.6187733402259</v>
      </c>
      <c r="E79">
        <f t="shared" si="4"/>
        <v>30.389025893958063</v>
      </c>
      <c r="F79">
        <f t="shared" si="5"/>
        <v>29.905932062558033</v>
      </c>
      <c r="G79">
        <v>0.713653172</v>
      </c>
      <c r="H79">
        <v>10.35745</v>
      </c>
    </row>
    <row r="80" spans="1:8" x14ac:dyDescent="0.35">
      <c r="A80" t="s">
        <v>96</v>
      </c>
      <c r="B80">
        <v>10.314901388888799</v>
      </c>
      <c r="C80">
        <f t="shared" si="3"/>
        <v>10.770403649937411</v>
      </c>
      <c r="D80">
        <v>25.998387141483601</v>
      </c>
      <c r="E80">
        <f t="shared" si="4"/>
        <v>30.913669680779282</v>
      </c>
      <c r="F80">
        <f t="shared" si="5"/>
        <v>30.326324561280416</v>
      </c>
      <c r="G80">
        <v>0.713653172</v>
      </c>
      <c r="H80">
        <v>10.314901388888799</v>
      </c>
    </row>
    <row r="81" spans="1:8" x14ac:dyDescent="0.35">
      <c r="A81" t="s">
        <v>97</v>
      </c>
      <c r="B81">
        <v>10.251849305555499</v>
      </c>
      <c r="C81">
        <f t="shared" si="3"/>
        <v>10.765012020548108</v>
      </c>
      <c r="D81">
        <v>26.047473524138798</v>
      </c>
      <c r="E81">
        <f t="shared" si="4"/>
        <v>31.691130634334154</v>
      </c>
      <c r="F81">
        <f t="shared" si="5"/>
        <v>30.955714277262185</v>
      </c>
      <c r="G81">
        <v>0.721821724</v>
      </c>
      <c r="H81">
        <v>10.251849305555499</v>
      </c>
    </row>
    <row r="82" spans="1:8" x14ac:dyDescent="0.35">
      <c r="A82" t="s">
        <v>98</v>
      </c>
      <c r="B82">
        <v>10.118454398148099</v>
      </c>
      <c r="C82">
        <f t="shared" si="3"/>
        <v>10.651190847940001</v>
      </c>
      <c r="D82">
        <v>27.095320503236</v>
      </c>
      <c r="E82">
        <f t="shared" si="4"/>
        <v>33.335950701009864</v>
      </c>
      <c r="F82">
        <f t="shared" si="5"/>
        <v>32.313122117038105</v>
      </c>
      <c r="G82">
        <v>0.78896204299999995</v>
      </c>
      <c r="H82">
        <v>10.118454398148099</v>
      </c>
    </row>
    <row r="83" spans="1:8" x14ac:dyDescent="0.35">
      <c r="A83" t="s">
        <v>99</v>
      </c>
      <c r="B83">
        <v>10.140983796296201</v>
      </c>
      <c r="C83">
        <f t="shared" si="3"/>
        <v>10.282709872163217</v>
      </c>
      <c r="D83">
        <v>30.6466978299582</v>
      </c>
      <c r="E83">
        <f t="shared" si="4"/>
        <v>33.058152943326732</v>
      </c>
      <c r="F83">
        <f t="shared" si="5"/>
        <v>32.081359803068068</v>
      </c>
      <c r="G83">
        <v>0.82887281300000004</v>
      </c>
      <c r="H83">
        <v>10.140983796296201</v>
      </c>
    </row>
    <row r="84" spans="1:8" x14ac:dyDescent="0.35">
      <c r="A84" t="s">
        <v>100</v>
      </c>
      <c r="B84">
        <v>10.1857986111111</v>
      </c>
      <c r="C84">
        <f t="shared" si="3"/>
        <v>10.188501385243216</v>
      </c>
      <c r="D84">
        <v>31.595901990735999</v>
      </c>
      <c r="E84">
        <f t="shared" si="4"/>
        <v>32.505565830935872</v>
      </c>
      <c r="F84">
        <f t="shared" si="5"/>
        <v>31.623393074135571</v>
      </c>
      <c r="G84">
        <v>0.85036909299999996</v>
      </c>
      <c r="H84">
        <v>10.1857986111111</v>
      </c>
    </row>
    <row r="85" spans="1:8" x14ac:dyDescent="0.35">
      <c r="A85" t="s">
        <v>101</v>
      </c>
      <c r="B85">
        <v>10.3829643518518</v>
      </c>
      <c r="C85">
        <f t="shared" si="3"/>
        <v>10.307177705426806</v>
      </c>
      <c r="D85">
        <v>30.4030089779721</v>
      </c>
      <c r="E85">
        <f t="shared" si="4"/>
        <v>30.074422295292216</v>
      </c>
      <c r="F85">
        <f t="shared" si="5"/>
        <v>29.655495446056758</v>
      </c>
      <c r="G85">
        <v>0.85108119299999996</v>
      </c>
      <c r="H85">
        <v>10.3829643518518</v>
      </c>
    </row>
    <row r="86" spans="1:8" x14ac:dyDescent="0.35">
      <c r="A86" t="s">
        <v>102</v>
      </c>
      <c r="B86">
        <v>10.5904768518518</v>
      </c>
      <c r="C86">
        <f t="shared" si="3"/>
        <v>10.425634719459286</v>
      </c>
      <c r="D86">
        <v>29.239402826499902</v>
      </c>
      <c r="E86">
        <f t="shared" si="4"/>
        <v>27.515698497511696</v>
      </c>
      <c r="F86">
        <f t="shared" si="5"/>
        <v>27.663470007815295</v>
      </c>
      <c r="G86">
        <v>0.85108119299999996</v>
      </c>
      <c r="H86">
        <v>10.5904768518518</v>
      </c>
    </row>
    <row r="87" spans="1:8" x14ac:dyDescent="0.35">
      <c r="A87" t="s">
        <v>103</v>
      </c>
      <c r="B87">
        <v>10.872079629629599</v>
      </c>
      <c r="C87">
        <f t="shared" si="3"/>
        <v>10.564577982571411</v>
      </c>
      <c r="D87">
        <v>27.907813418013799</v>
      </c>
      <c r="E87">
        <f t="shared" si="4"/>
        <v>24.04340777275462</v>
      </c>
      <c r="F87">
        <f t="shared" si="5"/>
        <v>25.081826388477641</v>
      </c>
      <c r="G87">
        <v>0.88763799899999996</v>
      </c>
      <c r="H87">
        <v>10.872079629629599</v>
      </c>
    </row>
    <row r="88" spans="1:8" x14ac:dyDescent="0.35">
      <c r="A88" t="s">
        <v>104</v>
      </c>
      <c r="B88">
        <v>11.1637266203703</v>
      </c>
      <c r="C88">
        <f t="shared" si="3"/>
        <v>10.692121783182765</v>
      </c>
      <c r="D88">
        <v>26.7159381721839</v>
      </c>
      <c r="E88">
        <f t="shared" si="4"/>
        <v>20.447267319725025</v>
      </c>
      <c r="F88">
        <f t="shared" si="5"/>
        <v>22.545394655534245</v>
      </c>
      <c r="G88">
        <v>0.89392003399999997</v>
      </c>
      <c r="H88">
        <v>11.1637266203703</v>
      </c>
    </row>
    <row r="89" spans="1:8" x14ac:dyDescent="0.35">
      <c r="A89" t="s">
        <v>105</v>
      </c>
      <c r="B89">
        <v>11.423774537037</v>
      </c>
      <c r="C89">
        <f t="shared" si="3"/>
        <v>10.995081047236264</v>
      </c>
      <c r="D89">
        <v>23.995684525626</v>
      </c>
      <c r="E89">
        <f t="shared" si="4"/>
        <v>17.240757866374839</v>
      </c>
      <c r="F89">
        <f t="shared" si="5"/>
        <v>20.392999238917422</v>
      </c>
      <c r="G89">
        <v>0.99798098199999996</v>
      </c>
      <c r="H89">
        <v>11.423774537037</v>
      </c>
    </row>
    <row r="90" spans="1:8" x14ac:dyDescent="0.35">
      <c r="A90" t="s">
        <v>106</v>
      </c>
      <c r="B90">
        <v>11.5800775462962</v>
      </c>
      <c r="C90">
        <f t="shared" si="3"/>
        <v>11.022126195432271</v>
      </c>
      <c r="D90">
        <v>23.7601182871337</v>
      </c>
      <c r="E90">
        <f t="shared" si="4"/>
        <v>15.313470452574583</v>
      </c>
      <c r="F90">
        <f t="shared" si="5"/>
        <v>19.145806010012834</v>
      </c>
      <c r="G90">
        <v>0.98072086800000002</v>
      </c>
      <c r="H90">
        <v>11.5800775462962</v>
      </c>
    </row>
    <row r="91" spans="1:8" x14ac:dyDescent="0.35">
      <c r="A91" t="s">
        <v>107</v>
      </c>
      <c r="B91">
        <v>11.742655324074001</v>
      </c>
      <c r="C91">
        <f t="shared" si="3"/>
        <v>11.052187408180114</v>
      </c>
      <c r="D91">
        <v>23.499634694358502</v>
      </c>
      <c r="E91">
        <f t="shared" si="4"/>
        <v>13.308812280221931</v>
      </c>
      <c r="F91">
        <f t="shared" si="5"/>
        <v>17.883772467948127</v>
      </c>
      <c r="G91">
        <v>0.99798098199999996</v>
      </c>
      <c r="H91">
        <v>11.742655324074001</v>
      </c>
    </row>
    <row r="92" spans="1:8" x14ac:dyDescent="0.35">
      <c r="A92" t="s">
        <v>108</v>
      </c>
      <c r="B92">
        <v>11.840356249999999</v>
      </c>
      <c r="C92">
        <f t="shared" si="3"/>
        <v>11.08173860733422</v>
      </c>
      <c r="D92">
        <v>23.244947879529199</v>
      </c>
      <c r="E92">
        <f t="shared" si="4"/>
        <v>12.104115289765719</v>
      </c>
      <c r="F92">
        <f t="shared" si="5"/>
        <v>17.142026673967987</v>
      </c>
      <c r="G92">
        <v>1.1201937239999999</v>
      </c>
      <c r="H92">
        <v>11.840356249999999</v>
      </c>
    </row>
    <row r="93" spans="1:8" x14ac:dyDescent="0.35">
      <c r="A93" t="s">
        <v>109</v>
      </c>
      <c r="B93">
        <v>11.81759375</v>
      </c>
      <c r="C93">
        <f t="shared" si="3"/>
        <v>11.116649190690614</v>
      </c>
      <c r="D93">
        <v>22.945815931696501</v>
      </c>
      <c r="E93">
        <f t="shared" si="4"/>
        <v>12.384787299630071</v>
      </c>
      <c r="F93">
        <f t="shared" si="5"/>
        <v>17.313743806912214</v>
      </c>
      <c r="G93">
        <v>1.126534736</v>
      </c>
      <c r="H93">
        <v>11.81759375</v>
      </c>
    </row>
    <row r="94" spans="1:8" x14ac:dyDescent="0.35">
      <c r="A94" t="s">
        <v>110</v>
      </c>
      <c r="B94">
        <v>11.3154863425925</v>
      </c>
      <c r="C94">
        <f t="shared" si="3"/>
        <v>10.990711324682385</v>
      </c>
      <c r="D94">
        <v>24.033854082923799</v>
      </c>
      <c r="E94">
        <f t="shared" si="4"/>
        <v>18.576000707860654</v>
      </c>
      <c r="F94">
        <f t="shared" si="5"/>
        <v>21.277271008405339</v>
      </c>
      <c r="G94">
        <v>1.2201217689999999</v>
      </c>
      <c r="H94">
        <v>11.3154863425925</v>
      </c>
    </row>
    <row r="95" spans="1:8" x14ac:dyDescent="0.35">
      <c r="A95" t="s">
        <v>111</v>
      </c>
      <c r="B95">
        <v>10.8287412037037</v>
      </c>
      <c r="C95">
        <f t="shared" si="3"/>
        <v>10.398467492886311</v>
      </c>
      <c r="D95">
        <v>29.503924314726401</v>
      </c>
      <c r="E95">
        <f t="shared" si="4"/>
        <v>24.57779033657582</v>
      </c>
      <c r="F95">
        <f t="shared" si="5"/>
        <v>25.470397070813494</v>
      </c>
      <c r="G95">
        <v>1.2373316050000001</v>
      </c>
      <c r="H95">
        <v>10.8287412037037</v>
      </c>
    </row>
    <row r="96" spans="1:8" x14ac:dyDescent="0.35">
      <c r="A96" t="s">
        <v>112</v>
      </c>
      <c r="B96">
        <v>10.5430277777777</v>
      </c>
      <c r="C96">
        <f t="shared" si="3"/>
        <v>10.477176250285897</v>
      </c>
      <c r="D96">
        <v>28.741324029191901</v>
      </c>
      <c r="E96">
        <f t="shared" si="4"/>
        <v>28.100767228388392</v>
      </c>
      <c r="F96">
        <f t="shared" si="5"/>
        <v>28.112044290852197</v>
      </c>
      <c r="G96">
        <v>1.2996968659999999</v>
      </c>
      <c r="H96">
        <v>10.5430277777777</v>
      </c>
    </row>
    <row r="97" spans="1:8" x14ac:dyDescent="0.35">
      <c r="A97" t="s">
        <v>113</v>
      </c>
      <c r="B97">
        <v>10.8245210648148</v>
      </c>
      <c r="C97">
        <f t="shared" si="3"/>
        <v>10.563341735430187</v>
      </c>
      <c r="D97">
        <v>27.9195067778133</v>
      </c>
      <c r="E97">
        <f t="shared" si="4"/>
        <v>24.629826574416764</v>
      </c>
      <c r="F97">
        <f t="shared" si="5"/>
        <v>25.508400919078291</v>
      </c>
      <c r="G97">
        <v>1.387124998</v>
      </c>
      <c r="H97">
        <v>10.8245210648148</v>
      </c>
    </row>
    <row r="98" spans="1:8" x14ac:dyDescent="0.35">
      <c r="A98" t="s">
        <v>114</v>
      </c>
      <c r="B98">
        <v>11.0153863425925</v>
      </c>
      <c r="C98">
        <f t="shared" si="3"/>
        <v>10.603772329814532</v>
      </c>
      <c r="D98">
        <v>27.538497196261599</v>
      </c>
      <c r="E98">
        <f t="shared" si="4"/>
        <v>22.276370621547464</v>
      </c>
      <c r="F98">
        <f t="shared" si="5"/>
        <v>23.818714938363151</v>
      </c>
      <c r="G98">
        <v>1.395524497</v>
      </c>
      <c r="H98">
        <v>11.0153863425925</v>
      </c>
    </row>
    <row r="99" spans="1:8" x14ac:dyDescent="0.35">
      <c r="A99" t="s">
        <v>115</v>
      </c>
      <c r="B99">
        <v>11.0795435185185</v>
      </c>
      <c r="C99">
        <f t="shared" si="3"/>
        <v>10.608867324125686</v>
      </c>
      <c r="D99">
        <v>27.4906890629847</v>
      </c>
      <c r="E99">
        <f t="shared" si="4"/>
        <v>21.485283372151649</v>
      </c>
      <c r="F99">
        <f t="shared" si="5"/>
        <v>23.263819527344744</v>
      </c>
      <c r="G99">
        <v>1.461552666</v>
      </c>
      <c r="H99">
        <v>11.0795435185185</v>
      </c>
    </row>
    <row r="100" spans="1:8" x14ac:dyDescent="0.35">
      <c r="A100" t="s">
        <v>116</v>
      </c>
      <c r="B100">
        <v>10.953448842592501</v>
      </c>
      <c r="C100">
        <f t="shared" si="3"/>
        <v>10.645379155285335</v>
      </c>
      <c r="D100">
        <v>27.149424685076301</v>
      </c>
      <c r="E100">
        <f t="shared" si="4"/>
        <v>23.04008825409986</v>
      </c>
      <c r="F100">
        <f t="shared" si="5"/>
        <v>24.360579251484566</v>
      </c>
      <c r="G100">
        <v>1.4715292369999999</v>
      </c>
      <c r="H100">
        <v>10.953448842592501</v>
      </c>
    </row>
    <row r="101" spans="1:8" x14ac:dyDescent="0.35">
      <c r="A101" t="s">
        <v>117</v>
      </c>
      <c r="B101">
        <v>11.0082210648148</v>
      </c>
      <c r="C101">
        <f t="shared" si="3"/>
        <v>10.697586658215339</v>
      </c>
      <c r="D101">
        <v>26.665504798477802</v>
      </c>
      <c r="E101">
        <f t="shared" si="4"/>
        <v>22.364721765538835</v>
      </c>
      <c r="F101">
        <f t="shared" si="5"/>
        <v>23.881088946274591</v>
      </c>
      <c r="G101">
        <v>1.4814329129999999</v>
      </c>
      <c r="H101">
        <v>11.0082210648148</v>
      </c>
    </row>
    <row r="102" spans="1:8" x14ac:dyDescent="0.35">
      <c r="A102" t="s">
        <v>118</v>
      </c>
      <c r="B102">
        <v>11.0268268518518</v>
      </c>
      <c r="C102">
        <f t="shared" si="3"/>
        <v>10.765598447252003</v>
      </c>
      <c r="D102">
        <v>26.0421322048668</v>
      </c>
      <c r="E102">
        <f t="shared" si="4"/>
        <v>22.135303922912449</v>
      </c>
      <c r="F102">
        <f t="shared" si="5"/>
        <v>23.719292922682488</v>
      </c>
      <c r="G102">
        <v>0</v>
      </c>
      <c r="H102">
        <v>11.0268268518518</v>
      </c>
    </row>
    <row r="103" spans="1:8" x14ac:dyDescent="0.35">
      <c r="A103" t="s">
        <v>119</v>
      </c>
      <c r="B103">
        <v>10.835220833333301</v>
      </c>
      <c r="C103">
        <f t="shared" si="3"/>
        <v>10.753825462586537</v>
      </c>
      <c r="D103">
        <v>26.1494750034615</v>
      </c>
      <c r="E103">
        <f t="shared" si="4"/>
        <v>24.497893547061633</v>
      </c>
      <c r="F103">
        <f t="shared" si="5"/>
        <v>25.41210332852674</v>
      </c>
      <c r="G103">
        <v>0</v>
      </c>
      <c r="H103">
        <v>10.835220833333301</v>
      </c>
    </row>
    <row r="104" spans="1:8" x14ac:dyDescent="0.35">
      <c r="A104" t="s">
        <v>120</v>
      </c>
      <c r="B104">
        <v>10.5503550925925</v>
      </c>
      <c r="C104">
        <f t="shared" si="3"/>
        <v>10.545546229382058</v>
      </c>
      <c r="D104">
        <v>28.088133900033</v>
      </c>
      <c r="E104">
        <f t="shared" si="4"/>
        <v>28.010418093803928</v>
      </c>
      <c r="F104">
        <f t="shared" si="5"/>
        <v>28.042509857592044</v>
      </c>
      <c r="G104">
        <v>0</v>
      </c>
      <c r="H104">
        <v>10.5503550925925</v>
      </c>
    </row>
    <row r="105" spans="1:8" x14ac:dyDescent="0.35">
      <c r="A105" t="s">
        <v>121</v>
      </c>
      <c r="B105">
        <v>10.4199509259259</v>
      </c>
      <c r="C105">
        <f t="shared" si="3"/>
        <v>10.497537179196009</v>
      </c>
      <c r="D105">
        <v>28.5459110472178</v>
      </c>
      <c r="E105">
        <f t="shared" si="4"/>
        <v>29.618360962689266</v>
      </c>
      <c r="F105">
        <f t="shared" si="5"/>
        <v>29.294630609674517</v>
      </c>
      <c r="G105">
        <v>0</v>
      </c>
      <c r="H105">
        <v>10.4199509259259</v>
      </c>
    </row>
    <row r="106" spans="1:8" x14ac:dyDescent="0.35">
      <c r="A106" t="s">
        <v>122</v>
      </c>
      <c r="B106">
        <v>10.6398537037037</v>
      </c>
      <c r="C106">
        <f t="shared" si="3"/>
        <v>10.59085540107159</v>
      </c>
      <c r="D106">
        <v>27.6599074387107</v>
      </c>
      <c r="E106">
        <f t="shared" si="4"/>
        <v>26.906859387130687</v>
      </c>
      <c r="F106">
        <f t="shared" si="5"/>
        <v>27.200918904893161</v>
      </c>
      <c r="G106">
        <v>0</v>
      </c>
      <c r="H106">
        <v>10.6398537037037</v>
      </c>
    </row>
    <row r="107" spans="1:8" x14ac:dyDescent="0.35">
      <c r="A107" t="s">
        <v>123</v>
      </c>
      <c r="B107">
        <v>10.860381018518501</v>
      </c>
      <c r="C107">
        <f t="shared" si="3"/>
        <v>10.672675281964789</v>
      </c>
      <c r="D107">
        <v>26.895821858144199</v>
      </c>
      <c r="E107">
        <f t="shared" si="4"/>
        <v>24.187656984975316</v>
      </c>
      <c r="F107">
        <f t="shared" si="5"/>
        <v>25.186410115201362</v>
      </c>
      <c r="G107">
        <v>0</v>
      </c>
      <c r="H107">
        <v>10.860381018518501</v>
      </c>
    </row>
    <row r="108" spans="1:8" x14ac:dyDescent="0.35">
      <c r="A108" t="s">
        <v>124</v>
      </c>
      <c r="B108">
        <v>11.053596296296201</v>
      </c>
      <c r="C108">
        <f t="shared" si="3"/>
        <v>10.733271176142425</v>
      </c>
      <c r="D108">
        <v>26.3374477187295</v>
      </c>
      <c r="E108">
        <f t="shared" si="4"/>
        <v>21.805224459972852</v>
      </c>
      <c r="F108">
        <f t="shared" si="5"/>
        <v>23.487461286803114</v>
      </c>
      <c r="G108">
        <v>0</v>
      </c>
      <c r="H108">
        <v>11.053596296296201</v>
      </c>
    </row>
    <row r="109" spans="1:8" x14ac:dyDescent="0.35">
      <c r="A109" t="s">
        <v>125</v>
      </c>
      <c r="B109">
        <v>11.1946581018518</v>
      </c>
      <c r="C109">
        <f t="shared" si="3"/>
        <v>10.782641325466388</v>
      </c>
      <c r="D109">
        <v>25.8871552580908</v>
      </c>
      <c r="E109">
        <f t="shared" si="4"/>
        <v>20.065868041284819</v>
      </c>
      <c r="F109">
        <f t="shared" si="5"/>
        <v>22.284137502516135</v>
      </c>
      <c r="G109">
        <v>0</v>
      </c>
      <c r="H109">
        <v>11.1946581018518</v>
      </c>
    </row>
    <row r="110" spans="1:8" x14ac:dyDescent="0.35">
      <c r="A110" t="s">
        <v>126</v>
      </c>
      <c r="B110">
        <v>11.238350694444399</v>
      </c>
      <c r="C110">
        <f t="shared" si="3"/>
        <v>10.824712422482795</v>
      </c>
      <c r="D110">
        <v>25.506677034009101</v>
      </c>
      <c r="E110">
        <f t="shared" si="4"/>
        <v>19.527118440882855</v>
      </c>
      <c r="F110">
        <f t="shared" si="5"/>
        <v>21.917546419834256</v>
      </c>
      <c r="G110">
        <v>0</v>
      </c>
      <c r="H110">
        <v>11.238350694444399</v>
      </c>
    </row>
    <row r="111" spans="1:8" x14ac:dyDescent="0.35">
      <c r="A111" t="s">
        <v>127</v>
      </c>
      <c r="B111">
        <v>11.178202314814801</v>
      </c>
      <c r="C111">
        <f t="shared" si="3"/>
        <v>10.859857874295384</v>
      </c>
      <c r="D111">
        <v>25.191092204862301</v>
      </c>
      <c r="E111">
        <f t="shared" si="4"/>
        <v>20.268775403023408</v>
      </c>
      <c r="F111">
        <f t="shared" si="5"/>
        <v>22.422948333501417</v>
      </c>
      <c r="G111">
        <v>0</v>
      </c>
      <c r="H111">
        <v>11.178202314814801</v>
      </c>
    </row>
    <row r="112" spans="1:8" x14ac:dyDescent="0.35">
      <c r="A112" t="s">
        <v>128</v>
      </c>
      <c r="B112">
        <v>11.1477150462962</v>
      </c>
      <c r="C112">
        <f t="shared" si="3"/>
        <v>10.8911755864229</v>
      </c>
      <c r="D112">
        <v>24.911594257879599</v>
      </c>
      <c r="E112">
        <f t="shared" si="4"/>
        <v>20.644697332969155</v>
      </c>
      <c r="F112">
        <f t="shared" si="5"/>
        <v>22.681203005547225</v>
      </c>
      <c r="G112">
        <v>0</v>
      </c>
      <c r="H112">
        <v>11.1477150462962</v>
      </c>
    </row>
    <row r="113" spans="1:8" x14ac:dyDescent="0.35">
      <c r="A113" t="s">
        <v>129</v>
      </c>
      <c r="B113">
        <v>11.2423814814814</v>
      </c>
      <c r="C113">
        <f t="shared" si="3"/>
        <v>10.92539669456437</v>
      </c>
      <c r="D113">
        <v>24.608016751176201</v>
      </c>
      <c r="E113">
        <f t="shared" si="4"/>
        <v>19.477416997763239</v>
      </c>
      <c r="F113">
        <f t="shared" si="5"/>
        <v>21.883870733875906</v>
      </c>
      <c r="G113">
        <v>0</v>
      </c>
      <c r="H113">
        <v>11.2423814814814</v>
      </c>
    </row>
    <row r="114" spans="1:8" x14ac:dyDescent="0.35">
      <c r="A114" t="s">
        <v>130</v>
      </c>
      <c r="B114">
        <v>11.228382175925899</v>
      </c>
      <c r="C114">
        <f t="shared" si="3"/>
        <v>10.961416090335145</v>
      </c>
      <c r="D114">
        <v>24.290534069230699</v>
      </c>
      <c r="E114">
        <f t="shared" si="4"/>
        <v>19.650034822122066</v>
      </c>
      <c r="F114">
        <f t="shared" si="5"/>
        <v>22.000933419802912</v>
      </c>
      <c r="G114">
        <v>0</v>
      </c>
      <c r="H114">
        <v>11.228382175925899</v>
      </c>
    </row>
    <row r="115" spans="1:8" x14ac:dyDescent="0.35">
      <c r="A115" t="s">
        <v>131</v>
      </c>
      <c r="B115">
        <v>11.106705324073999</v>
      </c>
      <c r="C115">
        <f t="shared" si="3"/>
        <v>10.987884119151445</v>
      </c>
      <c r="D115">
        <v>24.058565918509199</v>
      </c>
      <c r="E115">
        <f t="shared" si="4"/>
        <v>21.15036591770653</v>
      </c>
      <c r="F115">
        <f t="shared" si="5"/>
        <v>23.030828597631135</v>
      </c>
      <c r="G115">
        <v>0</v>
      </c>
      <c r="H115">
        <v>11.106705324073999</v>
      </c>
    </row>
    <row r="116" spans="1:8" x14ac:dyDescent="0.35">
      <c r="A116" t="s">
        <v>132</v>
      </c>
      <c r="B116">
        <v>10.9386113425925</v>
      </c>
      <c r="C116">
        <f t="shared" si="3"/>
        <v>10.99029130119917</v>
      </c>
      <c r="D116">
        <v>24.037524589978499</v>
      </c>
      <c r="E116">
        <f t="shared" si="4"/>
        <v>23.223041398366203</v>
      </c>
      <c r="F116">
        <f t="shared" si="5"/>
        <v>24.491297178401368</v>
      </c>
      <c r="G116">
        <v>0</v>
      </c>
      <c r="H116">
        <v>10.9386113425925</v>
      </c>
    </row>
    <row r="117" spans="1:8" x14ac:dyDescent="0.35">
      <c r="A117" t="s">
        <v>133</v>
      </c>
      <c r="B117">
        <v>10.9539384259259</v>
      </c>
      <c r="C117">
        <f t="shared" si="3"/>
        <v>11.01245380315379</v>
      </c>
      <c r="D117">
        <v>23.8442329907048</v>
      </c>
      <c r="E117">
        <f t="shared" si="4"/>
        <v>23.034051468237969</v>
      </c>
      <c r="F117">
        <f t="shared" si="5"/>
        <v>24.356272072282987</v>
      </c>
      <c r="G117">
        <v>0</v>
      </c>
      <c r="H117">
        <v>10.9539384259259</v>
      </c>
    </row>
    <row r="118" spans="1:8" x14ac:dyDescent="0.35">
      <c r="A118" t="s">
        <v>134</v>
      </c>
      <c r="B118">
        <v>11.088259027777699</v>
      </c>
      <c r="C118">
        <f t="shared" si="3"/>
        <v>11.052224245548677</v>
      </c>
      <c r="D118">
        <v>23.499316363920698</v>
      </c>
      <c r="E118">
        <f t="shared" si="4"/>
        <v>21.377817166736129</v>
      </c>
      <c r="F118">
        <f t="shared" si="5"/>
        <v>23.188934492889516</v>
      </c>
      <c r="G118">
        <v>0</v>
      </c>
      <c r="H118">
        <v>11.088259027777699</v>
      </c>
    </row>
    <row r="119" spans="1:8" x14ac:dyDescent="0.35">
      <c r="A119" t="s">
        <v>135</v>
      </c>
      <c r="B119">
        <v>11.237245370370299</v>
      </c>
      <c r="C119">
        <f t="shared" si="3"/>
        <v>11.1094298361608</v>
      </c>
      <c r="D119">
        <v>23.0075209086279</v>
      </c>
      <c r="E119">
        <f t="shared" si="4"/>
        <v>19.540747590995064</v>
      </c>
      <c r="F119">
        <f t="shared" si="5"/>
        <v>21.926785201007501</v>
      </c>
      <c r="G119">
        <v>0</v>
      </c>
      <c r="H119">
        <v>11.237245370370299</v>
      </c>
    </row>
    <row r="120" spans="1:8" x14ac:dyDescent="0.35">
      <c r="A120" t="s">
        <v>136</v>
      </c>
      <c r="B120">
        <v>11.353516898148101</v>
      </c>
      <c r="C120">
        <f t="shared" si="3"/>
        <v>11.168880505450653</v>
      </c>
      <c r="D120">
        <v>22.5017628295058</v>
      </c>
      <c r="E120">
        <f t="shared" si="4"/>
        <v>18.107066607298378</v>
      </c>
      <c r="F120">
        <f t="shared" si="5"/>
        <v>20.964795106701033</v>
      </c>
      <c r="G120">
        <v>0</v>
      </c>
      <c r="H120">
        <v>11.353516898148101</v>
      </c>
    </row>
    <row r="121" spans="1:8" x14ac:dyDescent="0.35">
      <c r="A121" t="s">
        <v>137</v>
      </c>
      <c r="B121">
        <v>11.3963106481481</v>
      </c>
      <c r="C121">
        <f t="shared" si="3"/>
        <v>11.218532964526181</v>
      </c>
      <c r="D121">
        <v>22.083467953183</v>
      </c>
      <c r="E121">
        <f t="shared" si="4"/>
        <v>17.579400146139321</v>
      </c>
      <c r="F121">
        <f t="shared" si="5"/>
        <v>20.615676374939454</v>
      </c>
      <c r="G121">
        <v>0</v>
      </c>
      <c r="H121">
        <v>11.3963106481481</v>
      </c>
    </row>
    <row r="122" spans="1:8" x14ac:dyDescent="0.35">
      <c r="A122" t="s">
        <v>138</v>
      </c>
      <c r="B122">
        <v>11.510054861111101</v>
      </c>
      <c r="C122">
        <f t="shared" si="3"/>
        <v>11.275299618547221</v>
      </c>
      <c r="D122">
        <v>21.609753503034899</v>
      </c>
      <c r="E122">
        <f t="shared" si="4"/>
        <v>16.176882107138081</v>
      </c>
      <c r="F122">
        <f t="shared" si="5"/>
        <v>19.700351777876389</v>
      </c>
      <c r="G122">
        <v>0</v>
      </c>
      <c r="H122">
        <v>11.510054861111101</v>
      </c>
    </row>
    <row r="123" spans="1:8" x14ac:dyDescent="0.35">
      <c r="A123" t="s">
        <v>139</v>
      </c>
      <c r="B123">
        <v>11.5059185185185</v>
      </c>
      <c r="C123">
        <f t="shared" si="3"/>
        <v>11.34363497163887</v>
      </c>
      <c r="D123">
        <v>21.0457879157969</v>
      </c>
      <c r="E123">
        <f t="shared" si="4"/>
        <v>16.22788509841552</v>
      </c>
      <c r="F123">
        <f t="shared" si="5"/>
        <v>19.73332074260923</v>
      </c>
      <c r="G123">
        <v>0</v>
      </c>
      <c r="H123">
        <v>11.5059185185185</v>
      </c>
    </row>
    <row r="124" spans="1:8" x14ac:dyDescent="0.35">
      <c r="A124" t="s">
        <v>140</v>
      </c>
      <c r="B124">
        <v>11.540931018518499</v>
      </c>
      <c r="C124">
        <f t="shared" si="3"/>
        <v>11.418898315227677</v>
      </c>
      <c r="D124">
        <v>20.4324574252689</v>
      </c>
      <c r="E124">
        <f t="shared" si="4"/>
        <v>15.796164999771884</v>
      </c>
      <c r="F124">
        <f t="shared" si="5"/>
        <v>19.454998139141193</v>
      </c>
      <c r="G124">
        <v>0</v>
      </c>
      <c r="H124">
        <v>11.540931018518499</v>
      </c>
    </row>
    <row r="125" spans="1:8" x14ac:dyDescent="0.35">
      <c r="A125" t="s">
        <v>141</v>
      </c>
      <c r="B125">
        <v>11.153098611111099</v>
      </c>
      <c r="C125">
        <f t="shared" si="3"/>
        <v>11.437590824563891</v>
      </c>
      <c r="D125">
        <v>20.281381125061799</v>
      </c>
      <c r="E125">
        <f t="shared" si="4"/>
        <v>20.578315522674473</v>
      </c>
      <c r="F125">
        <f t="shared" si="5"/>
        <v>22.635496708182156</v>
      </c>
      <c r="G125">
        <v>0</v>
      </c>
      <c r="H125">
        <v>11.153098611111099</v>
      </c>
    </row>
    <row r="126" spans="1:8" x14ac:dyDescent="0.35">
      <c r="A126" t="s">
        <v>142</v>
      </c>
      <c r="B126">
        <v>10.802577777777699</v>
      </c>
      <c r="C126">
        <f t="shared" si="3"/>
        <v>11.414775496684589</v>
      </c>
      <c r="D126">
        <v>20.465845404642501</v>
      </c>
      <c r="E126">
        <f t="shared" si="4"/>
        <v>24.900397314701596</v>
      </c>
      <c r="F126">
        <f t="shared" si="5"/>
        <v>25.706486602430896</v>
      </c>
      <c r="G126">
        <v>0</v>
      </c>
      <c r="H126">
        <v>10.802577777777699</v>
      </c>
    </row>
    <row r="127" spans="1:8" x14ac:dyDescent="0.35">
      <c r="A127" t="s">
        <v>143</v>
      </c>
      <c r="B127">
        <v>10.415200694444399</v>
      </c>
      <c r="C127">
        <f t="shared" si="3"/>
        <v>11.37378054802662</v>
      </c>
      <c r="D127">
        <v>20.799153317267098</v>
      </c>
      <c r="E127">
        <f t="shared" si="4"/>
        <v>29.676933484039452</v>
      </c>
      <c r="F127">
        <f t="shared" si="5"/>
        <v>29.340833479581786</v>
      </c>
      <c r="G127">
        <v>0</v>
      </c>
      <c r="H127">
        <v>10.415200694444399</v>
      </c>
    </row>
    <row r="128" spans="1:8" x14ac:dyDescent="0.35">
      <c r="A128" t="s">
        <v>144</v>
      </c>
      <c r="B128">
        <v>10.4038043981481</v>
      </c>
      <c r="C128">
        <f t="shared" si="3"/>
        <v>11.357080709523769</v>
      </c>
      <c r="D128">
        <v>20.9356204951224</v>
      </c>
      <c r="E128">
        <f t="shared" si="4"/>
        <v>29.817455016669527</v>
      </c>
      <c r="F128">
        <f t="shared" si="5"/>
        <v>29.451850970176078</v>
      </c>
      <c r="G128">
        <v>0</v>
      </c>
      <c r="H128">
        <v>10.4038043981481</v>
      </c>
    </row>
    <row r="129" spans="1:8" x14ac:dyDescent="0.35">
      <c r="A129" t="s">
        <v>145</v>
      </c>
      <c r="B129">
        <v>10.509411574074001</v>
      </c>
      <c r="C129">
        <f t="shared" si="3"/>
        <v>11.36476886613058</v>
      </c>
      <c r="D129">
        <v>20.872744858217601</v>
      </c>
      <c r="E129">
        <f t="shared" si="4"/>
        <v>28.515270356670754</v>
      </c>
      <c r="F129">
        <f t="shared" si="5"/>
        <v>28.432296704327275</v>
      </c>
      <c r="G129">
        <v>0</v>
      </c>
      <c r="H129">
        <v>10.509411574074001</v>
      </c>
    </row>
    <row r="130" spans="1:8" x14ac:dyDescent="0.35">
      <c r="A130" t="s">
        <v>146</v>
      </c>
      <c r="B130">
        <v>10.495975231481401</v>
      </c>
      <c r="C130">
        <f t="shared" si="3"/>
        <v>11.337892718174643</v>
      </c>
      <c r="D130">
        <v>21.0929165949312</v>
      </c>
      <c r="E130">
        <f t="shared" si="4"/>
        <v>28.680946590858177</v>
      </c>
      <c r="F130">
        <f t="shared" si="5"/>
        <v>28.560874911792268</v>
      </c>
      <c r="G130">
        <v>0</v>
      </c>
      <c r="H130">
        <v>10.495975231481401</v>
      </c>
    </row>
    <row r="131" spans="1:8" x14ac:dyDescent="0.35">
      <c r="A131" t="s">
        <v>147</v>
      </c>
      <c r="B131">
        <v>10.3706613425925</v>
      </c>
      <c r="C131">
        <f t="shared" si="3"/>
        <v>10.970541500900275</v>
      </c>
      <c r="D131">
        <v>24.210431733414801</v>
      </c>
      <c r="E131">
        <f t="shared" si="4"/>
        <v>30.226124012422918</v>
      </c>
      <c r="F131">
        <f t="shared" si="5"/>
        <v>29.776102034027378</v>
      </c>
      <c r="G131">
        <v>0</v>
      </c>
      <c r="H131">
        <v>10.3706613425925</v>
      </c>
    </row>
    <row r="132" spans="1:8" x14ac:dyDescent="0.35">
      <c r="A132" t="s">
        <v>148</v>
      </c>
      <c r="B132">
        <v>10.161891898148101</v>
      </c>
      <c r="C132">
        <f t="shared" si="3"/>
        <v>10.407821040546102</v>
      </c>
      <c r="D132">
        <v>29.412694938656099</v>
      </c>
      <c r="E132">
        <f t="shared" si="4"/>
        <v>32.800346508654727</v>
      </c>
      <c r="F132">
        <f t="shared" si="5"/>
        <v>31.867195322889945</v>
      </c>
      <c r="G132">
        <v>0</v>
      </c>
      <c r="H132">
        <v>10.161891898148101</v>
      </c>
    </row>
    <row r="133" spans="1:8" x14ac:dyDescent="0.35">
      <c r="A133" t="s">
        <v>149</v>
      </c>
      <c r="B133">
        <v>10.019836805555499</v>
      </c>
      <c r="C133">
        <f t="shared" si="3"/>
        <v>10.059634523034555</v>
      </c>
      <c r="D133">
        <v>32.923101578848701</v>
      </c>
      <c r="E133">
        <f t="shared" si="4"/>
        <v>34.551950609673241</v>
      </c>
      <c r="F133">
        <f t="shared" si="5"/>
        <v>33.339877681902109</v>
      </c>
      <c r="G133">
        <v>0</v>
      </c>
      <c r="H133">
        <v>10.019836805555499</v>
      </c>
    </row>
    <row r="134" spans="1:8" x14ac:dyDescent="0.35">
      <c r="A134" t="s">
        <v>150</v>
      </c>
      <c r="B134">
        <v>9.9122488425925894</v>
      </c>
      <c r="C134">
        <f t="shared" si="3"/>
        <v>10.135058868989011</v>
      </c>
      <c r="D134">
        <v>32.142210303991497</v>
      </c>
      <c r="E134">
        <f t="shared" si="4"/>
        <v>35.878559277526627</v>
      </c>
      <c r="F134">
        <f t="shared" si="5"/>
        <v>34.48333072884278</v>
      </c>
      <c r="G134">
        <v>0</v>
      </c>
      <c r="H134">
        <v>9.9122488425925894</v>
      </c>
    </row>
    <row r="135" spans="1:8" x14ac:dyDescent="0.35">
      <c r="A135" t="s">
        <v>151</v>
      </c>
      <c r="B135">
        <v>9.8585006944444409</v>
      </c>
      <c r="C135">
        <f t="shared" si="3"/>
        <v>10.087678912844506</v>
      </c>
      <c r="D135">
        <v>32.631385721304099</v>
      </c>
      <c r="E135">
        <f t="shared" si="4"/>
        <v>36.541298465543257</v>
      </c>
      <c r="F135">
        <f t="shared" si="5"/>
        <v>35.063918566240979</v>
      </c>
      <c r="G135">
        <v>0</v>
      </c>
      <c r="H135">
        <v>9.8585006944444409</v>
      </c>
    </row>
    <row r="136" spans="1:8" x14ac:dyDescent="0.35">
      <c r="A136" t="s">
        <v>152</v>
      </c>
      <c r="B136">
        <v>9.8144930555555501</v>
      </c>
      <c r="C136">
        <f t="shared" si="3"/>
        <v>9.9974743606431815</v>
      </c>
      <c r="D136">
        <v>33.575521381364801</v>
      </c>
      <c r="E136">
        <f t="shared" si="4"/>
        <v>37.083932730511087</v>
      </c>
      <c r="F136">
        <f t="shared" si="5"/>
        <v>35.544024220352881</v>
      </c>
      <c r="G136">
        <v>0</v>
      </c>
      <c r="H136">
        <v>9.8144930555555501</v>
      </c>
    </row>
    <row r="137" spans="1:8" x14ac:dyDescent="0.35">
      <c r="A137" t="s">
        <v>153</v>
      </c>
      <c r="B137">
        <v>9.7569214351851805</v>
      </c>
      <c r="C137">
        <f t="shared" ref="C137:C200" si="6">$B$2/(1+$B$4*((D137/100)/$B$3))</f>
        <v>9.9143650058753767</v>
      </c>
      <c r="D137">
        <v>34.460600721793199</v>
      </c>
      <c r="E137">
        <f t="shared" ref="E137:E200" si="7" xml:space="preserve"> (12.822 - B137)/0.0811</f>
        <v>37.793817075398501</v>
      </c>
      <c r="F137">
        <f t="shared" ref="F137:F200" si="8" xml:space="preserve"> ((($B$3 *($B$2-B137))/($B$4*B137)))*100</f>
        <v>36.178646432633684</v>
      </c>
      <c r="G137">
        <v>0</v>
      </c>
      <c r="H137">
        <v>9.7569214351851805</v>
      </c>
    </row>
    <row r="138" spans="1:8" x14ac:dyDescent="0.35">
      <c r="A138" t="s">
        <v>154</v>
      </c>
      <c r="B138">
        <v>9.6996651851851805</v>
      </c>
      <c r="C138">
        <f t="shared" si="6"/>
        <v>9.9556285002384186</v>
      </c>
      <c r="D138">
        <v>34.0193149623856</v>
      </c>
      <c r="E138">
        <f t="shared" si="7"/>
        <v>38.499812759738823</v>
      </c>
      <c r="F138">
        <f t="shared" si="8"/>
        <v>36.817263975968736</v>
      </c>
      <c r="G138">
        <v>0</v>
      </c>
      <c r="H138">
        <v>9.6996651851851805</v>
      </c>
    </row>
    <row r="139" spans="1:8" x14ac:dyDescent="0.35">
      <c r="A139" t="s">
        <v>155</v>
      </c>
      <c r="B139">
        <v>9.6783721296296292</v>
      </c>
      <c r="C139">
        <f t="shared" si="6"/>
        <v>9.8321957143761747</v>
      </c>
      <c r="D139">
        <v>35.350378631574301</v>
      </c>
      <c r="E139">
        <f t="shared" si="7"/>
        <v>38.762365849203078</v>
      </c>
      <c r="F139">
        <f t="shared" si="8"/>
        <v>37.056687281754172</v>
      </c>
      <c r="G139">
        <v>0</v>
      </c>
      <c r="H139">
        <v>9.6783721296296292</v>
      </c>
    </row>
    <row r="140" spans="1:8" x14ac:dyDescent="0.35">
      <c r="A140" t="s">
        <v>156</v>
      </c>
      <c r="B140">
        <v>9.7535307870370307</v>
      </c>
      <c r="C140">
        <f t="shared" si="6"/>
        <v>9.9043955166575177</v>
      </c>
      <c r="D140">
        <v>34.567769313829501</v>
      </c>
      <c r="E140">
        <f t="shared" si="7"/>
        <v>37.835625313970013</v>
      </c>
      <c r="F140">
        <f t="shared" si="8"/>
        <v>36.216255758891137</v>
      </c>
      <c r="G140">
        <v>0</v>
      </c>
      <c r="H140">
        <v>9.7535307870370307</v>
      </c>
    </row>
    <row r="141" spans="1:8" x14ac:dyDescent="0.35">
      <c r="A141" t="s">
        <v>157</v>
      </c>
      <c r="B141">
        <v>9.7932539351851808</v>
      </c>
      <c r="C141">
        <f t="shared" si="6"/>
        <v>9.9883223434242154</v>
      </c>
      <c r="D141">
        <v>33.672264810191301</v>
      </c>
      <c r="E141">
        <f t="shared" si="7"/>
        <v>37.345820774535369</v>
      </c>
      <c r="F141">
        <f t="shared" si="8"/>
        <v>35.77727823867972</v>
      </c>
      <c r="G141">
        <v>0</v>
      </c>
      <c r="H141">
        <v>9.7932539351851808</v>
      </c>
    </row>
    <row r="142" spans="1:8" x14ac:dyDescent="0.35">
      <c r="A142" t="s">
        <v>158</v>
      </c>
      <c r="B142">
        <v>9.8270081018518507</v>
      </c>
      <c r="C142">
        <f t="shared" si="6"/>
        <v>9.9519728053607235</v>
      </c>
      <c r="D142">
        <v>34.058262461225901</v>
      </c>
      <c r="E142">
        <f t="shared" si="7"/>
        <v>36.929616499977165</v>
      </c>
      <c r="F142">
        <f t="shared" si="8"/>
        <v>35.407052544283822</v>
      </c>
      <c r="G142">
        <v>0</v>
      </c>
      <c r="H142">
        <v>9.8270081018518507</v>
      </c>
    </row>
    <row r="143" spans="1:8" x14ac:dyDescent="0.35">
      <c r="A143" t="s">
        <v>159</v>
      </c>
      <c r="B143">
        <v>9.7538451388888898</v>
      </c>
      <c r="C143">
        <f t="shared" si="6"/>
        <v>9.8710415319094977</v>
      </c>
      <c r="D143">
        <v>34.927886847788798</v>
      </c>
      <c r="E143">
        <f t="shared" si="7"/>
        <v>37.831749212220828</v>
      </c>
      <c r="F143">
        <f t="shared" si="8"/>
        <v>36.212767844606084</v>
      </c>
      <c r="G143">
        <v>0</v>
      </c>
      <c r="H143">
        <v>9.7538451388888898</v>
      </c>
    </row>
    <row r="144" spans="1:8" x14ac:dyDescent="0.35">
      <c r="A144" t="s">
        <v>160</v>
      </c>
      <c r="B144">
        <v>9.7510018055555499</v>
      </c>
      <c r="C144">
        <f t="shared" si="6"/>
        <v>9.8535376519693223</v>
      </c>
      <c r="D144">
        <v>35.117848816544999</v>
      </c>
      <c r="E144">
        <f t="shared" si="7"/>
        <v>37.866808809426004</v>
      </c>
      <c r="F144">
        <f t="shared" si="8"/>
        <v>36.244324442744549</v>
      </c>
      <c r="G144">
        <v>0</v>
      </c>
      <c r="H144">
        <v>9.7510018055555499</v>
      </c>
    </row>
    <row r="145" spans="1:8" x14ac:dyDescent="0.35">
      <c r="A145" t="s">
        <v>161</v>
      </c>
      <c r="B145">
        <v>9.7585754166666607</v>
      </c>
      <c r="C145">
        <f t="shared" si="6"/>
        <v>9.899468438984707</v>
      </c>
      <c r="D145">
        <v>34.620813410053501</v>
      </c>
      <c r="E145">
        <f t="shared" si="7"/>
        <v>37.773422729141039</v>
      </c>
      <c r="F145">
        <f t="shared" si="8"/>
        <v>36.16030982856185</v>
      </c>
      <c r="G145">
        <v>0</v>
      </c>
      <c r="H145">
        <v>9.7585754166666607</v>
      </c>
    </row>
    <row r="146" spans="1:8" x14ac:dyDescent="0.35">
      <c r="A146" t="s">
        <v>162</v>
      </c>
      <c r="B146">
        <v>9.7879115277777693</v>
      </c>
      <c r="C146">
        <f t="shared" si="6"/>
        <v>10.174014744880584</v>
      </c>
      <c r="D146">
        <v>31.7434225339444</v>
      </c>
      <c r="E146">
        <f t="shared" si="7"/>
        <v>37.411695095218612</v>
      </c>
      <c r="F146">
        <f t="shared" si="8"/>
        <v>35.836109403703809</v>
      </c>
      <c r="G146">
        <v>0</v>
      </c>
      <c r="H146">
        <v>9.7879115277777693</v>
      </c>
    </row>
    <row r="147" spans="1:8" x14ac:dyDescent="0.35">
      <c r="A147" t="s">
        <v>163</v>
      </c>
      <c r="B147">
        <v>9.7526525462962894</v>
      </c>
      <c r="C147">
        <f t="shared" si="6"/>
        <v>10.224065451686757</v>
      </c>
      <c r="D147">
        <v>31.2355184243332</v>
      </c>
      <c r="E147">
        <f t="shared" si="7"/>
        <v>37.846454422980386</v>
      </c>
      <c r="F147">
        <f t="shared" si="8"/>
        <v>36.226001535767608</v>
      </c>
      <c r="G147">
        <v>0</v>
      </c>
      <c r="H147">
        <v>9.7526525462962894</v>
      </c>
    </row>
    <row r="148" spans="1:8" x14ac:dyDescent="0.35">
      <c r="A148" t="s">
        <v>164</v>
      </c>
      <c r="B148">
        <v>9.6996692129629594</v>
      </c>
      <c r="C148">
        <f t="shared" si="6"/>
        <v>10.188872660860953</v>
      </c>
      <c r="D148">
        <v>31.592126725388798</v>
      </c>
      <c r="E148">
        <f t="shared" si="7"/>
        <v>38.499763095401228</v>
      </c>
      <c r="F148">
        <f t="shared" si="8"/>
        <v>36.817218786282069</v>
      </c>
      <c r="G148">
        <v>0</v>
      </c>
      <c r="H148">
        <v>9.6996692129629594</v>
      </c>
    </row>
    <row r="149" spans="1:8" x14ac:dyDescent="0.35">
      <c r="A149" t="s">
        <v>165</v>
      </c>
      <c r="B149">
        <v>9.6911738425925904</v>
      </c>
      <c r="C149">
        <f t="shared" si="6"/>
        <v>10.158137308262489</v>
      </c>
      <c r="D149">
        <v>31.905589145333199</v>
      </c>
      <c r="E149">
        <f t="shared" si="7"/>
        <v>38.6045148878842</v>
      </c>
      <c r="F149">
        <f t="shared" si="8"/>
        <v>36.912616178994718</v>
      </c>
      <c r="G149">
        <v>0</v>
      </c>
      <c r="H149">
        <v>9.6911738425925904</v>
      </c>
    </row>
    <row r="150" spans="1:8" x14ac:dyDescent="0.35">
      <c r="A150" t="s">
        <v>166</v>
      </c>
      <c r="B150">
        <v>9.7326164351851805</v>
      </c>
      <c r="C150">
        <f t="shared" si="6"/>
        <v>10.18273599425893</v>
      </c>
      <c r="D150">
        <v>31.654561910888798</v>
      </c>
      <c r="E150">
        <f t="shared" si="7"/>
        <v>38.093508813992827</v>
      </c>
      <c r="F150">
        <f t="shared" si="8"/>
        <v>36.448818661174755</v>
      </c>
      <c r="G150">
        <v>0</v>
      </c>
      <c r="H150">
        <v>9.7326164351851805</v>
      </c>
    </row>
    <row r="151" spans="1:8" x14ac:dyDescent="0.35">
      <c r="A151" t="s">
        <v>167</v>
      </c>
      <c r="B151">
        <v>9.7317951388888897</v>
      </c>
      <c r="C151">
        <f t="shared" si="6"/>
        <v>10.200061101558722</v>
      </c>
      <c r="D151">
        <v>31.478487529444301</v>
      </c>
      <c r="E151">
        <f t="shared" si="7"/>
        <v>38.103635772023544</v>
      </c>
      <c r="F151">
        <f t="shared" si="8"/>
        <v>36.45797168923707</v>
      </c>
      <c r="G151">
        <v>0</v>
      </c>
      <c r="H151">
        <v>9.7317951388888897</v>
      </c>
    </row>
    <row r="152" spans="1:8" x14ac:dyDescent="0.35">
      <c r="A152" t="s">
        <v>168</v>
      </c>
      <c r="B152">
        <v>9.6604097222222194</v>
      </c>
      <c r="C152">
        <f t="shared" si="6"/>
        <v>10.078402701118518</v>
      </c>
      <c r="D152">
        <v>32.727696565735997</v>
      </c>
      <c r="E152">
        <f t="shared" si="7"/>
        <v>38.983850527469535</v>
      </c>
      <c r="F152">
        <f t="shared" si="8"/>
        <v>37.259480849261941</v>
      </c>
      <c r="G152">
        <v>0</v>
      </c>
      <c r="H152">
        <v>9.6604097222222194</v>
      </c>
    </row>
    <row r="153" spans="1:8" x14ac:dyDescent="0.35">
      <c r="A153" t="s">
        <v>169</v>
      </c>
      <c r="B153">
        <v>9.5190935185185204</v>
      </c>
      <c r="C153">
        <f t="shared" si="6"/>
        <v>9.8657258494876601</v>
      </c>
      <c r="D153">
        <v>34.985504359694303</v>
      </c>
      <c r="E153">
        <f t="shared" si="7"/>
        <v>40.72634379138691</v>
      </c>
      <c r="F153">
        <f t="shared" si="8"/>
        <v>38.881620791105604</v>
      </c>
      <c r="G153">
        <v>0</v>
      </c>
      <c r="H153">
        <v>9.5190935185185204</v>
      </c>
    </row>
    <row r="154" spans="1:8" x14ac:dyDescent="0.35">
      <c r="A154" t="s">
        <v>170</v>
      </c>
      <c r="B154">
        <v>9.4382946759259205</v>
      </c>
      <c r="C154">
        <f t="shared" si="6"/>
        <v>9.762432461926652</v>
      </c>
      <c r="D154">
        <v>36.117573445284599</v>
      </c>
      <c r="E154">
        <f t="shared" si="7"/>
        <v>41.722630383157565</v>
      </c>
      <c r="F154">
        <f t="shared" si="8"/>
        <v>39.830920853762549</v>
      </c>
      <c r="G154">
        <v>0</v>
      </c>
      <c r="H154">
        <v>9.4382946759259205</v>
      </c>
    </row>
    <row r="155" spans="1:8" x14ac:dyDescent="0.35">
      <c r="A155" t="s">
        <v>171</v>
      </c>
      <c r="B155">
        <v>9.4440199074073998</v>
      </c>
      <c r="C155">
        <f t="shared" si="6"/>
        <v>9.8777172140612386</v>
      </c>
      <c r="D155">
        <v>34.855615928611002</v>
      </c>
      <c r="E155">
        <f t="shared" si="7"/>
        <v>41.652035666986428</v>
      </c>
      <c r="F155">
        <f t="shared" si="8"/>
        <v>39.763120787223485</v>
      </c>
      <c r="G155">
        <v>0</v>
      </c>
      <c r="H155">
        <v>9.4440199074073998</v>
      </c>
    </row>
    <row r="156" spans="1:8" x14ac:dyDescent="0.35">
      <c r="A156" t="s">
        <v>172</v>
      </c>
      <c r="B156">
        <v>9.47042291666666</v>
      </c>
      <c r="C156">
        <f t="shared" si="6"/>
        <v>9.8282598652261015</v>
      </c>
      <c r="D156">
        <v>35.393371734930398</v>
      </c>
      <c r="E156">
        <f t="shared" si="7"/>
        <v>41.3264745170572</v>
      </c>
      <c r="F156">
        <f t="shared" si="8"/>
        <v>39.451508440962563</v>
      </c>
      <c r="G156">
        <v>0</v>
      </c>
      <c r="H156">
        <v>9.47042291666666</v>
      </c>
    </row>
    <row r="157" spans="1:8" x14ac:dyDescent="0.35">
      <c r="A157" t="s">
        <v>173</v>
      </c>
      <c r="B157">
        <v>9.5080965277777807</v>
      </c>
      <c r="C157">
        <f t="shared" si="6"/>
        <v>9.6909250695877933</v>
      </c>
      <c r="D157">
        <v>36.915412255999399</v>
      </c>
      <c r="E157">
        <f t="shared" si="7"/>
        <v>40.86194170434301</v>
      </c>
      <c r="F157">
        <f t="shared" si="8"/>
        <v>39.009875163414826</v>
      </c>
      <c r="G157">
        <v>0</v>
      </c>
      <c r="H157">
        <v>9.5080965277777807</v>
      </c>
    </row>
    <row r="158" spans="1:8" x14ac:dyDescent="0.35">
      <c r="A158" t="s">
        <v>174</v>
      </c>
      <c r="B158">
        <v>9.4984199074073992</v>
      </c>
      <c r="C158">
        <f t="shared" si="6"/>
        <v>9.7227418401391876</v>
      </c>
      <c r="D158">
        <v>36.5589696569632</v>
      </c>
      <c r="E158">
        <f t="shared" si="7"/>
        <v>40.981258848244138</v>
      </c>
      <c r="F158">
        <f t="shared" si="8"/>
        <v>39.122976113176598</v>
      </c>
      <c r="G158">
        <v>0</v>
      </c>
      <c r="H158">
        <v>9.4984199074073992</v>
      </c>
    </row>
    <row r="159" spans="1:8" x14ac:dyDescent="0.35">
      <c r="A159" t="s">
        <v>175</v>
      </c>
      <c r="B159">
        <v>9.4829261574074</v>
      </c>
      <c r="C159">
        <f t="shared" si="6"/>
        <v>9.8168442314618893</v>
      </c>
      <c r="D159">
        <v>35.518264992157199</v>
      </c>
      <c r="E159">
        <f t="shared" si="7"/>
        <v>41.172303854409357</v>
      </c>
      <c r="F159">
        <f t="shared" si="8"/>
        <v>39.304548710516549</v>
      </c>
      <c r="G159">
        <v>0</v>
      </c>
      <c r="H159">
        <v>9.4829261574074</v>
      </c>
    </row>
    <row r="160" spans="1:8" x14ac:dyDescent="0.35">
      <c r="A160" t="s">
        <v>176</v>
      </c>
      <c r="B160">
        <v>9.4367275462962894</v>
      </c>
      <c r="C160">
        <f t="shared" si="6"/>
        <v>9.7014817862241642</v>
      </c>
      <c r="D160">
        <v>36.796886413280298</v>
      </c>
      <c r="E160">
        <f t="shared" si="7"/>
        <v>41.74195380645758</v>
      </c>
      <c r="F160">
        <f t="shared" si="8"/>
        <v>39.849493657467036</v>
      </c>
      <c r="G160">
        <v>0</v>
      </c>
      <c r="H160">
        <v>9.4367275462962894</v>
      </c>
    </row>
    <row r="161" spans="1:8" x14ac:dyDescent="0.35">
      <c r="A161" t="s">
        <v>177</v>
      </c>
      <c r="B161">
        <v>9.4755180555555505</v>
      </c>
      <c r="C161">
        <f t="shared" si="6"/>
        <v>9.6622666681983542</v>
      </c>
      <c r="D161">
        <v>37.2384811923638</v>
      </c>
      <c r="E161">
        <f t="shared" si="7"/>
        <v>41.263649130017861</v>
      </c>
      <c r="F161">
        <f t="shared" si="8"/>
        <v>39.391574727709106</v>
      </c>
      <c r="G161">
        <v>0</v>
      </c>
      <c r="H161">
        <v>9.4755180555555505</v>
      </c>
    </row>
    <row r="162" spans="1:8" x14ac:dyDescent="0.35">
      <c r="A162" t="s">
        <v>178</v>
      </c>
      <c r="B162">
        <v>9.5042909722222202</v>
      </c>
      <c r="C162">
        <f t="shared" si="6"/>
        <v>9.6722779914112742</v>
      </c>
      <c r="D162">
        <v>37.1254049966279</v>
      </c>
      <c r="E162">
        <f t="shared" si="7"/>
        <v>40.908865940539812</v>
      </c>
      <c r="F162">
        <f t="shared" si="8"/>
        <v>39.054327260718686</v>
      </c>
      <c r="G162">
        <v>0</v>
      </c>
      <c r="H162">
        <v>9.5042909722222202</v>
      </c>
    </row>
    <row r="163" spans="1:8" x14ac:dyDescent="0.35">
      <c r="A163" t="s">
        <v>179</v>
      </c>
      <c r="B163">
        <v>9.4968368055555494</v>
      </c>
      <c r="C163">
        <f t="shared" si="6"/>
        <v>9.6895299536118369</v>
      </c>
      <c r="D163">
        <v>36.931095282001898</v>
      </c>
      <c r="E163">
        <f t="shared" si="7"/>
        <v>41.000779216331068</v>
      </c>
      <c r="F163">
        <f t="shared" si="8"/>
        <v>39.141501445715555</v>
      </c>
      <c r="G163">
        <v>0</v>
      </c>
      <c r="H163">
        <v>9.4968368055555494</v>
      </c>
    </row>
    <row r="164" spans="1:8" x14ac:dyDescent="0.35">
      <c r="A164" t="s">
        <v>180</v>
      </c>
      <c r="B164">
        <v>9.4266145833333308</v>
      </c>
      <c r="C164">
        <f t="shared" si="6"/>
        <v>9.6522439023919215</v>
      </c>
      <c r="D164">
        <v>37.351921598185697</v>
      </c>
      <c r="E164">
        <f t="shared" si="7"/>
        <v>41.866651253596402</v>
      </c>
      <c r="F164">
        <f t="shared" si="8"/>
        <v>39.969495729559753</v>
      </c>
      <c r="G164">
        <v>0</v>
      </c>
      <c r="H164">
        <v>9.4266145833333308</v>
      </c>
    </row>
    <row r="165" spans="1:8" x14ac:dyDescent="0.35">
      <c r="A165" t="s">
        <v>181</v>
      </c>
      <c r="B165">
        <v>9.4355456018518495</v>
      </c>
      <c r="C165">
        <f t="shared" si="6"/>
        <v>9.7350592399496474</v>
      </c>
      <c r="D165">
        <v>36.421603679425097</v>
      </c>
      <c r="E165">
        <f t="shared" si="7"/>
        <v>41.756527720692347</v>
      </c>
      <c r="F165">
        <f t="shared" si="8"/>
        <v>39.863505528296024</v>
      </c>
      <c r="G165">
        <v>0</v>
      </c>
      <c r="H165">
        <v>9.4355456018518495</v>
      </c>
    </row>
    <row r="166" spans="1:8" x14ac:dyDescent="0.35">
      <c r="A166" t="s">
        <v>182</v>
      </c>
      <c r="B166">
        <v>9.3810050925925896</v>
      </c>
      <c r="C166">
        <f t="shared" si="6"/>
        <v>9.7861251694221814</v>
      </c>
      <c r="D166">
        <v>35.855795303946202</v>
      </c>
      <c r="E166">
        <f t="shared" si="7"/>
        <v>42.42903708270542</v>
      </c>
      <c r="F166">
        <f t="shared" si="8"/>
        <v>40.513920148442843</v>
      </c>
      <c r="G166">
        <v>0</v>
      </c>
      <c r="H166">
        <v>9.3810050925925896</v>
      </c>
    </row>
    <row r="167" spans="1:8" x14ac:dyDescent="0.35">
      <c r="A167" t="s">
        <v>183</v>
      </c>
      <c r="B167">
        <v>9.3401615740740702</v>
      </c>
      <c r="C167">
        <f t="shared" si="6"/>
        <v>9.6502746402774644</v>
      </c>
      <c r="D167">
        <v>37.374237942877102</v>
      </c>
      <c r="E167">
        <f t="shared" si="7"/>
        <v>42.932656299949798</v>
      </c>
      <c r="F167">
        <f t="shared" si="8"/>
        <v>41.005967482164209</v>
      </c>
      <c r="G167">
        <v>0</v>
      </c>
      <c r="H167">
        <v>9.3401615740740702</v>
      </c>
    </row>
    <row r="168" spans="1:8" x14ac:dyDescent="0.35">
      <c r="A168" t="s">
        <v>184</v>
      </c>
      <c r="B168">
        <v>9.2687668981481401</v>
      </c>
      <c r="C168">
        <f t="shared" si="6"/>
        <v>9.6230276963632537</v>
      </c>
      <c r="D168">
        <v>37.683946984656302</v>
      </c>
      <c r="E168">
        <f t="shared" si="7"/>
        <v>43.812985226286791</v>
      </c>
      <c r="F168">
        <f t="shared" si="8"/>
        <v>41.876483913669375</v>
      </c>
      <c r="G168">
        <v>0</v>
      </c>
      <c r="H168">
        <v>9.2687668981481401</v>
      </c>
    </row>
    <row r="169" spans="1:8" x14ac:dyDescent="0.35">
      <c r="A169" t="s">
        <v>185</v>
      </c>
      <c r="B169">
        <v>9.3096458333333292</v>
      </c>
      <c r="C169">
        <f t="shared" si="6"/>
        <v>9.6263671626757148</v>
      </c>
      <c r="D169">
        <v>37.645893852925099</v>
      </c>
      <c r="E169">
        <f t="shared" si="7"/>
        <v>43.308929305384339</v>
      </c>
      <c r="F169">
        <f t="shared" si="8"/>
        <v>41.376412589941594</v>
      </c>
      <c r="G169">
        <v>0</v>
      </c>
      <c r="H169">
        <v>9.3096458333333292</v>
      </c>
    </row>
    <row r="170" spans="1:8" x14ac:dyDescent="0.35">
      <c r="A170" t="s">
        <v>186</v>
      </c>
      <c r="B170">
        <v>9.3035983796296193</v>
      </c>
      <c r="C170">
        <f t="shared" si="6"/>
        <v>9.4912193360118184</v>
      </c>
      <c r="D170">
        <v>39.207286499989003</v>
      </c>
      <c r="E170">
        <f t="shared" si="7"/>
        <v>43.383497168562016</v>
      </c>
      <c r="F170">
        <f t="shared" si="8"/>
        <v>41.450114023308579</v>
      </c>
      <c r="G170">
        <v>0</v>
      </c>
      <c r="H170">
        <v>9.3035983796296193</v>
      </c>
    </row>
    <row r="171" spans="1:8" x14ac:dyDescent="0.35">
      <c r="A171" t="s">
        <v>187</v>
      </c>
      <c r="B171">
        <v>9.2910085648148097</v>
      </c>
      <c r="C171">
        <f t="shared" si="6"/>
        <v>9.5343346773356767</v>
      </c>
      <c r="D171">
        <v>38.704357218372998</v>
      </c>
      <c r="E171">
        <f t="shared" si="7"/>
        <v>43.538735329040556</v>
      </c>
      <c r="F171">
        <f t="shared" si="8"/>
        <v>41.603856199098061</v>
      </c>
      <c r="G171">
        <v>0</v>
      </c>
      <c r="H171">
        <v>9.2910085648148097</v>
      </c>
    </row>
    <row r="172" spans="1:8" x14ac:dyDescent="0.35">
      <c r="A172" t="s">
        <v>188</v>
      </c>
      <c r="B172">
        <v>9.2658668981481398</v>
      </c>
      <c r="C172">
        <f t="shared" si="6"/>
        <v>9.6361480889582811</v>
      </c>
      <c r="D172">
        <v>37.534592205244998</v>
      </c>
      <c r="E172">
        <f t="shared" si="7"/>
        <v>43.848743549344746</v>
      </c>
      <c r="F172">
        <f t="shared" si="8"/>
        <v>41.912127178391266</v>
      </c>
      <c r="G172">
        <v>0</v>
      </c>
      <c r="H172">
        <v>9.2658668981481398</v>
      </c>
    </row>
    <row r="173" spans="1:8" x14ac:dyDescent="0.35">
      <c r="A173" t="s">
        <v>189</v>
      </c>
      <c r="B173">
        <v>9.2857231481481399</v>
      </c>
      <c r="C173">
        <f t="shared" si="6"/>
        <v>9.6647732184856974</v>
      </c>
      <c r="D173">
        <v>37.210148148726198</v>
      </c>
      <c r="E173">
        <f t="shared" si="7"/>
        <v>43.603906927889753</v>
      </c>
      <c r="F173">
        <f t="shared" si="8"/>
        <v>41.668524006177414</v>
      </c>
      <c r="G173">
        <v>0</v>
      </c>
      <c r="H173">
        <v>9.2857231481481399</v>
      </c>
    </row>
    <row r="174" spans="1:8" x14ac:dyDescent="0.35">
      <c r="A174" t="s">
        <v>190</v>
      </c>
      <c r="B174">
        <v>9.3328490740740708</v>
      </c>
      <c r="C174">
        <f t="shared" si="6"/>
        <v>9.6878420720223328</v>
      </c>
      <c r="D174">
        <v>36.950075435126202</v>
      </c>
      <c r="E174">
        <f t="shared" si="7"/>
        <v>43.022822761108856</v>
      </c>
      <c r="F174">
        <f t="shared" si="8"/>
        <v>41.094516702785086</v>
      </c>
      <c r="G174">
        <v>0</v>
      </c>
      <c r="H174">
        <v>9.3328490740740708</v>
      </c>
    </row>
    <row r="175" spans="1:8" x14ac:dyDescent="0.35">
      <c r="A175" t="s">
        <v>191</v>
      </c>
      <c r="B175">
        <v>9.3568738425925897</v>
      </c>
      <c r="C175">
        <f t="shared" si="6"/>
        <v>9.7308711360657956</v>
      </c>
      <c r="D175">
        <v>36.4682711885836</v>
      </c>
      <c r="E175">
        <f t="shared" si="7"/>
        <v>42.726586404530323</v>
      </c>
      <c r="F175">
        <f t="shared" si="8"/>
        <v>40.804113306649967</v>
      </c>
      <c r="G175">
        <v>0</v>
      </c>
      <c r="H175">
        <v>9.3568738425925897</v>
      </c>
    </row>
    <row r="176" spans="1:8" x14ac:dyDescent="0.35">
      <c r="A176" t="s">
        <v>192</v>
      </c>
      <c r="B176">
        <v>9.2917849537037007</v>
      </c>
      <c r="C176">
        <f t="shared" si="6"/>
        <v>9.7900205646203879</v>
      </c>
      <c r="D176">
        <v>35.812876792585598</v>
      </c>
      <c r="E176">
        <f t="shared" si="7"/>
        <v>43.529162099831048</v>
      </c>
      <c r="F176">
        <f t="shared" si="8"/>
        <v>41.594363170335953</v>
      </c>
      <c r="G176">
        <v>0</v>
      </c>
      <c r="H176">
        <v>9.2917849537037007</v>
      </c>
    </row>
    <row r="177" spans="1:8" x14ac:dyDescent="0.35">
      <c r="A177" t="s">
        <v>193</v>
      </c>
      <c r="B177">
        <v>9.3044511574073994</v>
      </c>
      <c r="C177">
        <f t="shared" si="6"/>
        <v>9.7472046643992805</v>
      </c>
      <c r="D177">
        <v>36.286495541424202</v>
      </c>
      <c r="E177">
        <f t="shared" si="7"/>
        <v>43.372982029501841</v>
      </c>
      <c r="F177">
        <f t="shared" si="8"/>
        <v>41.439715260897991</v>
      </c>
      <c r="G177">
        <v>0</v>
      </c>
      <c r="H177">
        <v>9.3044511574073994</v>
      </c>
    </row>
    <row r="178" spans="1:8" x14ac:dyDescent="0.35">
      <c r="A178" t="s">
        <v>194</v>
      </c>
      <c r="B178">
        <v>9.2803000000000004</v>
      </c>
      <c r="C178">
        <f t="shared" si="6"/>
        <v>9.5370046876160437</v>
      </c>
      <c r="D178">
        <v>38.6733617616187</v>
      </c>
      <c r="E178">
        <f t="shared" si="7"/>
        <v>43.670776818742276</v>
      </c>
      <c r="F178">
        <f t="shared" si="8"/>
        <v>41.734953541947547</v>
      </c>
      <c r="G178">
        <v>0</v>
      </c>
      <c r="H178">
        <v>9.2803000000000004</v>
      </c>
    </row>
    <row r="179" spans="1:8" x14ac:dyDescent="0.35">
      <c r="A179" t="s">
        <v>195</v>
      </c>
      <c r="B179">
        <v>9.32594305555555</v>
      </c>
      <c r="C179">
        <f t="shared" si="6"/>
        <v>9.5802628164422661</v>
      </c>
      <c r="D179">
        <v>38.173596798364102</v>
      </c>
      <c r="E179">
        <f t="shared" si="7"/>
        <v>43.1079771201535</v>
      </c>
      <c r="F179">
        <f t="shared" si="8"/>
        <v>41.178271218597544</v>
      </c>
      <c r="G179">
        <v>0</v>
      </c>
      <c r="H179">
        <v>9.32594305555555</v>
      </c>
    </row>
    <row r="180" spans="1:8" x14ac:dyDescent="0.35">
      <c r="A180" t="s">
        <v>196</v>
      </c>
      <c r="B180">
        <v>9.2993618055555505</v>
      </c>
      <c r="C180">
        <f t="shared" si="6"/>
        <v>9.647050988011955</v>
      </c>
      <c r="D180">
        <v>37.410789125817097</v>
      </c>
      <c r="E180">
        <f t="shared" si="7"/>
        <v>43.435736059734261</v>
      </c>
      <c r="F180">
        <f t="shared" si="8"/>
        <v>41.501803031695125</v>
      </c>
      <c r="G180">
        <v>0</v>
      </c>
      <c r="H180">
        <v>9.2993618055555505</v>
      </c>
    </row>
    <row r="181" spans="1:8" x14ac:dyDescent="0.35">
      <c r="A181" t="s">
        <v>197</v>
      </c>
      <c r="B181">
        <v>9.3252474537036996</v>
      </c>
      <c r="C181">
        <f t="shared" si="6"/>
        <v>9.6340724740940615</v>
      </c>
      <c r="D181">
        <v>37.5581926883549</v>
      </c>
      <c r="E181">
        <f t="shared" si="7"/>
        <v>43.116554208339082</v>
      </c>
      <c r="F181">
        <f t="shared" si="8"/>
        <v>41.186714185774932</v>
      </c>
      <c r="G181">
        <v>0</v>
      </c>
      <c r="H181">
        <v>9.3252474537036996</v>
      </c>
    </row>
    <row r="182" spans="1:8" x14ac:dyDescent="0.35">
      <c r="A182" t="s">
        <v>198</v>
      </c>
      <c r="B182">
        <v>9.3889465277777706</v>
      </c>
      <c r="C182">
        <f t="shared" si="6"/>
        <v>9.6283590298912554</v>
      </c>
      <c r="D182">
        <v>37.623209145579402</v>
      </c>
      <c r="E182">
        <f t="shared" si="7"/>
        <v>42.331115563775938</v>
      </c>
      <c r="F182">
        <f t="shared" si="8"/>
        <v>40.418745725112679</v>
      </c>
      <c r="G182">
        <v>0</v>
      </c>
      <c r="H182">
        <v>9.3889465277777706</v>
      </c>
    </row>
    <row r="183" spans="1:8" x14ac:dyDescent="0.35">
      <c r="A183" t="s">
        <v>199</v>
      </c>
      <c r="B183">
        <v>9.4047613425925896</v>
      </c>
      <c r="C183">
        <f t="shared" si="6"/>
        <v>9.6191108838572408</v>
      </c>
      <c r="D183">
        <v>37.728612629846602</v>
      </c>
      <c r="E183">
        <f t="shared" si="7"/>
        <v>42.136111681965588</v>
      </c>
      <c r="F183">
        <f t="shared" si="8"/>
        <v>40.229691250146466</v>
      </c>
      <c r="G183">
        <v>0</v>
      </c>
      <c r="H183">
        <v>9.4047613425925896</v>
      </c>
    </row>
    <row r="184" spans="1:8" x14ac:dyDescent="0.35">
      <c r="A184" t="s">
        <v>200</v>
      </c>
      <c r="B184">
        <v>9.4149865740740708</v>
      </c>
      <c r="C184">
        <f t="shared" si="6"/>
        <v>9.6204754791127165</v>
      </c>
      <c r="D184">
        <v>37.71304724422</v>
      </c>
      <c r="E184">
        <f t="shared" si="7"/>
        <v>42.010029912773469</v>
      </c>
      <c r="F184">
        <f t="shared" si="8"/>
        <v>40.107794210138906</v>
      </c>
      <c r="G184">
        <v>0</v>
      </c>
      <c r="H184">
        <v>9.4149865740740708</v>
      </c>
    </row>
    <row r="185" spans="1:8" x14ac:dyDescent="0.35">
      <c r="A185" t="s">
        <v>201</v>
      </c>
      <c r="B185">
        <v>9.3667525462962899</v>
      </c>
      <c r="C185">
        <f t="shared" si="6"/>
        <v>9.5636030834614463</v>
      </c>
      <c r="D185">
        <v>38.3655328539027</v>
      </c>
      <c r="E185">
        <f t="shared" si="7"/>
        <v>42.604777480933528</v>
      </c>
      <c r="F185">
        <f t="shared" si="8"/>
        <v>40.685135040882933</v>
      </c>
      <c r="G185">
        <v>0</v>
      </c>
      <c r="H185">
        <v>9.3667525462962899</v>
      </c>
    </row>
    <row r="186" spans="1:8" x14ac:dyDescent="0.35">
      <c r="A186" t="s">
        <v>202</v>
      </c>
      <c r="B186">
        <v>9.37848333333333</v>
      </c>
      <c r="C186">
        <f t="shared" si="6"/>
        <v>9.5277313804386239</v>
      </c>
      <c r="D186">
        <v>38.781087788155801</v>
      </c>
      <c r="E186">
        <f t="shared" si="7"/>
        <v>42.460131524866448</v>
      </c>
      <c r="F186">
        <f t="shared" si="8"/>
        <v>40.544175983031479</v>
      </c>
      <c r="G186">
        <v>0</v>
      </c>
      <c r="H186">
        <v>9.37848333333333</v>
      </c>
    </row>
    <row r="187" spans="1:8" x14ac:dyDescent="0.35">
      <c r="A187" t="s">
        <v>203</v>
      </c>
      <c r="B187">
        <v>9.3740245370370303</v>
      </c>
      <c r="C187">
        <f t="shared" si="6"/>
        <v>9.5823663426778367</v>
      </c>
      <c r="D187">
        <v>38.149409618447699</v>
      </c>
      <c r="E187">
        <f t="shared" si="7"/>
        <v>42.515110517422549</v>
      </c>
      <c r="F187">
        <f t="shared" si="8"/>
        <v>40.597712046051981</v>
      </c>
      <c r="G187">
        <v>0</v>
      </c>
      <c r="H187">
        <v>9.3740245370370303</v>
      </c>
    </row>
    <row r="188" spans="1:8" x14ac:dyDescent="0.35">
      <c r="A188" t="s">
        <v>204</v>
      </c>
      <c r="B188">
        <v>9.4164562499999995</v>
      </c>
      <c r="C188">
        <f t="shared" si="6"/>
        <v>9.5988010618395112</v>
      </c>
      <c r="D188">
        <v>37.960801656700298</v>
      </c>
      <c r="E188">
        <f t="shared" si="7"/>
        <v>41.991908138101103</v>
      </c>
      <c r="F188">
        <f t="shared" si="8"/>
        <v>40.090295667584726</v>
      </c>
      <c r="G188">
        <v>0</v>
      </c>
      <c r="H188">
        <v>9.4164562499999995</v>
      </c>
    </row>
    <row r="189" spans="1:8" x14ac:dyDescent="0.35">
      <c r="A189" t="s">
        <v>205</v>
      </c>
      <c r="B189">
        <v>9.4716002314814798</v>
      </c>
      <c r="C189">
        <f t="shared" si="6"/>
        <v>9.6303867317339211</v>
      </c>
      <c r="D189">
        <v>37.600125968260897</v>
      </c>
      <c r="E189">
        <f t="shared" si="7"/>
        <v>41.31195768826781</v>
      </c>
      <c r="F189">
        <f t="shared" si="8"/>
        <v>39.437654052145142</v>
      </c>
      <c r="G189">
        <v>0</v>
      </c>
      <c r="H189">
        <v>9.4716002314814798</v>
      </c>
    </row>
    <row r="190" spans="1:8" x14ac:dyDescent="0.35">
      <c r="A190" t="s">
        <v>206</v>
      </c>
      <c r="B190">
        <v>9.5297634259259194</v>
      </c>
      <c r="C190">
        <f t="shared" si="6"/>
        <v>9.6623953297922753</v>
      </c>
      <c r="D190">
        <v>37.237026495168998</v>
      </c>
      <c r="E190">
        <f t="shared" si="7"/>
        <v>40.594778965155115</v>
      </c>
      <c r="F190">
        <f t="shared" si="8"/>
        <v>38.757464013177447</v>
      </c>
      <c r="G190">
        <v>0</v>
      </c>
      <c r="H190">
        <v>9.5297634259259194</v>
      </c>
    </row>
    <row r="191" spans="1:8" x14ac:dyDescent="0.35">
      <c r="A191" t="s">
        <v>207</v>
      </c>
      <c r="B191">
        <v>9.5456743055555506</v>
      </c>
      <c r="C191">
        <f t="shared" si="6"/>
        <v>9.6947670155439756</v>
      </c>
      <c r="D191">
        <v>36.872246819696002</v>
      </c>
      <c r="E191">
        <f t="shared" si="7"/>
        <v>40.398590560350783</v>
      </c>
      <c r="F191">
        <f t="shared" si="8"/>
        <v>38.572837973447157</v>
      </c>
      <c r="G191">
        <v>0</v>
      </c>
      <c r="H191">
        <v>9.5456743055555506</v>
      </c>
    </row>
    <row r="192" spans="1:8" x14ac:dyDescent="0.35">
      <c r="A192" t="s">
        <v>208</v>
      </c>
      <c r="B192">
        <v>9.4503729166666606</v>
      </c>
      <c r="C192">
        <f t="shared" si="6"/>
        <v>9.669630935035503</v>
      </c>
      <c r="D192">
        <v>37.155280278940801</v>
      </c>
      <c r="E192">
        <f t="shared" si="7"/>
        <v>41.573700164406148</v>
      </c>
      <c r="F192">
        <f t="shared" si="8"/>
        <v>39.68798252547915</v>
      </c>
      <c r="G192">
        <v>0</v>
      </c>
      <c r="H192">
        <v>9.4503729166666606</v>
      </c>
    </row>
    <row r="193" spans="1:8" x14ac:dyDescent="0.35">
      <c r="A193" t="s">
        <v>209</v>
      </c>
      <c r="B193">
        <v>9.3835678240740705</v>
      </c>
      <c r="C193">
        <f t="shared" si="6"/>
        <v>9.5291816044585573</v>
      </c>
      <c r="D193">
        <v>38.764227015145799</v>
      </c>
      <c r="E193">
        <f t="shared" si="7"/>
        <v>42.397437434351765</v>
      </c>
      <c r="F193">
        <f t="shared" si="8"/>
        <v>40.483189393419615</v>
      </c>
      <c r="G193">
        <v>0</v>
      </c>
      <c r="H193">
        <v>9.3835678240740705</v>
      </c>
    </row>
    <row r="194" spans="1:8" x14ac:dyDescent="0.35">
      <c r="A194" t="s">
        <v>210</v>
      </c>
      <c r="B194">
        <v>9.3006912037036997</v>
      </c>
      <c r="C194">
        <f t="shared" si="6"/>
        <v>9.5151730759705071</v>
      </c>
      <c r="D194">
        <v>38.927309649202897</v>
      </c>
      <c r="E194">
        <f t="shared" si="7"/>
        <v>43.419343974060411</v>
      </c>
      <c r="F194">
        <f t="shared" si="8"/>
        <v>41.485578424360384</v>
      </c>
      <c r="G194">
        <v>0</v>
      </c>
      <c r="H194">
        <v>9.3006912037036997</v>
      </c>
    </row>
    <row r="195" spans="1:8" x14ac:dyDescent="0.35">
      <c r="A195" t="s">
        <v>211</v>
      </c>
      <c r="B195">
        <v>9.2617386574074008</v>
      </c>
      <c r="C195">
        <f t="shared" si="6"/>
        <v>9.4161892420540685</v>
      </c>
      <c r="D195">
        <v>40.093474363694497</v>
      </c>
      <c r="E195">
        <f t="shared" si="7"/>
        <v>43.899646641092453</v>
      </c>
      <c r="F195">
        <f t="shared" si="8"/>
        <v>41.962904984354843</v>
      </c>
      <c r="G195">
        <v>0</v>
      </c>
      <c r="H195">
        <v>9.2617386574074008</v>
      </c>
    </row>
    <row r="196" spans="1:8" x14ac:dyDescent="0.35">
      <c r="A196" t="s">
        <v>212</v>
      </c>
      <c r="B196">
        <v>9.2832094907407399</v>
      </c>
      <c r="C196">
        <f t="shared" si="6"/>
        <v>9.4574645418386822</v>
      </c>
      <c r="D196">
        <v>39.604227745787703</v>
      </c>
      <c r="E196">
        <f t="shared" si="7"/>
        <v>43.634901470521072</v>
      </c>
      <c r="F196">
        <f t="shared" si="8"/>
        <v>41.69930479177161</v>
      </c>
      <c r="G196">
        <v>0</v>
      </c>
      <c r="H196">
        <v>9.2832094907407399</v>
      </c>
    </row>
    <row r="197" spans="1:8" x14ac:dyDescent="0.35">
      <c r="A197" t="s">
        <v>213</v>
      </c>
      <c r="B197">
        <v>9.3211324074074007</v>
      </c>
      <c r="C197">
        <f t="shared" si="6"/>
        <v>9.4822377444983772</v>
      </c>
      <c r="D197">
        <v>39.312630048909398</v>
      </c>
      <c r="E197">
        <f t="shared" si="7"/>
        <v>43.167294606567182</v>
      </c>
      <c r="F197">
        <f t="shared" si="8"/>
        <v>41.236686927696447</v>
      </c>
      <c r="G197">
        <v>0</v>
      </c>
      <c r="H197">
        <v>9.3211324074074007</v>
      </c>
    </row>
    <row r="198" spans="1:8" x14ac:dyDescent="0.35">
      <c r="A198" t="s">
        <v>214</v>
      </c>
      <c r="B198">
        <v>9.3675701388888797</v>
      </c>
      <c r="C198">
        <f t="shared" si="6"/>
        <v>9.462386692375059</v>
      </c>
      <c r="D198">
        <v>39.546169090370498</v>
      </c>
      <c r="E198">
        <f t="shared" si="7"/>
        <v>42.594696191259175</v>
      </c>
      <c r="F198">
        <f t="shared" si="8"/>
        <v>40.675299269102332</v>
      </c>
      <c r="G198">
        <v>0</v>
      </c>
      <c r="H198">
        <v>9.3675701388888797</v>
      </c>
    </row>
    <row r="199" spans="1:8" x14ac:dyDescent="0.35">
      <c r="A199" t="s">
        <v>215</v>
      </c>
      <c r="B199">
        <v>9.3908134259259199</v>
      </c>
      <c r="C199">
        <f t="shared" si="6"/>
        <v>9.4837770677292053</v>
      </c>
      <c r="D199">
        <v>39.294561422320299</v>
      </c>
      <c r="E199">
        <f t="shared" si="7"/>
        <v>42.308095857880133</v>
      </c>
      <c r="F199">
        <f t="shared" si="8"/>
        <v>40.396395183957921</v>
      </c>
      <c r="G199">
        <v>0</v>
      </c>
      <c r="H199">
        <v>9.3908134259259199</v>
      </c>
    </row>
    <row r="200" spans="1:8" x14ac:dyDescent="0.35">
      <c r="A200" t="s">
        <v>216</v>
      </c>
      <c r="B200">
        <v>9.4658185185185193</v>
      </c>
      <c r="C200">
        <f t="shared" si="6"/>
        <v>9.5368901558876935</v>
      </c>
      <c r="D200">
        <v>38.674690974476398</v>
      </c>
      <c r="E200">
        <f t="shared" si="7"/>
        <v>41.383248846873975</v>
      </c>
      <c r="F200">
        <f t="shared" si="8"/>
        <v>39.505725108389086</v>
      </c>
      <c r="G200">
        <v>0</v>
      </c>
      <c r="H200">
        <v>9.4658185185185193</v>
      </c>
    </row>
    <row r="201" spans="1:8" x14ac:dyDescent="0.35">
      <c r="A201" t="s">
        <v>217</v>
      </c>
      <c r="B201">
        <v>9.5029199074073993</v>
      </c>
      <c r="C201">
        <f t="shared" ref="C201:C264" si="9">$B$2/(1+$B$4*((D201/100)/$B$3))</f>
        <v>9.5857109076242271</v>
      </c>
      <c r="D201">
        <v>38.110974339970902</v>
      </c>
      <c r="E201">
        <f t="shared" ref="E201:E264" si="10" xml:space="preserve"> (12.822 - B201)/0.0811</f>
        <v>40.925771795223177</v>
      </c>
      <c r="F201">
        <f t="shared" ref="F201:F264" si="11" xml:space="preserve"> ((($B$3 *($B$2-B201))/($B$4*B201)))*100</f>
        <v>39.070351177798742</v>
      </c>
      <c r="G201">
        <v>0</v>
      </c>
      <c r="H201">
        <v>9.5029199074073993</v>
      </c>
    </row>
    <row r="202" spans="1:8" x14ac:dyDescent="0.35">
      <c r="A202" t="s">
        <v>218</v>
      </c>
      <c r="B202">
        <v>9.4879347222222208</v>
      </c>
      <c r="C202">
        <f t="shared" si="9"/>
        <v>9.5838577521437571</v>
      </c>
      <c r="D202">
        <v>38.132267232782198</v>
      </c>
      <c r="E202">
        <f t="shared" si="10"/>
        <v>41.110545965200714</v>
      </c>
      <c r="F202">
        <f t="shared" si="11"/>
        <v>39.245788040768581</v>
      </c>
      <c r="G202">
        <v>0</v>
      </c>
      <c r="H202">
        <v>9.4879347222222208</v>
      </c>
    </row>
    <row r="203" spans="1:8" x14ac:dyDescent="0.35">
      <c r="A203" t="s">
        <v>219</v>
      </c>
      <c r="B203">
        <v>9.4525319444444396</v>
      </c>
      <c r="C203">
        <f t="shared" si="9"/>
        <v>9.5328132313182952</v>
      </c>
      <c r="D203">
        <v>38.722027056319199</v>
      </c>
      <c r="E203">
        <f t="shared" si="10"/>
        <v>41.547078366899619</v>
      </c>
      <c r="F203">
        <f t="shared" si="11"/>
        <v>39.662470283489803</v>
      </c>
      <c r="G203">
        <v>0</v>
      </c>
      <c r="H203">
        <v>9.4525319444444396</v>
      </c>
    </row>
    <row r="204" spans="1:8" x14ac:dyDescent="0.35">
      <c r="A204" t="s">
        <v>220</v>
      </c>
      <c r="B204">
        <v>9.4550534722222199</v>
      </c>
      <c r="C204">
        <f t="shared" si="9"/>
        <v>9.5782650033078927</v>
      </c>
      <c r="D204">
        <v>38.19657828335</v>
      </c>
      <c r="E204">
        <f t="shared" si="10"/>
        <v>41.515986779010838</v>
      </c>
      <c r="F204">
        <f t="shared" si="11"/>
        <v>39.632689294945727</v>
      </c>
      <c r="G204">
        <v>0</v>
      </c>
      <c r="H204">
        <v>9.4550534722222199</v>
      </c>
    </row>
    <row r="205" spans="1:8" x14ac:dyDescent="0.35">
      <c r="A205" t="s">
        <v>221</v>
      </c>
      <c r="B205">
        <v>9.4272337962962904</v>
      </c>
      <c r="C205">
        <f t="shared" si="9"/>
        <v>9.6164439708278699</v>
      </c>
      <c r="D205">
        <v>37.759045780243902</v>
      </c>
      <c r="E205">
        <f t="shared" si="10"/>
        <v>41.859016075261508</v>
      </c>
      <c r="F205">
        <f t="shared" si="11"/>
        <v>39.962140647767868</v>
      </c>
      <c r="G205">
        <v>0</v>
      </c>
      <c r="H205">
        <v>9.4272337962962904</v>
      </c>
    </row>
    <row r="206" spans="1:8" x14ac:dyDescent="0.35">
      <c r="A206" t="s">
        <v>222</v>
      </c>
      <c r="B206">
        <v>9.3864527777777695</v>
      </c>
      <c r="C206">
        <f t="shared" si="9"/>
        <v>9.4786261828791449</v>
      </c>
      <c r="D206">
        <v>39.355045714738502</v>
      </c>
      <c r="E206">
        <f t="shared" si="10"/>
        <v>42.361864638991733</v>
      </c>
      <c r="F206">
        <f t="shared" si="11"/>
        <v>40.448614818691624</v>
      </c>
      <c r="G206">
        <v>0</v>
      </c>
      <c r="H206">
        <v>9.3864527777777695</v>
      </c>
    </row>
    <row r="207" spans="1:8" x14ac:dyDescent="0.35">
      <c r="A207" t="s">
        <v>223</v>
      </c>
      <c r="B207">
        <v>9.3052824074074003</v>
      </c>
      <c r="C207">
        <f t="shared" si="9"/>
        <v>9.4605385847511556</v>
      </c>
      <c r="D207">
        <v>39.567961146104601</v>
      </c>
      <c r="E207">
        <f t="shared" si="10"/>
        <v>43.362732337763241</v>
      </c>
      <c r="F207">
        <f t="shared" si="11"/>
        <v>41.429580842374989</v>
      </c>
      <c r="G207">
        <v>0</v>
      </c>
      <c r="H207">
        <v>9.3052824074074003</v>
      </c>
    </row>
    <row r="208" spans="1:8" x14ac:dyDescent="0.35">
      <c r="A208" t="s">
        <v>224</v>
      </c>
      <c r="B208">
        <v>9.3092333333333297</v>
      </c>
      <c r="C208">
        <f t="shared" si="9"/>
        <v>9.4150245657251013</v>
      </c>
      <c r="D208">
        <v>40.107341797738101</v>
      </c>
      <c r="E208">
        <f t="shared" si="10"/>
        <v>43.314015618577919</v>
      </c>
      <c r="F208">
        <f t="shared" si="11"/>
        <v>41.381436760489031</v>
      </c>
      <c r="G208">
        <v>0</v>
      </c>
      <c r="H208">
        <v>9.3092333333333297</v>
      </c>
    </row>
    <row r="209" spans="1:8" x14ac:dyDescent="0.35">
      <c r="A209" t="s">
        <v>225</v>
      </c>
      <c r="B209">
        <v>9.2903412037037008</v>
      </c>
      <c r="C209">
        <f t="shared" si="9"/>
        <v>9.4895457221773558</v>
      </c>
      <c r="D209">
        <v>39.226900913212702</v>
      </c>
      <c r="E209">
        <f t="shared" si="10"/>
        <v>43.546964196008609</v>
      </c>
      <c r="F209">
        <f t="shared" si="11"/>
        <v>41.612017396194638</v>
      </c>
      <c r="G209">
        <v>0</v>
      </c>
      <c r="H209">
        <v>9.2903412037037008</v>
      </c>
    </row>
    <row r="210" spans="1:8" x14ac:dyDescent="0.35">
      <c r="A210" t="s">
        <v>226</v>
      </c>
      <c r="B210">
        <v>9.2853328703703699</v>
      </c>
      <c r="C210">
        <f t="shared" si="9"/>
        <v>9.446948382336922</v>
      </c>
      <c r="D210">
        <v>39.728472595818097</v>
      </c>
      <c r="E210">
        <f t="shared" si="10"/>
        <v>43.608719230944871</v>
      </c>
      <c r="F210">
        <f t="shared" si="11"/>
        <v>41.673302027798833</v>
      </c>
      <c r="G210">
        <v>0</v>
      </c>
      <c r="H210">
        <v>9.2853328703703699</v>
      </c>
    </row>
    <row r="211" spans="1:8" x14ac:dyDescent="0.35">
      <c r="A211" t="s">
        <v>227</v>
      </c>
      <c r="B211">
        <v>9.3025652314814806</v>
      </c>
      <c r="C211">
        <f t="shared" si="9"/>
        <v>9.4573249887514628</v>
      </c>
      <c r="D211">
        <v>39.605874709040499</v>
      </c>
      <c r="E211">
        <f t="shared" si="10"/>
        <v>43.396236356578527</v>
      </c>
      <c r="F211">
        <f t="shared" si="11"/>
        <v>41.462714773995337</v>
      </c>
      <c r="G211">
        <v>0</v>
      </c>
      <c r="H211">
        <v>9.3025652314814806</v>
      </c>
    </row>
    <row r="212" spans="1:8" x14ac:dyDescent="0.35">
      <c r="A212" t="s">
        <v>228</v>
      </c>
      <c r="B212">
        <v>9.3458897685185196</v>
      </c>
      <c r="C212">
        <f t="shared" si="9"/>
        <v>9.5214200251889682</v>
      </c>
      <c r="D212">
        <v>38.854525458881803</v>
      </c>
      <c r="E212">
        <f t="shared" si="10"/>
        <v>42.862025049093454</v>
      </c>
      <c r="F212">
        <f t="shared" si="11"/>
        <v>40.936699872010216</v>
      </c>
      <c r="G212">
        <v>0</v>
      </c>
      <c r="H212">
        <v>9.3458897685185196</v>
      </c>
    </row>
    <row r="213" spans="1:8" x14ac:dyDescent="0.35">
      <c r="A213" t="s">
        <v>229</v>
      </c>
      <c r="B213">
        <v>9.3904237037036999</v>
      </c>
      <c r="C213">
        <f t="shared" si="9"/>
        <v>9.5312303941701408</v>
      </c>
      <c r="D213">
        <v>38.740415868543103</v>
      </c>
      <c r="E213">
        <f t="shared" si="10"/>
        <v>42.312901310681859</v>
      </c>
      <c r="F213">
        <f t="shared" si="11"/>
        <v>40.401060212071776</v>
      </c>
      <c r="G213">
        <v>0</v>
      </c>
      <c r="H213">
        <v>9.3904237037036999</v>
      </c>
    </row>
    <row r="214" spans="1:8" x14ac:dyDescent="0.35">
      <c r="A214" t="s">
        <v>230</v>
      </c>
      <c r="B214">
        <v>9.3931422222222203</v>
      </c>
      <c r="C214">
        <f t="shared" si="9"/>
        <v>9.5300373779291121</v>
      </c>
      <c r="D214">
        <v>38.754279923779698</v>
      </c>
      <c r="E214">
        <f t="shared" si="10"/>
        <v>42.27938073708728</v>
      </c>
      <c r="F214">
        <f t="shared" si="11"/>
        <v>40.368527242649535</v>
      </c>
      <c r="G214">
        <v>0</v>
      </c>
      <c r="H214">
        <v>9.3931422222222203</v>
      </c>
    </row>
    <row r="215" spans="1:8" x14ac:dyDescent="0.35">
      <c r="A215" t="s">
        <v>231</v>
      </c>
      <c r="B215">
        <v>9.32831907407407</v>
      </c>
      <c r="C215">
        <f t="shared" si="9"/>
        <v>9.5289233373421016</v>
      </c>
      <c r="D215">
        <v>38.767229336483197</v>
      </c>
      <c r="E215">
        <f t="shared" si="10"/>
        <v>43.078679727816635</v>
      </c>
      <c r="F215">
        <f t="shared" si="11"/>
        <v>41.149441449441397</v>
      </c>
      <c r="G215">
        <v>0</v>
      </c>
      <c r="H215">
        <v>9.32831907407407</v>
      </c>
    </row>
    <row r="216" spans="1:8" x14ac:dyDescent="0.35">
      <c r="A216" t="s">
        <v>232</v>
      </c>
      <c r="B216">
        <v>9.2651082870370303</v>
      </c>
      <c r="C216">
        <f t="shared" si="9"/>
        <v>9.5309970339887169</v>
      </c>
      <c r="D216">
        <v>38.743127476798399</v>
      </c>
      <c r="E216">
        <f t="shared" si="10"/>
        <v>43.858097570443512</v>
      </c>
      <c r="F216">
        <f t="shared" si="11"/>
        <v>41.921454783211381</v>
      </c>
      <c r="G216">
        <v>0</v>
      </c>
      <c r="H216">
        <v>9.2651082870370303</v>
      </c>
    </row>
    <row r="217" spans="1:8" x14ac:dyDescent="0.35">
      <c r="A217" t="s">
        <v>233</v>
      </c>
      <c r="B217">
        <v>9.2040567129629594</v>
      </c>
      <c r="C217">
        <f t="shared" si="9"/>
        <v>9.533071633392888</v>
      </c>
      <c r="D217">
        <v>38.719025617113701</v>
      </c>
      <c r="E217">
        <f t="shared" si="10"/>
        <v>44.610891332145989</v>
      </c>
      <c r="F217">
        <f t="shared" si="11"/>
        <v>42.67716375096802</v>
      </c>
      <c r="G217">
        <v>0</v>
      </c>
      <c r="H217">
        <v>9.2040567129629594</v>
      </c>
    </row>
    <row r="218" spans="1:8" x14ac:dyDescent="0.35">
      <c r="A218" t="s">
        <v>234</v>
      </c>
      <c r="B218">
        <v>9.1970843749999993</v>
      </c>
      <c r="C218">
        <f t="shared" si="9"/>
        <v>9.5351471361442552</v>
      </c>
      <c r="D218">
        <v>38.694923757429002</v>
      </c>
      <c r="E218">
        <f t="shared" si="10"/>
        <v>44.696863440197284</v>
      </c>
      <c r="F218">
        <f t="shared" si="11"/>
        <v>42.764107120809754</v>
      </c>
      <c r="G218">
        <v>0</v>
      </c>
      <c r="H218">
        <v>9.1970843749999993</v>
      </c>
    </row>
    <row r="219" spans="1:8" x14ac:dyDescent="0.35">
      <c r="A219" t="s">
        <v>235</v>
      </c>
      <c r="B219">
        <v>9.2343562499999994</v>
      </c>
      <c r="C219">
        <f t="shared" si="9"/>
        <v>9.537223542832967</v>
      </c>
      <c r="D219">
        <v>38.670821897744297</v>
      </c>
      <c r="E219">
        <f t="shared" si="10"/>
        <v>44.237284217016025</v>
      </c>
      <c r="F219">
        <f t="shared" si="11"/>
        <v>42.300860840455925</v>
      </c>
      <c r="G219">
        <v>0</v>
      </c>
      <c r="H219">
        <v>9.2343562499999994</v>
      </c>
    </row>
    <row r="220" spans="1:8" x14ac:dyDescent="0.35">
      <c r="A220" t="s">
        <v>236</v>
      </c>
      <c r="B220">
        <v>9.2882301870748201</v>
      </c>
      <c r="C220">
        <f t="shared" si="9"/>
        <v>9.5393008540496869</v>
      </c>
      <c r="D220">
        <v>38.646720038059598</v>
      </c>
      <c r="E220">
        <f t="shared" si="10"/>
        <v>43.572993994145236</v>
      </c>
      <c r="F220">
        <f t="shared" si="11"/>
        <v>41.637840861203479</v>
      </c>
      <c r="G220">
        <v>0</v>
      </c>
      <c r="H220">
        <v>9.2882301870748201</v>
      </c>
    </row>
    <row r="221" spans="1:8" x14ac:dyDescent="0.35">
      <c r="A221" t="s">
        <v>237</v>
      </c>
      <c r="B221">
        <v>9.3421041241496603</v>
      </c>
      <c r="C221">
        <f t="shared" si="9"/>
        <v>9.5413790703856005</v>
      </c>
      <c r="D221">
        <v>38.6226181783748</v>
      </c>
      <c r="E221">
        <f t="shared" si="10"/>
        <v>42.908703771274212</v>
      </c>
      <c r="F221">
        <f t="shared" si="11"/>
        <v>40.982467873713439</v>
      </c>
      <c r="G221">
        <v>0</v>
      </c>
      <c r="H221">
        <v>9.3421041241496603</v>
      </c>
    </row>
    <row r="222" spans="1:8" x14ac:dyDescent="0.35">
      <c r="A222" t="s">
        <v>238</v>
      </c>
      <c r="B222">
        <v>9.3959780612244899</v>
      </c>
      <c r="C222">
        <f t="shared" si="9"/>
        <v>9.5434581924323822</v>
      </c>
      <c r="D222">
        <v>38.598516318690102</v>
      </c>
      <c r="E222">
        <f t="shared" si="10"/>
        <v>42.244413548403315</v>
      </c>
      <c r="F222">
        <f t="shared" si="11"/>
        <v>40.334610340784735</v>
      </c>
      <c r="G222">
        <v>0</v>
      </c>
      <c r="H222">
        <v>9.3959780612244899</v>
      </c>
    </row>
    <row r="223" spans="1:8" x14ac:dyDescent="0.35">
      <c r="A223" t="s">
        <v>239</v>
      </c>
      <c r="B223">
        <v>9.4498519982993194</v>
      </c>
      <c r="C223">
        <f t="shared" si="9"/>
        <v>9.5455382207822481</v>
      </c>
      <c r="D223">
        <v>38.574414459005403</v>
      </c>
      <c r="E223">
        <f t="shared" si="10"/>
        <v>41.580123325532426</v>
      </c>
      <c r="F223">
        <f t="shared" si="11"/>
        <v>39.694139724808529</v>
      </c>
      <c r="G223">
        <v>0</v>
      </c>
      <c r="H223">
        <v>9.4498519982993194</v>
      </c>
    </row>
    <row r="224" spans="1:8" x14ac:dyDescent="0.35">
      <c r="A224" t="s">
        <v>240</v>
      </c>
      <c r="B224">
        <v>9.5037259353741401</v>
      </c>
      <c r="C224">
        <f t="shared" si="9"/>
        <v>9.5476191560279258</v>
      </c>
      <c r="D224">
        <v>38.550312599320698</v>
      </c>
      <c r="E224">
        <f t="shared" si="10"/>
        <v>40.915833102661637</v>
      </c>
      <c r="F224">
        <f t="shared" si="11"/>
        <v>39.060930402749797</v>
      </c>
      <c r="G224">
        <v>0</v>
      </c>
      <c r="H224">
        <v>9.5037259353741401</v>
      </c>
    </row>
    <row r="225" spans="1:8" x14ac:dyDescent="0.35">
      <c r="A225" t="s">
        <v>241</v>
      </c>
      <c r="B225">
        <v>9.5575998724489803</v>
      </c>
      <c r="C225">
        <f t="shared" si="9"/>
        <v>9.5497009987626527</v>
      </c>
      <c r="D225">
        <v>38.526210739635999</v>
      </c>
      <c r="E225">
        <f t="shared" si="10"/>
        <v>40.251542879790613</v>
      </c>
      <c r="F225">
        <f t="shared" si="11"/>
        <v>38.434859584002758</v>
      </c>
      <c r="G225">
        <v>0</v>
      </c>
      <c r="H225">
        <v>9.5575998724489803</v>
      </c>
    </row>
    <row r="226" spans="1:8" x14ac:dyDescent="0.35">
      <c r="A226" t="s">
        <v>242</v>
      </c>
      <c r="B226">
        <v>9.6114738095238099</v>
      </c>
      <c r="C226">
        <f t="shared" si="9"/>
        <v>9.5517837495801885</v>
      </c>
      <c r="D226">
        <v>38.502108879951301</v>
      </c>
      <c r="E226">
        <f t="shared" si="10"/>
        <v>39.587252656919716</v>
      </c>
      <c r="F226">
        <f t="shared" si="11"/>
        <v>37.815807231010837</v>
      </c>
      <c r="G226">
        <v>0</v>
      </c>
      <c r="H226">
        <v>9.6114738095238099</v>
      </c>
    </row>
    <row r="227" spans="1:8" x14ac:dyDescent="0.35">
      <c r="A227" t="s">
        <v>243</v>
      </c>
      <c r="B227">
        <v>9.5860261408730096</v>
      </c>
      <c r="C227">
        <f t="shared" si="9"/>
        <v>9.5781619585911439</v>
      </c>
      <c r="D227">
        <v>38.197763899757099</v>
      </c>
      <c r="E227">
        <f t="shared" si="10"/>
        <v>39.901034021294564</v>
      </c>
      <c r="F227">
        <f t="shared" si="11"/>
        <v>38.107353106069624</v>
      </c>
      <c r="G227">
        <v>0</v>
      </c>
      <c r="H227">
        <v>9.5860261408730096</v>
      </c>
    </row>
    <row r="228" spans="1:8" x14ac:dyDescent="0.35">
      <c r="A228" t="s">
        <v>244</v>
      </c>
      <c r="B228">
        <v>9.5667299272486694</v>
      </c>
      <c r="C228">
        <f t="shared" si="9"/>
        <v>9.5954782123953564</v>
      </c>
      <c r="D228">
        <v>37.998883200438101</v>
      </c>
      <c r="E228">
        <f t="shared" si="10"/>
        <v>40.138965138734029</v>
      </c>
      <c r="F228">
        <f t="shared" si="11"/>
        <v>38.329457664195225</v>
      </c>
      <c r="G228">
        <v>0</v>
      </c>
      <c r="H228">
        <v>9.5667299272486694</v>
      </c>
    </row>
    <row r="229" spans="1:8" x14ac:dyDescent="0.35">
      <c r="A229" t="s">
        <v>245</v>
      </c>
      <c r="B229">
        <v>9.5536247685185192</v>
      </c>
      <c r="C229">
        <f t="shared" si="9"/>
        <v>9.6340200164995444</v>
      </c>
      <c r="D229">
        <v>37.558789281713203</v>
      </c>
      <c r="E229">
        <f t="shared" si="10"/>
        <v>40.300557724802466</v>
      </c>
      <c r="F229">
        <f t="shared" si="11"/>
        <v>38.480813122563205</v>
      </c>
      <c r="G229">
        <v>0</v>
      </c>
      <c r="H229">
        <v>9.5536247685185192</v>
      </c>
    </row>
    <row r="230" spans="1:8" x14ac:dyDescent="0.35">
      <c r="A230" t="s">
        <v>246</v>
      </c>
      <c r="B230">
        <v>9.5391393518518495</v>
      </c>
      <c r="C230">
        <f t="shared" si="9"/>
        <v>9.5752306728528094</v>
      </c>
      <c r="D230">
        <v>38.231501503208897</v>
      </c>
      <c r="E230">
        <f t="shared" si="10"/>
        <v>40.47916952093896</v>
      </c>
      <c r="F230">
        <f t="shared" si="11"/>
        <v>38.648593479805989</v>
      </c>
      <c r="G230">
        <v>0</v>
      </c>
      <c r="H230">
        <v>9.5391393518518495</v>
      </c>
    </row>
    <row r="231" spans="1:8" x14ac:dyDescent="0.35">
      <c r="A231" t="s">
        <v>247</v>
      </c>
      <c r="B231">
        <v>9.5765539351851796</v>
      </c>
      <c r="C231">
        <f t="shared" si="9"/>
        <v>9.6014384938428776</v>
      </c>
      <c r="D231">
        <v>37.930594108829197</v>
      </c>
      <c r="E231">
        <f t="shared" si="10"/>
        <v>40.017830638900364</v>
      </c>
      <c r="F231">
        <f t="shared" si="11"/>
        <v>38.216268871505719</v>
      </c>
      <c r="G231">
        <v>0</v>
      </c>
      <c r="H231">
        <v>9.5765539351851796</v>
      </c>
    </row>
    <row r="232" spans="1:8" x14ac:dyDescent="0.35">
      <c r="A232" t="s">
        <v>248</v>
      </c>
      <c r="B232">
        <v>9.6263328703703692</v>
      </c>
      <c r="C232">
        <f t="shared" si="9"/>
        <v>9.6653774048764109</v>
      </c>
      <c r="D232">
        <v>37.203320865026697</v>
      </c>
      <c r="E232">
        <f t="shared" si="10"/>
        <v>39.404033657578665</v>
      </c>
      <c r="F232">
        <f t="shared" si="11"/>
        <v>37.64628447868585</v>
      </c>
      <c r="G232">
        <v>0</v>
      </c>
      <c r="H232">
        <v>9.6263328703703692</v>
      </c>
    </row>
    <row r="233" spans="1:8" x14ac:dyDescent="0.35">
      <c r="A233" t="s">
        <v>249</v>
      </c>
      <c r="B233">
        <v>9.69900972222222</v>
      </c>
      <c r="C233">
        <f t="shared" si="9"/>
        <v>9.6953850994702915</v>
      </c>
      <c r="D233">
        <v>36.8653056525118</v>
      </c>
      <c r="E233">
        <f t="shared" si="10"/>
        <v>38.507894917111948</v>
      </c>
      <c r="F233">
        <f t="shared" si="11"/>
        <v>36.824618448232741</v>
      </c>
      <c r="G233">
        <v>0</v>
      </c>
      <c r="H233">
        <v>9.69900972222222</v>
      </c>
    </row>
    <row r="234" spans="1:8" x14ac:dyDescent="0.35">
      <c r="A234" t="s">
        <v>250</v>
      </c>
      <c r="B234">
        <v>9.7093800925925908</v>
      </c>
      <c r="C234">
        <f t="shared" si="9"/>
        <v>9.7161976467595697</v>
      </c>
      <c r="D234">
        <v>36.632093418688399</v>
      </c>
      <c r="E234">
        <f t="shared" si="10"/>
        <v>38.380023519203554</v>
      </c>
      <c r="F234">
        <f t="shared" si="11"/>
        <v>36.708376503923454</v>
      </c>
      <c r="G234">
        <v>0</v>
      </c>
      <c r="H234">
        <v>9.7093800925925908</v>
      </c>
    </row>
    <row r="235" spans="1:8" x14ac:dyDescent="0.35">
      <c r="A235" t="s">
        <v>251</v>
      </c>
      <c r="B235">
        <v>9.6727689814814806</v>
      </c>
      <c r="C235">
        <f t="shared" si="9"/>
        <v>9.7444605372215474</v>
      </c>
      <c r="D235">
        <v>36.316992311430297</v>
      </c>
      <c r="E235">
        <f t="shared" si="10"/>
        <v>38.831455222176551</v>
      </c>
      <c r="F235">
        <f t="shared" si="11"/>
        <v>37.119865368405307</v>
      </c>
      <c r="G235">
        <v>0</v>
      </c>
      <c r="H235">
        <v>9.6727689814814806</v>
      </c>
    </row>
    <row r="236" spans="1:8" x14ac:dyDescent="0.35">
      <c r="A236" t="s">
        <v>253</v>
      </c>
      <c r="B236">
        <v>9.78842518939393</v>
      </c>
      <c r="C236">
        <f t="shared" si="9"/>
        <v>9.6611987250400517</v>
      </c>
      <c r="D236">
        <v>37.250557261724602</v>
      </c>
      <c r="E236">
        <f t="shared" si="10"/>
        <v>37.405361413145116</v>
      </c>
      <c r="F236">
        <f t="shared" si="11"/>
        <v>35.830450116318083</v>
      </c>
      <c r="G236">
        <v>0</v>
      </c>
      <c r="H236">
        <v>9.78842518939393</v>
      </c>
    </row>
    <row r="237" spans="1:8" x14ac:dyDescent="0.35">
      <c r="A237" t="s">
        <v>254</v>
      </c>
      <c r="B237">
        <v>9.8325917929292892</v>
      </c>
      <c r="C237">
        <f t="shared" si="9"/>
        <v>9.6987316060012887</v>
      </c>
      <c r="D237">
        <v>36.827739288057799</v>
      </c>
      <c r="E237">
        <f t="shared" si="10"/>
        <v>36.86076704156239</v>
      </c>
      <c r="F237">
        <f t="shared" si="11"/>
        <v>35.346053988214898</v>
      </c>
      <c r="G237">
        <v>0</v>
      </c>
      <c r="H237">
        <v>9.8325917929292892</v>
      </c>
    </row>
    <row r="238" spans="1:8" x14ac:dyDescent="0.35">
      <c r="A238" t="s">
        <v>255</v>
      </c>
      <c r="B238">
        <v>9.8492458333333293</v>
      </c>
      <c r="C238">
        <f t="shared" si="9"/>
        <v>9.7278386734636584</v>
      </c>
      <c r="D238">
        <v>36.502086615008203</v>
      </c>
      <c r="E238">
        <f t="shared" si="10"/>
        <v>36.655415125359674</v>
      </c>
      <c r="F238">
        <f t="shared" si="11"/>
        <v>35.164529123066103</v>
      </c>
      <c r="G238">
        <v>0</v>
      </c>
      <c r="H238">
        <v>9.8492458333333293</v>
      </c>
    </row>
    <row r="239" spans="1:8" x14ac:dyDescent="0.35">
      <c r="A239" t="s">
        <v>256</v>
      </c>
      <c r="B239">
        <v>9.8654333333333302</v>
      </c>
      <c r="C239">
        <f t="shared" si="9"/>
        <v>9.6110276364678313</v>
      </c>
      <c r="D239">
        <v>37.820905597170601</v>
      </c>
      <c r="E239">
        <f t="shared" si="10"/>
        <v>36.455815865187041</v>
      </c>
      <c r="F239">
        <f t="shared" si="11"/>
        <v>34.988676790378179</v>
      </c>
      <c r="G239">
        <v>0</v>
      </c>
      <c r="H239">
        <v>9.8654333333333302</v>
      </c>
    </row>
    <row r="240" spans="1:8" x14ac:dyDescent="0.35">
      <c r="A240" t="s">
        <v>257</v>
      </c>
      <c r="B240">
        <v>9.8578541666666606</v>
      </c>
      <c r="C240">
        <f t="shared" si="9"/>
        <v>9.6492631957915656</v>
      </c>
      <c r="D240">
        <v>37.385703514750197</v>
      </c>
      <c r="E240">
        <f t="shared" si="10"/>
        <v>36.549270448006638</v>
      </c>
      <c r="F240">
        <f t="shared" si="11"/>
        <v>35.070940899309839</v>
      </c>
      <c r="G240">
        <v>0</v>
      </c>
      <c r="H240">
        <v>9.8578541666666606</v>
      </c>
    </row>
    <row r="241" spans="1:8" x14ac:dyDescent="0.35">
      <c r="A241" t="s">
        <v>258</v>
      </c>
      <c r="B241">
        <v>9.8476513888888899</v>
      </c>
      <c r="C241">
        <f t="shared" si="9"/>
        <v>9.7432166917966399</v>
      </c>
      <c r="D241">
        <v>36.330821405988701</v>
      </c>
      <c r="E241">
        <f t="shared" si="10"/>
        <v>36.675075352788028</v>
      </c>
      <c r="F241">
        <f t="shared" si="11"/>
        <v>35.181881590738307</v>
      </c>
      <c r="G241">
        <v>0</v>
      </c>
      <c r="H241">
        <v>9.8476513888888899</v>
      </c>
    </row>
    <row r="242" spans="1:8" x14ac:dyDescent="0.35">
      <c r="A242" t="s">
        <v>259</v>
      </c>
      <c r="B242">
        <v>9.7518624999999997</v>
      </c>
      <c r="C242">
        <f t="shared" si="9"/>
        <v>9.5500457874598421</v>
      </c>
      <c r="D242">
        <v>38.522220074486697</v>
      </c>
      <c r="E242">
        <f t="shared" si="10"/>
        <v>37.856196054253999</v>
      </c>
      <c r="F242">
        <f t="shared" si="11"/>
        <v>36.234770124800171</v>
      </c>
      <c r="G242">
        <v>0</v>
      </c>
      <c r="H242">
        <v>9.7518624999999997</v>
      </c>
    </row>
    <row r="243" spans="1:8" x14ac:dyDescent="0.35">
      <c r="A243" t="s">
        <v>260</v>
      </c>
      <c r="B243">
        <v>9.6934749999999994</v>
      </c>
      <c r="C243">
        <f t="shared" si="9"/>
        <v>9.4919240877701974</v>
      </c>
      <c r="D243">
        <v>39.199029022511397</v>
      </c>
      <c r="E243">
        <f t="shared" si="10"/>
        <v>38.57614056720098</v>
      </c>
      <c r="F243">
        <f t="shared" si="11"/>
        <v>36.886759190390229</v>
      </c>
      <c r="G243">
        <v>0</v>
      </c>
      <c r="H243">
        <v>9.6934749999999994</v>
      </c>
    </row>
    <row r="244" spans="1:8" x14ac:dyDescent="0.35">
      <c r="A244" t="s">
        <v>261</v>
      </c>
      <c r="B244">
        <v>9.7019472222222198</v>
      </c>
      <c r="C244">
        <f t="shared" si="9"/>
        <v>9.5093713536582438</v>
      </c>
      <c r="D244">
        <v>38.994992077880099</v>
      </c>
      <c r="E244">
        <f t="shared" si="10"/>
        <v>38.47167420194549</v>
      </c>
      <c r="F244">
        <f t="shared" si="11"/>
        <v>36.791666653880469</v>
      </c>
      <c r="G244">
        <v>0</v>
      </c>
      <c r="H244">
        <v>9.7019472222222198</v>
      </c>
    </row>
    <row r="245" spans="1:8" x14ac:dyDescent="0.35">
      <c r="A245" t="s">
        <v>262</v>
      </c>
      <c r="B245">
        <v>9.7632777777777697</v>
      </c>
      <c r="C245">
        <f t="shared" si="9"/>
        <v>9.5469449844243677</v>
      </c>
      <c r="D245">
        <v>38.558119855760197</v>
      </c>
      <c r="E245">
        <f t="shared" si="10"/>
        <v>37.715440471297526</v>
      </c>
      <c r="F245">
        <f t="shared" si="11"/>
        <v>36.108211786227983</v>
      </c>
      <c r="G245">
        <v>0</v>
      </c>
      <c r="H245">
        <v>9.7632777777777697</v>
      </c>
    </row>
    <row r="246" spans="1:8" x14ac:dyDescent="0.35">
      <c r="A246" t="s">
        <v>263</v>
      </c>
      <c r="B246">
        <v>9.7471638888888901</v>
      </c>
      <c r="C246">
        <f t="shared" si="9"/>
        <v>9.54994047601825</v>
      </c>
      <c r="D246">
        <v>38.523438943215801</v>
      </c>
      <c r="E246">
        <f t="shared" si="10"/>
        <v>37.914132072886673</v>
      </c>
      <c r="F246">
        <f t="shared" si="11"/>
        <v>36.286948573078433</v>
      </c>
      <c r="G246">
        <v>0</v>
      </c>
      <c r="H246">
        <v>9.7471638888888901</v>
      </c>
    </row>
    <row r="247" spans="1:8" x14ac:dyDescent="0.35">
      <c r="A247" t="s">
        <v>264</v>
      </c>
      <c r="B247">
        <v>9.7309222222222207</v>
      </c>
      <c r="C247">
        <f t="shared" si="9"/>
        <v>9.5996448368328249</v>
      </c>
      <c r="D247">
        <v>37.951135763560401</v>
      </c>
      <c r="E247">
        <f t="shared" si="10"/>
        <v>38.114399232771618</v>
      </c>
      <c r="F247">
        <f t="shared" si="11"/>
        <v>36.467701700026709</v>
      </c>
      <c r="G247">
        <v>0</v>
      </c>
      <c r="H247">
        <v>9.7309222222222207</v>
      </c>
    </row>
    <row r="248" spans="1:8" x14ac:dyDescent="0.35">
      <c r="A248" t="s">
        <v>265</v>
      </c>
      <c r="B248">
        <v>9.7758777777777706</v>
      </c>
      <c r="C248">
        <f t="shared" si="9"/>
        <v>9.6548866516686758</v>
      </c>
      <c r="D248">
        <v>37.3219873750744</v>
      </c>
      <c r="E248">
        <f t="shared" si="10"/>
        <v>37.560076722838822</v>
      </c>
      <c r="F248">
        <f t="shared" si="11"/>
        <v>35.968861895678373</v>
      </c>
      <c r="G248">
        <v>0</v>
      </c>
      <c r="H248">
        <v>9.7758777777777706</v>
      </c>
    </row>
    <row r="249" spans="1:8" x14ac:dyDescent="0.35">
      <c r="A249" t="s">
        <v>266</v>
      </c>
      <c r="B249">
        <v>9.9101972222222194</v>
      </c>
      <c r="C249">
        <f t="shared" si="9"/>
        <v>9.6896638159545461</v>
      </c>
      <c r="D249">
        <v>36.929590288939401</v>
      </c>
      <c r="E249">
        <f t="shared" si="10"/>
        <v>35.903856692697651</v>
      </c>
      <c r="F249">
        <f t="shared" si="11"/>
        <v>34.505376739068353</v>
      </c>
      <c r="G249">
        <v>0</v>
      </c>
      <c r="H249">
        <v>9.9101972222222194</v>
      </c>
    </row>
    <row r="250" spans="1:8" x14ac:dyDescent="0.35">
      <c r="A250" t="s">
        <v>267</v>
      </c>
      <c r="B250">
        <v>10.019018055555501</v>
      </c>
      <c r="C250">
        <f t="shared" si="9"/>
        <v>9.6765331842283757</v>
      </c>
      <c r="D250">
        <v>37.077414175641501</v>
      </c>
      <c r="E250">
        <f t="shared" si="10"/>
        <v>34.562046170708982</v>
      </c>
      <c r="F250">
        <f t="shared" si="11"/>
        <v>33.348486687719848</v>
      </c>
      <c r="G250">
        <v>0</v>
      </c>
      <c r="H250">
        <v>10.019018055555501</v>
      </c>
    </row>
    <row r="251" spans="1:8" x14ac:dyDescent="0.35">
      <c r="A251" t="s">
        <v>268</v>
      </c>
      <c r="B251">
        <v>10.0024</v>
      </c>
      <c r="C251">
        <f t="shared" si="9"/>
        <v>9.6917918990991225</v>
      </c>
      <c r="D251">
        <v>36.905670172037802</v>
      </c>
      <c r="E251">
        <f t="shared" si="10"/>
        <v>34.766954377311954</v>
      </c>
      <c r="F251">
        <f t="shared" si="11"/>
        <v>33.523527098895222</v>
      </c>
      <c r="G251">
        <v>0</v>
      </c>
      <c r="H251">
        <v>10.0024</v>
      </c>
    </row>
    <row r="252" spans="1:8" x14ac:dyDescent="0.35">
      <c r="A252" t="s">
        <v>269</v>
      </c>
      <c r="B252">
        <v>9.9267680555555504</v>
      </c>
      <c r="C252">
        <f t="shared" si="9"/>
        <v>9.6511681972415495</v>
      </c>
      <c r="D252">
        <v>37.364110724335703</v>
      </c>
      <c r="E252">
        <f t="shared" si="10"/>
        <v>35.699530757638087</v>
      </c>
      <c r="F252">
        <f t="shared" si="11"/>
        <v>34.327572679221049</v>
      </c>
      <c r="G252">
        <v>0</v>
      </c>
      <c r="H252">
        <v>9.9267680555555504</v>
      </c>
    </row>
    <row r="253" spans="1:8" x14ac:dyDescent="0.35">
      <c r="A253" t="s">
        <v>270</v>
      </c>
      <c r="B253">
        <v>9.8343486111111105</v>
      </c>
      <c r="C253">
        <f t="shared" si="9"/>
        <v>9.6177570182243226</v>
      </c>
      <c r="D253">
        <v>37.744059991978702</v>
      </c>
      <c r="E253">
        <f t="shared" si="10"/>
        <v>36.839104671872853</v>
      </c>
      <c r="F253">
        <f t="shared" si="11"/>
        <v>35.326876103462666</v>
      </c>
      <c r="G253">
        <v>0</v>
      </c>
      <c r="H253">
        <v>9.8343486111111105</v>
      </c>
    </row>
    <row r="254" spans="1:8" x14ac:dyDescent="0.35">
      <c r="A254" t="s">
        <v>271</v>
      </c>
      <c r="B254">
        <v>9.8528374999999997</v>
      </c>
      <c r="C254">
        <f t="shared" si="9"/>
        <v>9.5561899693013856</v>
      </c>
      <c r="D254">
        <v>38.451154163460501</v>
      </c>
      <c r="E254">
        <f t="shared" si="10"/>
        <v>36.611128236744747</v>
      </c>
      <c r="F254">
        <f t="shared" si="11"/>
        <v>35.125461299090212</v>
      </c>
      <c r="G254">
        <v>0</v>
      </c>
      <c r="H254">
        <v>9.8528374999999997</v>
      </c>
    </row>
    <row r="255" spans="1:8" x14ac:dyDescent="0.35">
      <c r="A255" t="s">
        <v>272</v>
      </c>
      <c r="B255">
        <v>9.8700152777777692</v>
      </c>
      <c r="C255">
        <f t="shared" si="9"/>
        <v>9.5723466519666207</v>
      </c>
      <c r="D255">
        <v>38.264715277809898</v>
      </c>
      <c r="E255">
        <f t="shared" si="10"/>
        <v>36.399318399780881</v>
      </c>
      <c r="F255">
        <f t="shared" si="11"/>
        <v>34.939005742307842</v>
      </c>
      <c r="G255">
        <v>0</v>
      </c>
      <c r="H255">
        <v>9.8700152777777692</v>
      </c>
    </row>
    <row r="256" spans="1:8" x14ac:dyDescent="0.35">
      <c r="A256" t="s">
        <v>273</v>
      </c>
      <c r="B256">
        <v>9.8897222222222201</v>
      </c>
      <c r="C256">
        <f t="shared" si="9"/>
        <v>9.644658045787569</v>
      </c>
      <c r="D256">
        <v>37.437937154580602</v>
      </c>
      <c r="E256">
        <f t="shared" si="10"/>
        <v>36.156322783943018</v>
      </c>
      <c r="F256">
        <f t="shared" si="11"/>
        <v>34.725895231725637</v>
      </c>
      <c r="G256">
        <v>0</v>
      </c>
      <c r="H256">
        <v>9.8897222222222201</v>
      </c>
    </row>
    <row r="257" spans="1:8" x14ac:dyDescent="0.35">
      <c r="A257" t="s">
        <v>274</v>
      </c>
      <c r="B257">
        <v>9.7759402777777709</v>
      </c>
      <c r="C257">
        <f t="shared" si="9"/>
        <v>9.5390704226153744</v>
      </c>
      <c r="D257">
        <v>38.649393085200501</v>
      </c>
      <c r="E257">
        <f t="shared" si="10"/>
        <v>37.559306069324634</v>
      </c>
      <c r="F257">
        <f t="shared" si="11"/>
        <v>35.96817157130058</v>
      </c>
      <c r="G257">
        <v>0</v>
      </c>
      <c r="H257">
        <v>9.7759402777777709</v>
      </c>
    </row>
    <row r="258" spans="1:8" x14ac:dyDescent="0.35">
      <c r="A258" t="s">
        <v>275</v>
      </c>
      <c r="B258">
        <v>9.7120486111111095</v>
      </c>
      <c r="C258">
        <f t="shared" si="9"/>
        <v>9.5526034028474083</v>
      </c>
      <c r="D258">
        <v>38.492626629082899</v>
      </c>
      <c r="E258">
        <f t="shared" si="10"/>
        <v>38.347119468420338</v>
      </c>
      <c r="F258">
        <f t="shared" si="11"/>
        <v>36.678505118428475</v>
      </c>
      <c r="G258">
        <v>0</v>
      </c>
      <c r="H258">
        <v>9.7120486111111095</v>
      </c>
    </row>
    <row r="259" spans="1:8" x14ac:dyDescent="0.35">
      <c r="A259" t="s">
        <v>276</v>
      </c>
      <c r="B259">
        <v>9.7010263888888897</v>
      </c>
      <c r="C259">
        <f t="shared" si="9"/>
        <v>9.6472074013384219</v>
      </c>
      <c r="D259">
        <v>37.409015079073001</v>
      </c>
      <c r="E259">
        <f t="shared" si="10"/>
        <v>38.48302849705437</v>
      </c>
      <c r="F259">
        <f t="shared" si="11"/>
        <v>36.801994076128189</v>
      </c>
      <c r="G259">
        <v>0</v>
      </c>
      <c r="H259">
        <v>9.7010263888888897</v>
      </c>
    </row>
    <row r="260" spans="1:8" x14ac:dyDescent="0.35">
      <c r="A260" t="s">
        <v>277</v>
      </c>
      <c r="B260">
        <v>9.8362208333333303</v>
      </c>
      <c r="C260">
        <f t="shared" si="9"/>
        <v>9.6983078230329216</v>
      </c>
      <c r="D260">
        <v>36.832495049798197</v>
      </c>
      <c r="E260">
        <f t="shared" si="10"/>
        <v>36.816019317714783</v>
      </c>
      <c r="F260">
        <f t="shared" si="11"/>
        <v>35.306445978561449</v>
      </c>
      <c r="G260">
        <v>0</v>
      </c>
      <c r="H260">
        <v>9.8362208333333303</v>
      </c>
    </row>
    <row r="261" spans="1:8" x14ac:dyDescent="0.35">
      <c r="A261" t="s">
        <v>278</v>
      </c>
      <c r="B261">
        <v>9.8075472222222206</v>
      </c>
      <c r="C261">
        <f t="shared" si="9"/>
        <v>9.5182251807326637</v>
      </c>
      <c r="D261">
        <v>38.891737159288901</v>
      </c>
      <c r="E261">
        <f t="shared" si="10"/>
        <v>37.169578024386908</v>
      </c>
      <c r="F261">
        <f t="shared" si="11"/>
        <v>35.62019415341036</v>
      </c>
      <c r="G261">
        <v>0</v>
      </c>
      <c r="H261">
        <v>9.8075472222222206</v>
      </c>
    </row>
    <row r="262" spans="1:8" x14ac:dyDescent="0.35">
      <c r="A262" t="s">
        <v>279</v>
      </c>
      <c r="B262">
        <v>9.8061319444444397</v>
      </c>
      <c r="C262">
        <f t="shared" si="9"/>
        <v>9.535185221835329</v>
      </c>
      <c r="D262">
        <v>38.694481583835099</v>
      </c>
      <c r="E262">
        <f t="shared" si="10"/>
        <v>37.187029045074716</v>
      </c>
      <c r="F262">
        <f t="shared" si="11"/>
        <v>35.635727714971623</v>
      </c>
      <c r="G262">
        <v>0</v>
      </c>
      <c r="H262">
        <v>9.8061319444444397</v>
      </c>
    </row>
    <row r="263" spans="1:8" x14ac:dyDescent="0.35">
      <c r="A263" t="s">
        <v>280</v>
      </c>
      <c r="B263">
        <v>9.7371305555555505</v>
      </c>
      <c r="C263">
        <f t="shared" si="9"/>
        <v>9.6051935444230541</v>
      </c>
      <c r="D263">
        <v>37.887614657947402</v>
      </c>
      <c r="E263">
        <f t="shared" si="10"/>
        <v>38.037847650363112</v>
      </c>
      <c r="F263">
        <f t="shared" si="11"/>
        <v>36.398538109962139</v>
      </c>
      <c r="G263">
        <v>0</v>
      </c>
      <c r="H263">
        <v>9.7371305555555505</v>
      </c>
    </row>
    <row r="264" spans="1:8" x14ac:dyDescent="0.35">
      <c r="A264" t="s">
        <v>281</v>
      </c>
      <c r="B264">
        <v>9.8166986111111108</v>
      </c>
      <c r="C264">
        <f t="shared" si="9"/>
        <v>9.6265099361796871</v>
      </c>
      <c r="D264">
        <v>37.644267541068402</v>
      </c>
      <c r="E264">
        <f t="shared" si="10"/>
        <v>37.056737224277292</v>
      </c>
      <c r="F264">
        <f t="shared" si="11"/>
        <v>35.519860034479919</v>
      </c>
      <c r="G264">
        <v>0</v>
      </c>
      <c r="H264">
        <v>9.8166986111111108</v>
      </c>
    </row>
    <row r="265" spans="1:8" x14ac:dyDescent="0.35">
      <c r="A265" t="s">
        <v>282</v>
      </c>
      <c r="B265">
        <v>9.8623444444444406</v>
      </c>
      <c r="C265">
        <f t="shared" ref="C265:C328" si="12">$B$2/(1+$B$4*((D265/100)/$B$3))</f>
        <v>9.6203137253062145</v>
      </c>
      <c r="D265">
        <v>37.714892073714701</v>
      </c>
      <c r="E265">
        <f t="shared" ref="E265:E328" si="13" xml:space="preserve"> (12.822 - B265)/0.0811</f>
        <v>36.493903274421186</v>
      </c>
      <c r="F265">
        <f t="shared" ref="F265:F328" si="14" xml:space="preserve"> ((($B$3 *($B$2-B265))/($B$4*B265)))*100</f>
        <v>35.022188258137781</v>
      </c>
      <c r="G265">
        <v>0</v>
      </c>
      <c r="H265">
        <v>9.8623444444444406</v>
      </c>
    </row>
    <row r="266" spans="1:8" x14ac:dyDescent="0.35">
      <c r="A266" t="s">
        <v>283</v>
      </c>
      <c r="B266">
        <v>9.9816847222222194</v>
      </c>
      <c r="C266">
        <f t="shared" si="12"/>
        <v>9.614125485822834</v>
      </c>
      <c r="D266">
        <v>37.785516606361</v>
      </c>
      <c r="E266">
        <f t="shared" si="13"/>
        <v>35.022383203178542</v>
      </c>
      <c r="F266">
        <f t="shared" si="14"/>
        <v>33.742540248389275</v>
      </c>
      <c r="H266">
        <v>9.9816847222222194</v>
      </c>
    </row>
    <row r="267" spans="1:8" x14ac:dyDescent="0.35">
      <c r="A267" t="s">
        <v>284</v>
      </c>
      <c r="B267">
        <v>9.8347315821256007</v>
      </c>
      <c r="C267">
        <f t="shared" si="12"/>
        <v>9.5674110972654667</v>
      </c>
      <c r="D267">
        <v>38.3216019609401</v>
      </c>
      <c r="E267">
        <f t="shared" si="13"/>
        <v>36.834382464542522</v>
      </c>
      <c r="F267">
        <f t="shared" si="14"/>
        <v>35.322696401737396</v>
      </c>
      <c r="H267">
        <v>9.8347315821256007</v>
      </c>
    </row>
    <row r="268" spans="1:8" x14ac:dyDescent="0.35">
      <c r="A268" t="s">
        <v>285</v>
      </c>
      <c r="B268">
        <v>9.8352690821256008</v>
      </c>
      <c r="C268">
        <f t="shared" si="12"/>
        <v>9.5339102854508049</v>
      </c>
      <c r="D268">
        <v>38.709285472713503</v>
      </c>
      <c r="E268">
        <f t="shared" si="13"/>
        <v>36.827754844320566</v>
      </c>
      <c r="F268">
        <f t="shared" si="14"/>
        <v>35.316830737400643</v>
      </c>
      <c r="H268">
        <v>9.8352690821256008</v>
      </c>
    </row>
    <row r="269" spans="1:8" x14ac:dyDescent="0.35">
      <c r="A269" t="s">
        <v>286</v>
      </c>
      <c r="B269">
        <v>9.9095621376811494</v>
      </c>
      <c r="C269">
        <f t="shared" si="12"/>
        <v>9.642996181903678</v>
      </c>
      <c r="D269">
        <v>37.456798997182503</v>
      </c>
      <c r="E269">
        <f t="shared" si="13"/>
        <v>35.911687574831682</v>
      </c>
      <c r="F269">
        <f t="shared" si="14"/>
        <v>34.512202990404212</v>
      </c>
      <c r="H269">
        <v>9.9095621376811494</v>
      </c>
    </row>
    <row r="270" spans="1:8" x14ac:dyDescent="0.35">
      <c r="A270" t="s">
        <v>287</v>
      </c>
      <c r="B270">
        <v>9.9127569444444408</v>
      </c>
      <c r="C270">
        <f t="shared" si="12"/>
        <v>9.6972681867348687</v>
      </c>
      <c r="D270">
        <v>36.844163778936199</v>
      </c>
      <c r="E270">
        <f t="shared" si="13"/>
        <v>35.872294149883579</v>
      </c>
      <c r="F270">
        <f t="shared" si="14"/>
        <v>34.477872250147271</v>
      </c>
      <c r="H270">
        <v>9.9127569444444408</v>
      </c>
    </row>
    <row r="271" spans="1:8" x14ac:dyDescent="0.35">
      <c r="A271" t="s">
        <v>288</v>
      </c>
      <c r="B271">
        <v>9.85819861111111</v>
      </c>
      <c r="C271">
        <f t="shared" si="12"/>
        <v>9.5758720887993949</v>
      </c>
      <c r="D271">
        <v>38.224117367542597</v>
      </c>
      <c r="E271">
        <f t="shared" si="13"/>
        <v>36.545023290861764</v>
      </c>
      <c r="F271">
        <f t="shared" si="14"/>
        <v>35.067199563183507</v>
      </c>
      <c r="H271">
        <v>9.85819861111111</v>
      </c>
    </row>
    <row r="272" spans="1:8" x14ac:dyDescent="0.35">
      <c r="A272" t="s">
        <v>289</v>
      </c>
      <c r="B272">
        <v>9.8549486111111104</v>
      </c>
      <c r="C272">
        <f t="shared" si="12"/>
        <v>9.6703770372665545</v>
      </c>
      <c r="D272">
        <v>37.1468579436063</v>
      </c>
      <c r="E272">
        <f t="shared" si="13"/>
        <v>36.585097273599118</v>
      </c>
      <c r="F272">
        <f t="shared" si="14"/>
        <v>35.102511287821528</v>
      </c>
      <c r="H272">
        <v>9.8549486111111104</v>
      </c>
    </row>
    <row r="273" spans="1:8" x14ac:dyDescent="0.35">
      <c r="A273" t="s">
        <v>290</v>
      </c>
      <c r="B273">
        <v>9.9747347222222196</v>
      </c>
      <c r="C273">
        <f t="shared" si="12"/>
        <v>9.708527526199763</v>
      </c>
      <c r="D273">
        <v>36.717923589951901</v>
      </c>
      <c r="E273">
        <f t="shared" si="13"/>
        <v>35.108079873955354</v>
      </c>
      <c r="F273">
        <f t="shared" si="14"/>
        <v>33.816223214076054</v>
      </c>
      <c r="H273">
        <v>9.9747347222222196</v>
      </c>
    </row>
    <row r="274" spans="1:8" x14ac:dyDescent="0.35">
      <c r="A274" t="s">
        <v>291</v>
      </c>
      <c r="B274">
        <v>10.0874305555555</v>
      </c>
      <c r="C274">
        <f t="shared" si="12"/>
        <v>9.7627476634892307</v>
      </c>
      <c r="D274">
        <v>36.1140824782252</v>
      </c>
      <c r="E274">
        <f t="shared" si="13"/>
        <v>33.718488834087537</v>
      </c>
      <c r="F274">
        <f t="shared" si="14"/>
        <v>32.633961998551428</v>
      </c>
      <c r="H274">
        <v>10.0874305555555</v>
      </c>
    </row>
    <row r="275" spans="1:8" x14ac:dyDescent="0.35">
      <c r="A275" t="s">
        <v>292</v>
      </c>
      <c r="B275">
        <v>10.1345888888888</v>
      </c>
      <c r="C275">
        <f t="shared" si="12"/>
        <v>9.819381973953595</v>
      </c>
      <c r="D275">
        <v>35.4904756034882</v>
      </c>
      <c r="E275">
        <f t="shared" si="13"/>
        <v>33.137005069188646</v>
      </c>
      <c r="F275">
        <f t="shared" si="14"/>
        <v>32.147040164115666</v>
      </c>
      <c r="H275">
        <v>10.1345888888888</v>
      </c>
    </row>
    <row r="276" spans="1:8" x14ac:dyDescent="0.35">
      <c r="A276" t="s">
        <v>293</v>
      </c>
      <c r="B276">
        <v>10.1352305555555</v>
      </c>
      <c r="C276">
        <f t="shared" si="12"/>
        <v>9.8687578047211169</v>
      </c>
      <c r="D276">
        <v>34.9526329184134</v>
      </c>
      <c r="E276">
        <f t="shared" si="13"/>
        <v>33.129093026442646</v>
      </c>
      <c r="F276">
        <f t="shared" si="14"/>
        <v>32.140446038648165</v>
      </c>
      <c r="H276">
        <v>10.1352305555555</v>
      </c>
    </row>
    <row r="277" spans="1:8" x14ac:dyDescent="0.35">
      <c r="A277" t="s">
        <v>294</v>
      </c>
      <c r="B277">
        <v>9.9718347222222192</v>
      </c>
      <c r="C277">
        <f t="shared" si="12"/>
        <v>9.8889902732014221</v>
      </c>
      <c r="D277">
        <v>34.733795326231601</v>
      </c>
      <c r="E277">
        <f t="shared" si="13"/>
        <v>35.143838197013316</v>
      </c>
      <c r="F277">
        <f t="shared" si="14"/>
        <v>33.846998993985025</v>
      </c>
      <c r="H277">
        <v>9.9718347222222192</v>
      </c>
    </row>
    <row r="278" spans="1:8" x14ac:dyDescent="0.35">
      <c r="A278" t="s">
        <v>295</v>
      </c>
      <c r="B278">
        <v>9.8358916666666598</v>
      </c>
      <c r="C278">
        <f t="shared" si="12"/>
        <v>9.7441502930417219</v>
      </c>
      <c r="D278">
        <v>36.320441281008002</v>
      </c>
      <c r="E278">
        <f t="shared" si="13"/>
        <v>36.82007809288951</v>
      </c>
      <c r="F278">
        <f t="shared" si="14"/>
        <v>35.310037358381727</v>
      </c>
      <c r="H278">
        <v>9.8358916666666598</v>
      </c>
    </row>
    <row r="279" spans="1:8" x14ac:dyDescent="0.35">
      <c r="A279" t="s">
        <v>296</v>
      </c>
      <c r="B279">
        <v>9.7663083333333294</v>
      </c>
      <c r="C279">
        <f t="shared" si="12"/>
        <v>9.6321471404530463</v>
      </c>
      <c r="D279">
        <v>37.5800935134939</v>
      </c>
      <c r="E279">
        <f t="shared" si="13"/>
        <v>37.678072338676564</v>
      </c>
      <c r="F279">
        <f t="shared" si="14"/>
        <v>36.074662470361957</v>
      </c>
      <c r="H279">
        <v>9.7663083333333294</v>
      </c>
    </row>
    <row r="280" spans="1:8" x14ac:dyDescent="0.35">
      <c r="A280" t="s">
        <v>297</v>
      </c>
      <c r="B280">
        <v>9.8151680555555494</v>
      </c>
      <c r="C280">
        <f t="shared" si="12"/>
        <v>9.6828582013252777</v>
      </c>
      <c r="D280">
        <v>37.006157454053998</v>
      </c>
      <c r="E280">
        <f t="shared" si="13"/>
        <v>37.075609672557945</v>
      </c>
      <c r="F280">
        <f t="shared" si="14"/>
        <v>35.53662773065799</v>
      </c>
      <c r="H280">
        <v>9.8151680555555494</v>
      </c>
    </row>
    <row r="281" spans="1:8" x14ac:dyDescent="0.35">
      <c r="A281" t="s">
        <v>298</v>
      </c>
      <c r="B281">
        <v>9.9253236111111107</v>
      </c>
      <c r="C281">
        <f t="shared" si="12"/>
        <v>9.7791796765708501</v>
      </c>
      <c r="D281">
        <v>35.932403876890902</v>
      </c>
      <c r="E281">
        <f t="shared" si="13"/>
        <v>35.717341416632408</v>
      </c>
      <c r="F281">
        <f t="shared" si="14"/>
        <v>34.343047862044934</v>
      </c>
      <c r="H281">
        <v>9.9253236111111107</v>
      </c>
    </row>
    <row r="282" spans="1:8" x14ac:dyDescent="0.35">
      <c r="A282" t="s">
        <v>299</v>
      </c>
      <c r="B282">
        <v>9.9696944444444409</v>
      </c>
      <c r="C282">
        <f t="shared" si="12"/>
        <v>9.7501183244606366</v>
      </c>
      <c r="D282">
        <v>36.254133463046898</v>
      </c>
      <c r="E282">
        <f t="shared" si="13"/>
        <v>35.170228798465573</v>
      </c>
      <c r="F282">
        <f t="shared" si="14"/>
        <v>33.869723827921476</v>
      </c>
      <c r="H282">
        <v>9.9696944444444409</v>
      </c>
    </row>
    <row r="283" spans="1:8" x14ac:dyDescent="0.35">
      <c r="A283" t="s">
        <v>300</v>
      </c>
      <c r="B283">
        <v>10.0510208333333</v>
      </c>
      <c r="C283">
        <f t="shared" si="12"/>
        <v>9.7378100735201318</v>
      </c>
      <c r="D283">
        <v>36.390973332691502</v>
      </c>
      <c r="E283">
        <f t="shared" si="13"/>
        <v>34.167437320181243</v>
      </c>
      <c r="F283">
        <f t="shared" si="14"/>
        <v>33.013027385591194</v>
      </c>
      <c r="H283">
        <v>10.0510208333333</v>
      </c>
    </row>
    <row r="284" spans="1:8" x14ac:dyDescent="0.35">
      <c r="A284" t="s">
        <v>301</v>
      </c>
      <c r="B284">
        <v>10.0960472222222</v>
      </c>
      <c r="C284">
        <f t="shared" si="12"/>
        <v>9.7722475217711278</v>
      </c>
      <c r="D284">
        <v>36.008973915065198</v>
      </c>
      <c r="E284">
        <f t="shared" si="13"/>
        <v>33.61224140293217</v>
      </c>
      <c r="F284">
        <f t="shared" si="14"/>
        <v>32.544653074492338</v>
      </c>
      <c r="H284">
        <v>10.0960472222222</v>
      </c>
    </row>
    <row r="285" spans="1:8" x14ac:dyDescent="0.35">
      <c r="A285" t="s">
        <v>302</v>
      </c>
      <c r="B285">
        <v>10.137924999999999</v>
      </c>
      <c r="C285">
        <f t="shared" si="12"/>
        <v>9.7799438460923103</v>
      </c>
      <c r="D285">
        <v>35.9239697832028</v>
      </c>
      <c r="E285">
        <f t="shared" si="13"/>
        <v>33.095869297163993</v>
      </c>
      <c r="F285">
        <f t="shared" si="14"/>
        <v>32.112765532773501</v>
      </c>
      <c r="H285">
        <v>10.137924999999999</v>
      </c>
    </row>
    <row r="286" spans="1:8" x14ac:dyDescent="0.35">
      <c r="A286" t="s">
        <v>303</v>
      </c>
      <c r="B286">
        <v>10.048930555555501</v>
      </c>
      <c r="C286">
        <f t="shared" si="12"/>
        <v>9.7876523027495033</v>
      </c>
      <c r="D286">
        <v>35.838965651340402</v>
      </c>
      <c r="E286">
        <f t="shared" si="13"/>
        <v>34.19321139882242</v>
      </c>
      <c r="F286">
        <f t="shared" si="14"/>
        <v>33.034872860027392</v>
      </c>
      <c r="H286">
        <v>10.048930555555501</v>
      </c>
    </row>
    <row r="287" spans="1:8" x14ac:dyDescent="0.35">
      <c r="A287" t="s">
        <v>304</v>
      </c>
      <c r="B287">
        <v>9.9906694444444408</v>
      </c>
      <c r="C287">
        <f t="shared" si="12"/>
        <v>9.8182811267479142</v>
      </c>
      <c r="D287">
        <v>35.502528596995298</v>
      </c>
      <c r="E287">
        <f t="shared" si="13"/>
        <v>34.91159747910676</v>
      </c>
      <c r="F287">
        <f t="shared" si="14"/>
        <v>33.647437358899552</v>
      </c>
      <c r="H287">
        <v>9.9906694444444408</v>
      </c>
    </row>
    <row r="288" spans="1:8" x14ac:dyDescent="0.35">
      <c r="A288" t="s">
        <v>305</v>
      </c>
      <c r="B288">
        <v>10.039016666666599</v>
      </c>
      <c r="C288">
        <f t="shared" si="12"/>
        <v>9.7101327866614131</v>
      </c>
      <c r="D288">
        <v>36.699949187168897</v>
      </c>
      <c r="E288">
        <f t="shared" si="13"/>
        <v>34.315454171805172</v>
      </c>
      <c r="F288">
        <f t="shared" si="14"/>
        <v>33.138606716239124</v>
      </c>
      <c r="H288">
        <v>10.039016666666599</v>
      </c>
    </row>
    <row r="289" spans="1:8" x14ac:dyDescent="0.35">
      <c r="A289" t="s">
        <v>306</v>
      </c>
      <c r="B289">
        <v>10.209300000000001</v>
      </c>
      <c r="C289">
        <f t="shared" si="12"/>
        <v>9.724744313185397</v>
      </c>
      <c r="D289">
        <v>36.536614010711297</v>
      </c>
      <c r="E289">
        <f t="shared" si="13"/>
        <v>32.215782983970385</v>
      </c>
      <c r="F289">
        <f t="shared" si="14"/>
        <v>31.384837277555754</v>
      </c>
      <c r="H289">
        <v>10.209300000000001</v>
      </c>
    </row>
    <row r="290" spans="1:8" x14ac:dyDescent="0.35">
      <c r="A290" t="s">
        <v>307</v>
      </c>
      <c r="B290">
        <v>10.4134152777777</v>
      </c>
      <c r="C290">
        <f t="shared" si="12"/>
        <v>9.8340090180933419</v>
      </c>
      <c r="D290">
        <v>35.3305826550299</v>
      </c>
      <c r="E290">
        <f t="shared" si="13"/>
        <v>29.698948486094931</v>
      </c>
      <c r="F290">
        <f t="shared" si="14"/>
        <v>29.358210137410889</v>
      </c>
      <c r="H290">
        <v>10.4134152777777</v>
      </c>
    </row>
    <row r="291" spans="1:8" x14ac:dyDescent="0.35">
      <c r="A291" t="s">
        <v>308</v>
      </c>
      <c r="B291">
        <v>10.513515277777699</v>
      </c>
      <c r="C291">
        <f t="shared" si="12"/>
        <v>9.9385910861662161</v>
      </c>
      <c r="D291">
        <v>34.201074692677899</v>
      </c>
      <c r="E291">
        <f t="shared" si="13"/>
        <v>28.464669817784213</v>
      </c>
      <c r="F291">
        <f t="shared" si="14"/>
        <v>28.393092094010992</v>
      </c>
      <c r="H291">
        <v>10.513515277777699</v>
      </c>
    </row>
    <row r="292" spans="1:8" x14ac:dyDescent="0.35">
      <c r="A292" t="s">
        <v>309</v>
      </c>
      <c r="B292">
        <v>10.4126041666666</v>
      </c>
      <c r="C292">
        <f t="shared" si="12"/>
        <v>9.9196862909245951</v>
      </c>
      <c r="D292">
        <v>34.403486905825503</v>
      </c>
      <c r="E292">
        <f t="shared" si="13"/>
        <v>29.70894985614548</v>
      </c>
      <c r="F292">
        <f t="shared" si="14"/>
        <v>29.366106285764825</v>
      </c>
      <c r="H292">
        <v>10.4126041666666</v>
      </c>
    </row>
    <row r="293" spans="1:8" x14ac:dyDescent="0.35">
      <c r="A293" t="s">
        <v>310</v>
      </c>
      <c r="B293">
        <v>10.3272763888888</v>
      </c>
      <c r="C293">
        <f t="shared" si="12"/>
        <v>9.9710160266904975</v>
      </c>
      <c r="D293">
        <v>33.855690507900697</v>
      </c>
      <c r="E293">
        <f t="shared" si="13"/>
        <v>30.76108028497163</v>
      </c>
      <c r="F293">
        <f t="shared" si="14"/>
        <v>30.203698770032528</v>
      </c>
      <c r="H293">
        <v>10.3272763888888</v>
      </c>
    </row>
    <row r="294" spans="1:8" x14ac:dyDescent="0.35">
      <c r="A294" t="s">
        <v>311</v>
      </c>
      <c r="B294">
        <v>10.2460194444444</v>
      </c>
      <c r="C294">
        <f t="shared" si="12"/>
        <v>10.018688862640644</v>
      </c>
      <c r="D294">
        <v>33.351948487343698</v>
      </c>
      <c r="E294">
        <f t="shared" si="13"/>
        <v>31.763015481573355</v>
      </c>
      <c r="F294">
        <f t="shared" si="14"/>
        <v>31.014299530919608</v>
      </c>
      <c r="H294">
        <v>10.2460194444444</v>
      </c>
    </row>
    <row r="295" spans="1:8" x14ac:dyDescent="0.35">
      <c r="A295" t="s">
        <v>312</v>
      </c>
      <c r="B295">
        <v>10.346198611111101</v>
      </c>
      <c r="C295">
        <f t="shared" si="12"/>
        <v>10.067443172945888</v>
      </c>
      <c r="D295">
        <v>32.841713263601797</v>
      </c>
      <c r="E295">
        <f t="shared" si="13"/>
        <v>30.527760652144245</v>
      </c>
      <c r="F295">
        <f t="shared" si="14"/>
        <v>30.016762736710632</v>
      </c>
      <c r="H295">
        <v>10.346198611111101</v>
      </c>
    </row>
    <row r="296" spans="1:8" x14ac:dyDescent="0.35">
      <c r="A296" t="s">
        <v>313</v>
      </c>
      <c r="B296">
        <v>10.472669444444399</v>
      </c>
      <c r="C296">
        <f t="shared" si="12"/>
        <v>10.102317136512905</v>
      </c>
      <c r="D296">
        <v>32.4797632307071</v>
      </c>
      <c r="E296">
        <f t="shared" si="13"/>
        <v>28.96831757775092</v>
      </c>
      <c r="F296">
        <f t="shared" si="14"/>
        <v>28.784680577370388</v>
      </c>
      <c r="H296">
        <v>10.472669444444399</v>
      </c>
    </row>
    <row r="297" spans="1:8" x14ac:dyDescent="0.35">
      <c r="A297" t="s">
        <v>314</v>
      </c>
      <c r="B297">
        <v>10.5711986111111</v>
      </c>
      <c r="C297">
        <f t="shared" si="12"/>
        <v>10.13879967889668</v>
      </c>
      <c r="D297">
        <v>32.103782964479898</v>
      </c>
      <c r="E297">
        <f t="shared" si="13"/>
        <v>27.753408001096162</v>
      </c>
      <c r="F297">
        <f t="shared" si="14"/>
        <v>27.845237052992889</v>
      </c>
      <c r="H297">
        <v>10.5711986111111</v>
      </c>
    </row>
    <row r="298" spans="1:8" x14ac:dyDescent="0.35">
      <c r="A298" t="s">
        <v>315</v>
      </c>
      <c r="B298">
        <v>10.4098611111111</v>
      </c>
      <c r="C298">
        <f t="shared" si="12"/>
        <v>10.17407602962661</v>
      </c>
      <c r="D298">
        <v>31.742797573479098</v>
      </c>
      <c r="E298">
        <f t="shared" si="13"/>
        <v>29.742772982600478</v>
      </c>
      <c r="F298">
        <f t="shared" si="14"/>
        <v>29.392818986886489</v>
      </c>
      <c r="H298">
        <v>10.4098611111111</v>
      </c>
    </row>
    <row r="299" spans="1:8" x14ac:dyDescent="0.35">
      <c r="A299" t="s">
        <v>316</v>
      </c>
      <c r="B299">
        <v>10.0475833333333</v>
      </c>
      <c r="C299">
        <f t="shared" si="12"/>
        <v>10.209598714408612</v>
      </c>
      <c r="D299">
        <v>31.381812182478299</v>
      </c>
      <c r="E299">
        <f t="shared" si="13"/>
        <v>34.209823263461146</v>
      </c>
      <c r="F299">
        <f t="shared" si="14"/>
        <v>33.0489574844838</v>
      </c>
      <c r="H299">
        <v>10.0475833333333</v>
      </c>
    </row>
    <row r="300" spans="1:8" x14ac:dyDescent="0.35">
      <c r="A300" t="s">
        <v>317</v>
      </c>
      <c r="B300">
        <v>10.865697222222201</v>
      </c>
      <c r="C300">
        <f t="shared" si="12"/>
        <v>10.679654898602825</v>
      </c>
      <c r="D300">
        <v>26.831183762971801</v>
      </c>
      <c r="E300">
        <f t="shared" si="13"/>
        <v>24.122105767913666</v>
      </c>
      <c r="F300">
        <f t="shared" si="14"/>
        <v>25.138856181458468</v>
      </c>
      <c r="H300">
        <v>10.865697222222201</v>
      </c>
    </row>
    <row r="301" spans="1:8" x14ac:dyDescent="0.35">
      <c r="A301" t="s">
        <v>318</v>
      </c>
      <c r="B301">
        <v>10.439447222222199</v>
      </c>
      <c r="C301">
        <f t="shared" si="12"/>
        <v>9.9089424890366509</v>
      </c>
      <c r="D301">
        <v>34.518864171282701</v>
      </c>
      <c r="E301">
        <f t="shared" si="13"/>
        <v>29.377962734621452</v>
      </c>
      <c r="F301">
        <f t="shared" si="14"/>
        <v>29.105441368371633</v>
      </c>
      <c r="H301">
        <v>10.439447222222199</v>
      </c>
    </row>
    <row r="302" spans="1:8" x14ac:dyDescent="0.35">
      <c r="A302" t="s">
        <v>319</v>
      </c>
      <c r="B302">
        <v>9.9731500000000004</v>
      </c>
      <c r="C302">
        <f t="shared" si="12"/>
        <v>9.8423952330105191</v>
      </c>
      <c r="D302">
        <v>35.2391245748125</v>
      </c>
      <c r="E302">
        <f t="shared" si="13"/>
        <v>35.127620221948192</v>
      </c>
      <c r="F302">
        <f t="shared" si="14"/>
        <v>33.833038603837586</v>
      </c>
      <c r="H302">
        <v>9.9731500000000004</v>
      </c>
    </row>
    <row r="303" spans="1:8" x14ac:dyDescent="0.35">
      <c r="A303" t="s">
        <v>320</v>
      </c>
      <c r="B303">
        <v>9.9704208333333302</v>
      </c>
      <c r="C303">
        <f t="shared" si="12"/>
        <v>9.7931661849297953</v>
      </c>
      <c r="D303">
        <v>35.778244035441197</v>
      </c>
      <c r="E303">
        <f t="shared" si="13"/>
        <v>35.161272092067435</v>
      </c>
      <c r="F303">
        <f t="shared" si="14"/>
        <v>33.862010152675893</v>
      </c>
      <c r="H303">
        <v>9.9704208333333302</v>
      </c>
    </row>
    <row r="304" spans="1:8" x14ac:dyDescent="0.35">
      <c r="A304" t="s">
        <v>321</v>
      </c>
      <c r="B304">
        <v>10.020777777777701</v>
      </c>
      <c r="C304">
        <f t="shared" si="12"/>
        <v>9.7780212397324124</v>
      </c>
      <c r="D304">
        <v>35.945191989545997</v>
      </c>
      <c r="E304">
        <f t="shared" si="13"/>
        <v>34.540347992876676</v>
      </c>
      <c r="F304">
        <f t="shared" si="14"/>
        <v>33.329985269359753</v>
      </c>
      <c r="H304">
        <v>10.020777777777701</v>
      </c>
    </row>
    <row r="305" spans="1:8" x14ac:dyDescent="0.35">
      <c r="A305" t="s">
        <v>322</v>
      </c>
      <c r="B305">
        <v>10.008451388888799</v>
      </c>
      <c r="C305">
        <f t="shared" si="12"/>
        <v>9.5272727713156531</v>
      </c>
      <c r="D305">
        <v>38.786420794270299</v>
      </c>
      <c r="E305">
        <f t="shared" si="13"/>
        <v>34.692337991506776</v>
      </c>
      <c r="F305">
        <f t="shared" si="14"/>
        <v>33.459719638890824</v>
      </c>
      <c r="H305">
        <v>10.008451388888799</v>
      </c>
    </row>
    <row r="306" spans="1:8" x14ac:dyDescent="0.35">
      <c r="A306" t="s">
        <v>323</v>
      </c>
      <c r="B306">
        <v>10.1276222222222</v>
      </c>
      <c r="C306">
        <f t="shared" si="12"/>
        <v>9.6543600868698682</v>
      </c>
      <c r="D306">
        <v>37.327950427753798</v>
      </c>
      <c r="E306">
        <f t="shared" si="13"/>
        <v>33.222907247568415</v>
      </c>
      <c r="F306">
        <f t="shared" si="14"/>
        <v>32.218687310540204</v>
      </c>
      <c r="H306">
        <v>10.1276222222222</v>
      </c>
    </row>
    <row r="307" spans="1:8" x14ac:dyDescent="0.35">
      <c r="A307" t="s">
        <v>324</v>
      </c>
      <c r="B307">
        <v>10.341126388888799</v>
      </c>
      <c r="C307">
        <f t="shared" si="12"/>
        <v>9.75999625067168</v>
      </c>
      <c r="D307">
        <v>36.144562939614801</v>
      </c>
      <c r="E307">
        <f t="shared" si="13"/>
        <v>30.59030346622934</v>
      </c>
      <c r="F307">
        <f t="shared" si="14"/>
        <v>30.066805019293618</v>
      </c>
      <c r="H307">
        <v>10.341126388888799</v>
      </c>
    </row>
    <row r="308" spans="1:8" x14ac:dyDescent="0.35">
      <c r="A308" t="s">
        <v>325</v>
      </c>
      <c r="B308">
        <v>10.6640263888888</v>
      </c>
      <c r="C308">
        <f t="shared" si="12"/>
        <v>9.8888130324489243</v>
      </c>
      <c r="D308">
        <v>34.735708502413402</v>
      </c>
      <c r="E308">
        <f t="shared" si="13"/>
        <v>26.608799150569656</v>
      </c>
      <c r="F308">
        <f t="shared" si="14"/>
        <v>26.976036475578496</v>
      </c>
      <c r="H308">
        <v>10.6640263888888</v>
      </c>
    </row>
    <row r="309" spans="1:8" x14ac:dyDescent="0.35">
      <c r="A309" t="s">
        <v>326</v>
      </c>
      <c r="B309">
        <v>10.920715277777701</v>
      </c>
      <c r="C309">
        <f t="shared" si="12"/>
        <v>10.007906716608336</v>
      </c>
      <c r="D309">
        <v>33.465459648726799</v>
      </c>
      <c r="E309">
        <f t="shared" si="13"/>
        <v>23.443708042198498</v>
      </c>
      <c r="F309">
        <f t="shared" si="14"/>
        <v>24.649433547713635</v>
      </c>
      <c r="H309">
        <v>10.920715277777701</v>
      </c>
    </row>
    <row r="310" spans="1:8" x14ac:dyDescent="0.35">
      <c r="A310" t="s">
        <v>327</v>
      </c>
      <c r="B310">
        <v>11.1637077380952</v>
      </c>
      <c r="C310">
        <f t="shared" si="12"/>
        <v>10.118908702466243</v>
      </c>
      <c r="D310">
        <v>32.308438444707399</v>
      </c>
      <c r="E310">
        <f t="shared" si="13"/>
        <v>20.447500146791608</v>
      </c>
      <c r="F310">
        <f t="shared" si="14"/>
        <v>22.545554583408709</v>
      </c>
      <c r="H310">
        <v>11.1637077380952</v>
      </c>
    </row>
    <row r="311" spans="1:8" x14ac:dyDescent="0.35">
      <c r="A311" t="s">
        <v>328</v>
      </c>
      <c r="B311">
        <v>11.2885869047619</v>
      </c>
      <c r="C311">
        <f t="shared" si="12"/>
        <v>10.217585194780284</v>
      </c>
      <c r="D311">
        <v>31.300998297678699</v>
      </c>
      <c r="E311">
        <f t="shared" si="13"/>
        <v>18.907683048558564</v>
      </c>
      <c r="F311">
        <f t="shared" si="14"/>
        <v>21.499559968441503</v>
      </c>
      <c r="H311">
        <v>11.2885869047619</v>
      </c>
    </row>
    <row r="312" spans="1:8" x14ac:dyDescent="0.35">
      <c r="A312" t="s">
        <v>329</v>
      </c>
      <c r="B312">
        <v>11.2764438492063</v>
      </c>
      <c r="C312">
        <f t="shared" si="12"/>
        <v>10.300516463544172</v>
      </c>
      <c r="D312">
        <v>30.469237327995899</v>
      </c>
      <c r="E312">
        <f t="shared" si="13"/>
        <v>19.057412463547458</v>
      </c>
      <c r="F312">
        <f t="shared" si="14"/>
        <v>21.600254001371606</v>
      </c>
      <c r="H312">
        <v>11.2764438492063</v>
      </c>
    </row>
    <row r="313" spans="1:8" x14ac:dyDescent="0.35">
      <c r="A313" t="s">
        <v>330</v>
      </c>
      <c r="B313">
        <v>10.9588236111111</v>
      </c>
      <c r="C313">
        <f t="shared" si="12"/>
        <v>10.330786581527647</v>
      </c>
      <c r="D313">
        <v>30.168969211969401</v>
      </c>
      <c r="E313">
        <f t="shared" si="13"/>
        <v>22.973814906151652</v>
      </c>
      <c r="F313">
        <f t="shared" si="14"/>
        <v>24.313315037543489</v>
      </c>
      <c r="H313">
        <v>10.9588236111111</v>
      </c>
    </row>
    <row r="314" spans="1:8" x14ac:dyDescent="0.35">
      <c r="A314" t="s">
        <v>331</v>
      </c>
      <c r="B314">
        <v>10.5872916666666</v>
      </c>
      <c r="C314">
        <f t="shared" si="12"/>
        <v>10.140041962411185</v>
      </c>
      <c r="D314">
        <v>32.0910279215949</v>
      </c>
      <c r="E314">
        <f t="shared" si="13"/>
        <v>27.554973284012323</v>
      </c>
      <c r="F314">
        <f t="shared" si="14"/>
        <v>27.693456232445168</v>
      </c>
      <c r="H314">
        <v>10.5872916666666</v>
      </c>
    </row>
    <row r="315" spans="1:8" x14ac:dyDescent="0.35">
      <c r="A315" t="s">
        <v>332</v>
      </c>
      <c r="B315">
        <v>10.355555555555499</v>
      </c>
      <c r="C315">
        <f t="shared" si="12"/>
        <v>10.162342185333564</v>
      </c>
      <c r="D315">
        <v>31.862592664967799</v>
      </c>
      <c r="E315">
        <f t="shared" si="13"/>
        <v>30.412385258255238</v>
      </c>
      <c r="F315">
        <f t="shared" si="14"/>
        <v>29.924576235436501</v>
      </c>
      <c r="H315">
        <v>10.355555555555499</v>
      </c>
    </row>
    <row r="316" spans="1:8" x14ac:dyDescent="0.35">
      <c r="A316" t="s">
        <v>333</v>
      </c>
      <c r="B316">
        <v>10.416650757575701</v>
      </c>
      <c r="C316">
        <f t="shared" si="12"/>
        <v>10.202046690318769</v>
      </c>
      <c r="D316">
        <v>31.4583462654731</v>
      </c>
      <c r="E316">
        <f t="shared" si="13"/>
        <v>29.65905354407273</v>
      </c>
      <c r="F316">
        <f t="shared" si="14"/>
        <v>29.326725050495028</v>
      </c>
      <c r="H316">
        <v>10.416650757575701</v>
      </c>
    </row>
    <row r="317" spans="1:8" x14ac:dyDescent="0.35">
      <c r="A317" t="s">
        <v>334</v>
      </c>
      <c r="B317">
        <v>10.6083924242424</v>
      </c>
      <c r="C317">
        <f t="shared" si="12"/>
        <v>10.241217117311784</v>
      </c>
      <c r="D317">
        <v>31.062609024766999</v>
      </c>
      <c r="E317">
        <f t="shared" si="13"/>
        <v>27.294791316369906</v>
      </c>
      <c r="F317">
        <f t="shared" si="14"/>
        <v>27.495143275806793</v>
      </c>
      <c r="H317">
        <v>10.6083924242424</v>
      </c>
    </row>
    <row r="318" spans="1:8" x14ac:dyDescent="0.35">
      <c r="A318" t="s">
        <v>335</v>
      </c>
      <c r="B318">
        <v>10.6259888888888</v>
      </c>
      <c r="C318">
        <f t="shared" si="12"/>
        <v>10.248030694625278</v>
      </c>
      <c r="D318">
        <v>30.994080608836001</v>
      </c>
      <c r="E318">
        <f t="shared" si="13"/>
        <v>27.077818879299613</v>
      </c>
      <c r="F318">
        <f t="shared" si="14"/>
        <v>27.330367265611265</v>
      </c>
      <c r="H318">
        <v>10.6259888888888</v>
      </c>
    </row>
    <row r="319" spans="1:8" x14ac:dyDescent="0.35">
      <c r="A319" t="s">
        <v>336</v>
      </c>
      <c r="B319">
        <v>10.5975375</v>
      </c>
      <c r="C319">
        <f t="shared" si="12"/>
        <v>10.073851189569918</v>
      </c>
      <c r="D319">
        <v>32.7750177828378</v>
      </c>
      <c r="E319">
        <f t="shared" si="13"/>
        <v>27.428637484586922</v>
      </c>
      <c r="F319">
        <f t="shared" si="14"/>
        <v>27.5970633553219</v>
      </c>
      <c r="H319">
        <v>10.5975375</v>
      </c>
    </row>
    <row r="320" spans="1:8" x14ac:dyDescent="0.35">
      <c r="A320" t="s">
        <v>337</v>
      </c>
      <c r="B320">
        <v>10.3439180555555</v>
      </c>
      <c r="C320">
        <f t="shared" si="12"/>
        <v>10.142556605767632</v>
      </c>
      <c r="D320">
        <v>32.065218593262003</v>
      </c>
      <c r="E320">
        <f t="shared" si="13"/>
        <v>30.555880942595547</v>
      </c>
      <c r="F320">
        <f t="shared" si="14"/>
        <v>30.039256507717944</v>
      </c>
      <c r="H320">
        <v>10.3439180555555</v>
      </c>
    </row>
    <row r="321" spans="1:8" x14ac:dyDescent="0.35">
      <c r="A321" t="s">
        <v>338</v>
      </c>
      <c r="B321">
        <v>10.298325</v>
      </c>
      <c r="C321">
        <f t="shared" si="12"/>
        <v>9.882651020157537</v>
      </c>
      <c r="D321">
        <v>34.802265302004301</v>
      </c>
      <c r="E321">
        <f t="shared" si="13"/>
        <v>31.118064118372367</v>
      </c>
      <c r="F321">
        <f t="shared" si="14"/>
        <v>30.491044339472623</v>
      </c>
      <c r="H321">
        <v>10.298325</v>
      </c>
    </row>
    <row r="322" spans="1:8" x14ac:dyDescent="0.35">
      <c r="A322" t="s">
        <v>339</v>
      </c>
      <c r="B322">
        <v>10.191558333333299</v>
      </c>
      <c r="C322">
        <f t="shared" si="12"/>
        <v>9.7671335330761924</v>
      </c>
      <c r="D322">
        <v>36.065530825288597</v>
      </c>
      <c r="E322">
        <f t="shared" si="13"/>
        <v>32.43454582819605</v>
      </c>
      <c r="F322">
        <f t="shared" si="14"/>
        <v>31.564826023394421</v>
      </c>
      <c r="H322">
        <v>10.191558333333299</v>
      </c>
    </row>
    <row r="323" spans="1:8" x14ac:dyDescent="0.35">
      <c r="A323" t="s">
        <v>340</v>
      </c>
      <c r="B323">
        <v>10.248468055555501</v>
      </c>
      <c r="C323">
        <f t="shared" si="12"/>
        <v>9.8884763485766261</v>
      </c>
      <c r="D323">
        <v>34.739342932042398</v>
      </c>
      <c r="E323">
        <f t="shared" si="13"/>
        <v>31.732822989451275</v>
      </c>
      <c r="F323">
        <f t="shared" si="14"/>
        <v>30.98968490816565</v>
      </c>
      <c r="H323">
        <v>10.248468055555501</v>
      </c>
    </row>
    <row r="324" spans="1:8" x14ac:dyDescent="0.35">
      <c r="A324" t="s">
        <v>341</v>
      </c>
      <c r="B324">
        <v>10.261368055555501</v>
      </c>
      <c r="C324">
        <f t="shared" si="12"/>
        <v>9.9459641459457941</v>
      </c>
      <c r="D324">
        <v>34.122340470902699</v>
      </c>
      <c r="E324">
        <f t="shared" si="13"/>
        <v>31.573760104124517</v>
      </c>
      <c r="F324">
        <f t="shared" si="14"/>
        <v>30.860201837791767</v>
      </c>
      <c r="H324">
        <v>10.261368055555501</v>
      </c>
    </row>
    <row r="325" spans="1:8" x14ac:dyDescent="0.35">
      <c r="A325" t="s">
        <v>342</v>
      </c>
      <c r="B325">
        <v>10.2082083333333</v>
      </c>
      <c r="C325">
        <f t="shared" si="12"/>
        <v>9.9114093265241205</v>
      </c>
      <c r="D325">
        <v>34.492350777914901</v>
      </c>
      <c r="E325">
        <f t="shared" si="13"/>
        <v>32.229243732018489</v>
      </c>
      <c r="F325">
        <f t="shared" si="14"/>
        <v>31.395894143773713</v>
      </c>
      <c r="H325">
        <v>10.2082083333333</v>
      </c>
    </row>
    <row r="326" spans="1:8" x14ac:dyDescent="0.35">
      <c r="A326" t="s">
        <v>343</v>
      </c>
      <c r="B326">
        <v>10.086124999999999</v>
      </c>
      <c r="C326">
        <f t="shared" si="12"/>
        <v>9.953929125346475</v>
      </c>
      <c r="D326">
        <v>34.037416416620601</v>
      </c>
      <c r="E326">
        <f t="shared" si="13"/>
        <v>33.7345869297164</v>
      </c>
      <c r="F326">
        <f t="shared" si="14"/>
        <v>32.647506965472672</v>
      </c>
      <c r="H326">
        <v>10.086124999999999</v>
      </c>
    </row>
    <row r="327" spans="1:8" x14ac:dyDescent="0.35">
      <c r="A327" t="s">
        <v>344</v>
      </c>
      <c r="B327">
        <v>10.0804125</v>
      </c>
      <c r="C327">
        <f t="shared" si="12"/>
        <v>9.6799648514419996</v>
      </c>
      <c r="D327">
        <v>37.0387419568141</v>
      </c>
      <c r="E327">
        <f t="shared" si="13"/>
        <v>33.805024660912444</v>
      </c>
      <c r="F327">
        <f t="shared" si="14"/>
        <v>32.70681466224287</v>
      </c>
      <c r="H327">
        <v>10.0804125</v>
      </c>
    </row>
    <row r="328" spans="1:8" x14ac:dyDescent="0.35">
      <c r="A328" t="s">
        <v>345</v>
      </c>
      <c r="B328">
        <v>10.023819444444401</v>
      </c>
      <c r="C328">
        <f t="shared" si="12"/>
        <v>9.7314452061557546</v>
      </c>
      <c r="D328">
        <v>36.461872022930798</v>
      </c>
      <c r="E328">
        <f t="shared" si="13"/>
        <v>34.502842855186167</v>
      </c>
      <c r="F328">
        <f t="shared" si="14"/>
        <v>33.298021024592536</v>
      </c>
      <c r="H328">
        <v>10.023819444444401</v>
      </c>
    </row>
    <row r="329" spans="1:8" x14ac:dyDescent="0.35">
      <c r="A329" t="s">
        <v>346</v>
      </c>
      <c r="B329">
        <v>10.038461111111101</v>
      </c>
      <c r="C329">
        <f t="shared" ref="C329:C392" si="15">$B$2/(1+$B$4*((D329/100)/$B$3))</f>
        <v>9.8186374542679324</v>
      </c>
      <c r="D329">
        <v>35.498626930236597</v>
      </c>
      <c r="E329">
        <f t="shared" ref="E329:E392" si="16" xml:space="preserve"> (12.822 - B329)/0.0811</f>
        <v>34.322304425263852</v>
      </c>
      <c r="F329">
        <f t="shared" ref="F329:F392" si="17" xml:space="preserve"> ((($B$3 *($B$2-B329))/($B$4*B329)))*100</f>
        <v>33.144425827681232</v>
      </c>
      <c r="H329">
        <v>10.038461111111101</v>
      </c>
    </row>
    <row r="330" spans="1:8" x14ac:dyDescent="0.35">
      <c r="A330" t="s">
        <v>347</v>
      </c>
      <c r="B330">
        <v>10.047611111111101</v>
      </c>
      <c r="C330">
        <f t="shared" si="15"/>
        <v>9.7795489349550984</v>
      </c>
      <c r="D330">
        <v>35.928328229430001</v>
      </c>
      <c r="E330">
        <f t="shared" si="16"/>
        <v>34.209480750787897</v>
      </c>
      <c r="F330">
        <f t="shared" si="17"/>
        <v>33.048667041719881</v>
      </c>
      <c r="G330">
        <v>0</v>
      </c>
      <c r="H330">
        <v>10.047611111111101</v>
      </c>
    </row>
    <row r="331" spans="1:8" x14ac:dyDescent="0.35">
      <c r="A331" t="s">
        <v>348</v>
      </c>
      <c r="B331">
        <v>10.221788888888801</v>
      </c>
      <c r="C331">
        <f t="shared" si="15"/>
        <v>9.8527371772321661</v>
      </c>
      <c r="D331">
        <v>35.126552158502001</v>
      </c>
      <c r="E331">
        <f t="shared" si="16"/>
        <v>32.061789286204665</v>
      </c>
      <c r="F331">
        <f t="shared" si="17"/>
        <v>31.258512534199724</v>
      </c>
      <c r="G331">
        <v>0</v>
      </c>
      <c r="H331">
        <v>10.221788888888801</v>
      </c>
    </row>
    <row r="332" spans="1:8" x14ac:dyDescent="0.35">
      <c r="A332" t="s">
        <v>349</v>
      </c>
      <c r="B332">
        <v>10.340547222222201</v>
      </c>
      <c r="C332">
        <f t="shared" si="15"/>
        <v>9.9464878014067413</v>
      </c>
      <c r="D332">
        <v>34.1167529843746</v>
      </c>
      <c r="E332">
        <f t="shared" si="16"/>
        <v>30.597444855459905</v>
      </c>
      <c r="F332">
        <f t="shared" si="17"/>
        <v>30.072522170596976</v>
      </c>
      <c r="G332">
        <v>0</v>
      </c>
      <c r="H332">
        <v>10.340547222222201</v>
      </c>
    </row>
    <row r="333" spans="1:8" x14ac:dyDescent="0.35">
      <c r="A333" t="s">
        <v>350</v>
      </c>
      <c r="B333">
        <v>10.532815277777701</v>
      </c>
      <c r="C333">
        <f t="shared" si="15"/>
        <v>10.030839701001446</v>
      </c>
      <c r="D333">
        <v>33.224320606064701</v>
      </c>
      <c r="E333">
        <f t="shared" si="16"/>
        <v>28.226692012605405</v>
      </c>
      <c r="F333">
        <f t="shared" si="17"/>
        <v>28.209119815600531</v>
      </c>
      <c r="G333">
        <v>0</v>
      </c>
      <c r="H333">
        <v>10.532815277777701</v>
      </c>
    </row>
    <row r="334" spans="1:8" x14ac:dyDescent="0.35">
      <c r="A334" t="s">
        <v>351</v>
      </c>
      <c r="B334">
        <v>10.627537500000001</v>
      </c>
      <c r="C334">
        <f t="shared" si="15"/>
        <v>10.098528147434171</v>
      </c>
      <c r="D334">
        <v>32.518967356221502</v>
      </c>
      <c r="E334">
        <f t="shared" si="16"/>
        <v>27.058723797780498</v>
      </c>
      <c r="F334">
        <f t="shared" si="17"/>
        <v>27.315891955946803</v>
      </c>
      <c r="G334">
        <v>0</v>
      </c>
      <c r="H334">
        <v>10.627537500000001</v>
      </c>
    </row>
    <row r="335" spans="1:8" x14ac:dyDescent="0.35">
      <c r="A335" t="s">
        <v>352</v>
      </c>
      <c r="B335">
        <v>10.858356944444401</v>
      </c>
      <c r="C335">
        <f t="shared" si="15"/>
        <v>10.192239979419083</v>
      </c>
      <c r="D335">
        <v>31.557899166655702</v>
      </c>
      <c r="E335">
        <f t="shared" si="16"/>
        <v>24.212614741745973</v>
      </c>
      <c r="F335">
        <f t="shared" si="17"/>
        <v>25.204527884355059</v>
      </c>
      <c r="G335">
        <v>0</v>
      </c>
      <c r="H335">
        <v>10.858356944444401</v>
      </c>
    </row>
    <row r="336" spans="1:8" x14ac:dyDescent="0.35">
      <c r="A336" t="s">
        <v>353</v>
      </c>
      <c r="B336">
        <v>11.011391666666601</v>
      </c>
      <c r="C336">
        <f t="shared" si="15"/>
        <v>10.288328552032789</v>
      </c>
      <c r="D336">
        <v>30.590635727977698</v>
      </c>
      <c r="E336">
        <f t="shared" si="16"/>
        <v>22.325626798192335</v>
      </c>
      <c r="F336">
        <f t="shared" si="17"/>
        <v>23.853478727246124</v>
      </c>
      <c r="G336">
        <v>0</v>
      </c>
      <c r="H336">
        <v>11.011391666666601</v>
      </c>
    </row>
    <row r="337" spans="1:8" x14ac:dyDescent="0.35">
      <c r="A337" t="s">
        <v>354</v>
      </c>
      <c r="B337">
        <v>10.9731583333333</v>
      </c>
      <c r="C337">
        <f t="shared" si="15"/>
        <v>10.369264588069456</v>
      </c>
      <c r="D337">
        <v>29.7898125302466</v>
      </c>
      <c r="E337">
        <f t="shared" si="16"/>
        <v>22.797061241266324</v>
      </c>
      <c r="F337">
        <f t="shared" si="17"/>
        <v>24.187485907248934</v>
      </c>
      <c r="G337">
        <v>0</v>
      </c>
      <c r="H337">
        <v>10.9731583333333</v>
      </c>
    </row>
    <row r="338" spans="1:8" x14ac:dyDescent="0.35">
      <c r="A338" t="s">
        <v>355</v>
      </c>
      <c r="B338">
        <v>10.9461333333333</v>
      </c>
      <c r="C338">
        <f t="shared" si="15"/>
        <v>10.43254843076458</v>
      </c>
      <c r="D338">
        <v>29.1723054063017</v>
      </c>
      <c r="E338">
        <f t="shared" si="16"/>
        <v>23.130291820797765</v>
      </c>
      <c r="F338">
        <f t="shared" si="17"/>
        <v>24.424984378626871</v>
      </c>
      <c r="G338">
        <v>0</v>
      </c>
      <c r="H338">
        <v>10.9461333333333</v>
      </c>
    </row>
    <row r="339" spans="1:8" x14ac:dyDescent="0.35">
      <c r="A339" t="s">
        <v>356</v>
      </c>
      <c r="B339">
        <v>10.830724999999999</v>
      </c>
      <c r="C339">
        <f t="shared" si="15"/>
        <v>10.456092095889776</v>
      </c>
      <c r="D339">
        <v>28.944480207266501</v>
      </c>
      <c r="E339">
        <f t="shared" si="16"/>
        <v>24.553329223181255</v>
      </c>
      <c r="F339">
        <f t="shared" si="17"/>
        <v>25.452542514299527</v>
      </c>
      <c r="G339">
        <v>0</v>
      </c>
      <c r="H339">
        <v>10.830724999999999</v>
      </c>
    </row>
    <row r="340" spans="1:8" x14ac:dyDescent="0.35">
      <c r="A340" t="s">
        <v>357</v>
      </c>
      <c r="B340">
        <v>10.9556541666666</v>
      </c>
      <c r="C340">
        <f t="shared" si="15"/>
        <v>10.495678926742038</v>
      </c>
      <c r="D340">
        <v>28.5637140906992</v>
      </c>
      <c r="E340">
        <f t="shared" si="16"/>
        <v>23.012895602138094</v>
      </c>
      <c r="F340">
        <f t="shared" si="17"/>
        <v>24.341180636861985</v>
      </c>
      <c r="G340">
        <v>0</v>
      </c>
      <c r="H340">
        <v>10.9556541666666</v>
      </c>
    </row>
    <row r="341" spans="1:8" x14ac:dyDescent="0.35">
      <c r="A341" t="s">
        <v>358</v>
      </c>
      <c r="B341">
        <v>11.0137611111111</v>
      </c>
      <c r="C341">
        <f t="shared" si="15"/>
        <v>10.51953143430679</v>
      </c>
      <c r="D341">
        <v>28.3356722144595</v>
      </c>
      <c r="E341">
        <f t="shared" si="16"/>
        <v>22.296410467187417</v>
      </c>
      <c r="F341">
        <f t="shared" si="17"/>
        <v>23.832855522030592</v>
      </c>
      <c r="G341">
        <v>0</v>
      </c>
      <c r="H341">
        <v>11.0137611111111</v>
      </c>
    </row>
    <row r="342" spans="1:8" x14ac:dyDescent="0.35">
      <c r="A342" t="s">
        <v>359</v>
      </c>
      <c r="B342">
        <v>11.069699999999999</v>
      </c>
      <c r="C342">
        <f t="shared" si="15"/>
        <v>10.567847096674589</v>
      </c>
      <c r="D342">
        <v>27.8769048488621</v>
      </c>
      <c r="E342">
        <f t="shared" si="16"/>
        <v>21.606658446362513</v>
      </c>
      <c r="F342">
        <f t="shared" si="17"/>
        <v>23.348538394438894</v>
      </c>
      <c r="G342">
        <v>0</v>
      </c>
      <c r="H342">
        <v>11.069699999999999</v>
      </c>
    </row>
    <row r="343" spans="1:8" x14ac:dyDescent="0.35">
      <c r="A343" t="s">
        <v>360</v>
      </c>
      <c r="B343">
        <v>11.03735</v>
      </c>
      <c r="C343">
        <f t="shared" si="15"/>
        <v>10.590628320858851</v>
      </c>
      <c r="D343">
        <v>27.662044485460701</v>
      </c>
      <c r="E343">
        <f t="shared" si="16"/>
        <v>22.005548705302086</v>
      </c>
      <c r="F343">
        <f t="shared" si="17"/>
        <v>23.628025074627512</v>
      </c>
      <c r="G343">
        <v>0</v>
      </c>
      <c r="H343">
        <v>11.03735</v>
      </c>
    </row>
    <row r="344" spans="1:8" x14ac:dyDescent="0.35">
      <c r="A344" t="s">
        <v>361</v>
      </c>
      <c r="B344">
        <v>10.9892041666666</v>
      </c>
      <c r="C344">
        <f t="shared" si="15"/>
        <v>10.626425897663177</v>
      </c>
      <c r="D344">
        <v>27.326281992673099</v>
      </c>
      <c r="E344">
        <f t="shared" si="16"/>
        <v>22.599208795726256</v>
      </c>
      <c r="F344">
        <f t="shared" si="17"/>
        <v>24.04702615929784</v>
      </c>
      <c r="G344">
        <v>0</v>
      </c>
      <c r="H344">
        <v>10.9892041666666</v>
      </c>
    </row>
    <row r="345" spans="1:8" x14ac:dyDescent="0.35">
      <c r="A345" t="s">
        <v>362</v>
      </c>
      <c r="B345">
        <v>10.892973611111101</v>
      </c>
      <c r="C345">
        <f t="shared" si="15"/>
        <v>10.620052047850104</v>
      </c>
      <c r="D345">
        <v>27.385899725779801</v>
      </c>
      <c r="E345">
        <f t="shared" si="16"/>
        <v>23.785775448691716</v>
      </c>
      <c r="F345">
        <f t="shared" si="17"/>
        <v>24.895596396288379</v>
      </c>
      <c r="G345">
        <v>0</v>
      </c>
      <c r="H345">
        <v>10.892973611111101</v>
      </c>
    </row>
    <row r="346" spans="1:8" x14ac:dyDescent="0.35">
      <c r="A346" t="s">
        <v>363</v>
      </c>
      <c r="B346">
        <v>10.6214763888888</v>
      </c>
      <c r="C346">
        <f t="shared" si="15"/>
        <v>10.395245022607776</v>
      </c>
      <c r="D346">
        <v>29.5353925470143</v>
      </c>
      <c r="E346">
        <f t="shared" si="16"/>
        <v>27.133460063023421</v>
      </c>
      <c r="F346">
        <f t="shared" si="17"/>
        <v>27.372570959579672</v>
      </c>
      <c r="G346">
        <v>0</v>
      </c>
      <c r="H346">
        <v>10.6214763888888</v>
      </c>
    </row>
    <row r="347" spans="1:8" x14ac:dyDescent="0.35">
      <c r="A347" t="s">
        <v>364</v>
      </c>
      <c r="B347">
        <v>10.414947222222199</v>
      </c>
      <c r="C347">
        <f t="shared" si="15"/>
        <v>9.8847730804756573</v>
      </c>
      <c r="D347">
        <v>34.779335249115498</v>
      </c>
      <c r="E347">
        <f t="shared" si="16"/>
        <v>29.680058912180019</v>
      </c>
      <c r="F347">
        <f t="shared" si="17"/>
        <v>29.343300047915331</v>
      </c>
      <c r="G347">
        <v>0</v>
      </c>
      <c r="H347">
        <v>10.414947222222199</v>
      </c>
    </row>
    <row r="348" spans="1:8" x14ac:dyDescent="0.35">
      <c r="A348" t="s">
        <v>365</v>
      </c>
      <c r="B348">
        <v>10.2627486111111</v>
      </c>
      <c r="C348">
        <f t="shared" si="15"/>
        <v>10.032492772376031</v>
      </c>
      <c r="D348">
        <v>33.206981250376501</v>
      </c>
      <c r="E348">
        <f t="shared" si="16"/>
        <v>31.556737224277427</v>
      </c>
      <c r="F348">
        <f t="shared" si="17"/>
        <v>30.846363866424507</v>
      </c>
      <c r="G348">
        <v>0</v>
      </c>
      <c r="H348">
        <v>10.2627486111111</v>
      </c>
    </row>
    <row r="349" spans="1:8" x14ac:dyDescent="0.35">
      <c r="A349" t="s">
        <v>366</v>
      </c>
      <c r="B349">
        <v>10.284988888888799</v>
      </c>
      <c r="C349">
        <f t="shared" si="15"/>
        <v>9.9246557606155026</v>
      </c>
      <c r="D349">
        <v>34.350204460009799</v>
      </c>
      <c r="E349">
        <f t="shared" si="16"/>
        <v>31.28250445266584</v>
      </c>
      <c r="F349">
        <f t="shared" si="17"/>
        <v>30.623950857643585</v>
      </c>
      <c r="G349">
        <v>0</v>
      </c>
      <c r="H349">
        <v>10.284988888888799</v>
      </c>
    </row>
    <row r="350" spans="1:8" x14ac:dyDescent="0.35">
      <c r="A350" t="s">
        <v>367</v>
      </c>
      <c r="B350">
        <v>10.3891125</v>
      </c>
      <c r="C350">
        <f t="shared" si="15"/>
        <v>9.8917069482641455</v>
      </c>
      <c r="D350">
        <v>34.704479509313899</v>
      </c>
      <c r="E350">
        <f t="shared" si="16"/>
        <v>29.99861282367447</v>
      </c>
      <c r="F350">
        <f t="shared" si="17"/>
        <v>29.595332096466752</v>
      </c>
      <c r="G350">
        <v>0</v>
      </c>
      <c r="H350">
        <v>10.3891125</v>
      </c>
    </row>
    <row r="351" spans="1:8" x14ac:dyDescent="0.35">
      <c r="A351" t="s">
        <v>368</v>
      </c>
      <c r="B351">
        <v>10.633125</v>
      </c>
      <c r="C351">
        <f t="shared" si="15"/>
        <v>10.071422130991323</v>
      </c>
      <c r="D351">
        <v>32.800289756108803</v>
      </c>
      <c r="E351">
        <f t="shared" si="16"/>
        <v>26.989827373612815</v>
      </c>
      <c r="F351">
        <f t="shared" si="17"/>
        <v>27.263699051359502</v>
      </c>
      <c r="G351">
        <v>2.2050113999999999E-2</v>
      </c>
      <c r="H351">
        <v>10.633125</v>
      </c>
    </row>
    <row r="352" spans="1:8" x14ac:dyDescent="0.35">
      <c r="A352" t="s">
        <v>369</v>
      </c>
      <c r="B352">
        <v>10.911</v>
      </c>
      <c r="C352">
        <f t="shared" si="15"/>
        <v>10.238555885313726</v>
      </c>
      <c r="D352">
        <v>31.089399471392699</v>
      </c>
      <c r="E352">
        <f t="shared" si="16"/>
        <v>23.563501849568429</v>
      </c>
      <c r="F352">
        <f t="shared" si="17"/>
        <v>24.735498647758199</v>
      </c>
      <c r="G352">
        <v>4.4100228999999998E-2</v>
      </c>
      <c r="H352">
        <v>10.911</v>
      </c>
    </row>
    <row r="353" spans="1:8" x14ac:dyDescent="0.35">
      <c r="A353" t="s">
        <v>370</v>
      </c>
      <c r="B353">
        <v>11.148654166666599</v>
      </c>
      <c r="C353">
        <f t="shared" si="15"/>
        <v>10.350912630364906</v>
      </c>
      <c r="D353">
        <v>29.9702984372367</v>
      </c>
      <c r="E353">
        <f t="shared" si="16"/>
        <v>20.633117550350182</v>
      </c>
      <c r="F353">
        <f t="shared" si="17"/>
        <v>22.673226724392403</v>
      </c>
      <c r="G353">
        <v>6.6150343E-2</v>
      </c>
      <c r="H353">
        <v>11.148654166666599</v>
      </c>
    </row>
    <row r="354" spans="1:8" x14ac:dyDescent="0.35">
      <c r="A354" t="s">
        <v>371</v>
      </c>
      <c r="B354">
        <v>11.363790277777699</v>
      </c>
      <c r="C354">
        <f t="shared" si="15"/>
        <v>10.482405994479002</v>
      </c>
      <c r="D354">
        <v>28.691059373047299</v>
      </c>
      <c r="E354">
        <f t="shared" si="16"/>
        <v>17.980391149473487</v>
      </c>
      <c r="F354">
        <f t="shared" si="17"/>
        <v>20.880743269289283</v>
      </c>
      <c r="G354">
        <v>8.8200457999999995E-2</v>
      </c>
      <c r="H354">
        <v>11.363790277777699</v>
      </c>
    </row>
    <row r="355" spans="1:8" x14ac:dyDescent="0.35">
      <c r="A355" t="s">
        <v>372</v>
      </c>
      <c r="B355">
        <v>10.9017736111111</v>
      </c>
      <c r="C355">
        <f t="shared" si="15"/>
        <v>10.808625537778987</v>
      </c>
      <c r="D355">
        <v>25.651812184132002</v>
      </c>
      <c r="E355">
        <f t="shared" si="16"/>
        <v>23.677267433895182</v>
      </c>
      <c r="F355">
        <f t="shared" si="17"/>
        <v>24.817374821113805</v>
      </c>
      <c r="G355">
        <v>0.11025057200000001</v>
      </c>
      <c r="H355">
        <v>10.9017736111111</v>
      </c>
    </row>
    <row r="356" spans="1:8" x14ac:dyDescent="0.35">
      <c r="A356" t="s">
        <v>373</v>
      </c>
      <c r="B356">
        <v>11.0823013888888</v>
      </c>
      <c r="C356">
        <f t="shared" si="15"/>
        <v>10.809425408494473</v>
      </c>
      <c r="D356">
        <v>25.644585580873201</v>
      </c>
      <c r="E356">
        <f t="shared" si="16"/>
        <v>21.451277572271263</v>
      </c>
      <c r="F356">
        <f t="shared" si="17"/>
        <v>23.240110730234409</v>
      </c>
      <c r="G356">
        <v>0.132300687</v>
      </c>
      <c r="H356">
        <v>11.0823013888888</v>
      </c>
    </row>
    <row r="357" spans="1:8" x14ac:dyDescent="0.35">
      <c r="A357" t="s">
        <v>374</v>
      </c>
      <c r="B357">
        <v>10.551151388888799</v>
      </c>
      <c r="C357">
        <f t="shared" si="15"/>
        <v>10.80277863464927</v>
      </c>
      <c r="D357">
        <v>25.704669784903</v>
      </c>
      <c r="E357">
        <f t="shared" si="16"/>
        <v>28.000599397178789</v>
      </c>
      <c r="F357">
        <f t="shared" si="17"/>
        <v>28.034959017723803</v>
      </c>
      <c r="G357">
        <v>0.15435080100000001</v>
      </c>
      <c r="H357">
        <v>10.551151388888799</v>
      </c>
    </row>
    <row r="358" spans="1:8" x14ac:dyDescent="0.35">
      <c r="A358" t="s">
        <v>375</v>
      </c>
      <c r="B358">
        <v>10.541204166666599</v>
      </c>
      <c r="C358">
        <f t="shared" si="15"/>
        <v>10.822684779122014</v>
      </c>
      <c r="D358">
        <v>25.524946577219801</v>
      </c>
      <c r="E358">
        <f t="shared" si="16"/>
        <v>28.123253185368679</v>
      </c>
      <c r="F358">
        <f t="shared" si="17"/>
        <v>28.129364939402961</v>
      </c>
      <c r="G358">
        <v>0.17640091599999999</v>
      </c>
      <c r="H358">
        <v>10.541204166666599</v>
      </c>
    </row>
    <row r="359" spans="1:8" x14ac:dyDescent="0.35">
      <c r="A359" t="s">
        <v>376</v>
      </c>
      <c r="B359">
        <v>10.483369444444399</v>
      </c>
      <c r="C359">
        <f t="shared" si="15"/>
        <v>10.838913477266221</v>
      </c>
      <c r="D359">
        <v>25.378913774904198</v>
      </c>
      <c r="E359">
        <f t="shared" si="16"/>
        <v>28.836381696123301</v>
      </c>
      <c r="F359">
        <f t="shared" si="17"/>
        <v>28.681804833965085</v>
      </c>
      <c r="G359">
        <v>0.19845103</v>
      </c>
      <c r="H359">
        <v>10.483369444444399</v>
      </c>
    </row>
    <row r="360" spans="1:8" x14ac:dyDescent="0.35">
      <c r="A360" t="s">
        <v>377</v>
      </c>
      <c r="B360">
        <v>10.494145833333301</v>
      </c>
      <c r="C360">
        <f t="shared" si="15"/>
        <v>10.85415534188626</v>
      </c>
      <c r="D360">
        <v>25.242158586146701</v>
      </c>
      <c r="E360">
        <f t="shared" si="16"/>
        <v>28.703503904644862</v>
      </c>
      <c r="F360">
        <f t="shared" si="17"/>
        <v>28.578406684781282</v>
      </c>
      <c r="G360">
        <v>0.22050114500000001</v>
      </c>
      <c r="H360">
        <v>10.494145833333301</v>
      </c>
    </row>
    <row r="361" spans="1:8" x14ac:dyDescent="0.35">
      <c r="A361" t="s">
        <v>378</v>
      </c>
      <c r="B361">
        <v>10.532490277777701</v>
      </c>
      <c r="C361">
        <f t="shared" si="15"/>
        <v>10.873695452124066</v>
      </c>
      <c r="D361">
        <v>25.067398879416999</v>
      </c>
      <c r="E361">
        <f t="shared" si="16"/>
        <v>28.230699410879144</v>
      </c>
      <c r="F361">
        <f t="shared" si="17"/>
        <v>28.212212213161862</v>
      </c>
      <c r="G361">
        <v>0.24255125899999999</v>
      </c>
      <c r="H361">
        <v>10.532490277777701</v>
      </c>
    </row>
    <row r="362" spans="1:8" x14ac:dyDescent="0.35">
      <c r="A362" t="s">
        <v>379</v>
      </c>
      <c r="B362">
        <v>10.5872777777777</v>
      </c>
      <c r="C362">
        <f t="shared" si="15"/>
        <v>10.891631819884406</v>
      </c>
      <c r="D362">
        <v>24.907534436572998</v>
      </c>
      <c r="E362">
        <f t="shared" si="16"/>
        <v>27.555144540348937</v>
      </c>
      <c r="F362">
        <f t="shared" si="17"/>
        <v>27.693587025840603</v>
      </c>
      <c r="G362">
        <v>0.264601374</v>
      </c>
      <c r="H362">
        <v>10.5872777777777</v>
      </c>
    </row>
    <row r="363" spans="1:8" x14ac:dyDescent="0.35">
      <c r="A363" t="s">
        <v>380</v>
      </c>
      <c r="B363">
        <v>10.566976388888801</v>
      </c>
      <c r="C363">
        <f t="shared" si="15"/>
        <v>10.90319685160628</v>
      </c>
      <c r="D363">
        <v>24.8047357611104</v>
      </c>
      <c r="E363">
        <f t="shared" si="16"/>
        <v>27.805469927388391</v>
      </c>
      <c r="F363">
        <f t="shared" si="17"/>
        <v>27.885135281516533</v>
      </c>
      <c r="G363">
        <v>0.28665148800000001</v>
      </c>
      <c r="H363">
        <v>10.566976388888801</v>
      </c>
    </row>
    <row r="364" spans="1:8" x14ac:dyDescent="0.35">
      <c r="A364" t="s">
        <v>381</v>
      </c>
      <c r="B364">
        <v>10.5554138888888</v>
      </c>
      <c r="C364">
        <f t="shared" si="15"/>
        <v>10.900243620347657</v>
      </c>
      <c r="D364">
        <v>24.830965556009001</v>
      </c>
      <c r="E364">
        <f t="shared" si="16"/>
        <v>27.948040827511697</v>
      </c>
      <c r="F364">
        <f t="shared" si="17"/>
        <v>27.994559445528832</v>
      </c>
      <c r="G364">
        <v>0.30870160299999999</v>
      </c>
      <c r="H364">
        <v>10.5554138888888</v>
      </c>
    </row>
    <row r="365" spans="1:8" x14ac:dyDescent="0.35">
      <c r="A365" t="s">
        <v>382</v>
      </c>
      <c r="B365">
        <v>10.5165805555555</v>
      </c>
      <c r="C365">
        <f t="shared" si="15"/>
        <v>10.913269315310828</v>
      </c>
      <c r="D365">
        <v>24.7153816619062</v>
      </c>
      <c r="E365">
        <f t="shared" si="16"/>
        <v>28.426873544321818</v>
      </c>
      <c r="F365">
        <f t="shared" si="17"/>
        <v>28.36382801710095</v>
      </c>
      <c r="G365">
        <v>0.330751717</v>
      </c>
      <c r="H365">
        <v>10.5165805555555</v>
      </c>
    </row>
    <row r="366" spans="1:8" x14ac:dyDescent="0.35">
      <c r="A366" t="s">
        <v>383</v>
      </c>
      <c r="B366">
        <v>10.5410277777777</v>
      </c>
      <c r="C366">
        <f t="shared" si="15"/>
        <v>10.925173900419544</v>
      </c>
      <c r="D366">
        <v>24.609987020952701</v>
      </c>
      <c r="E366">
        <f t="shared" si="16"/>
        <v>28.12542814084216</v>
      </c>
      <c r="F366">
        <f t="shared" si="17"/>
        <v>28.131040597993991</v>
      </c>
      <c r="G366">
        <v>0.35280183100000001</v>
      </c>
      <c r="H366">
        <v>10.5410277777777</v>
      </c>
    </row>
    <row r="367" spans="1:8" x14ac:dyDescent="0.35">
      <c r="A367" t="s">
        <v>384</v>
      </c>
      <c r="B367">
        <v>10.464655555555501</v>
      </c>
      <c r="C367">
        <f t="shared" si="15"/>
        <v>10.932089666447427</v>
      </c>
      <c r="D367">
        <v>24.548865205684098</v>
      </c>
      <c r="E367">
        <f t="shared" si="16"/>
        <v>29.067132483902569</v>
      </c>
      <c r="F367">
        <f t="shared" si="17"/>
        <v>28.861868344605888</v>
      </c>
      <c r="G367">
        <v>0.37485194599999999</v>
      </c>
      <c r="H367">
        <v>10.464655555555501</v>
      </c>
    </row>
    <row r="368" spans="1:8" x14ac:dyDescent="0.35">
      <c r="A368" t="s">
        <v>385</v>
      </c>
      <c r="B368">
        <v>10.296952777777699</v>
      </c>
      <c r="C368">
        <f t="shared" si="15"/>
        <v>10.870927237095733</v>
      </c>
      <c r="D368">
        <v>25.092118600356699</v>
      </c>
      <c r="E368">
        <f t="shared" si="16"/>
        <v>31.134984244418</v>
      </c>
      <c r="F368">
        <f t="shared" si="17"/>
        <v>30.504703896935375</v>
      </c>
      <c r="G368">
        <v>0.39690206</v>
      </c>
      <c r="H368">
        <v>10.296952777777699</v>
      </c>
    </row>
    <row r="369" spans="1:8" x14ac:dyDescent="0.35">
      <c r="A369" t="s">
        <v>386</v>
      </c>
      <c r="B369">
        <v>10.0838902777777</v>
      </c>
      <c r="C369">
        <f t="shared" si="15"/>
        <v>10.297969659583886</v>
      </c>
      <c r="D369">
        <v>30.494581167153999</v>
      </c>
      <c r="E369">
        <f t="shared" si="16"/>
        <v>33.762142074257696</v>
      </c>
      <c r="F369">
        <f t="shared" si="17"/>
        <v>32.670700054003241</v>
      </c>
      <c r="G369">
        <v>0.41895217499999998</v>
      </c>
      <c r="H369">
        <v>10.0838902777777</v>
      </c>
    </row>
    <row r="370" spans="1:8" x14ac:dyDescent="0.35">
      <c r="A370" t="s">
        <v>387</v>
      </c>
      <c r="B370">
        <v>9.9633236111111092</v>
      </c>
      <c r="C370">
        <f t="shared" si="15"/>
        <v>10.372679173579421</v>
      </c>
      <c r="D370">
        <v>29.756301592032699</v>
      </c>
      <c r="E370">
        <f t="shared" si="16"/>
        <v>35.248784080010971</v>
      </c>
      <c r="F370">
        <f t="shared" si="17"/>
        <v>33.93742522874237</v>
      </c>
      <c r="G370">
        <v>0.44100228899999999</v>
      </c>
      <c r="H370">
        <v>9.9633236111111092</v>
      </c>
    </row>
    <row r="371" spans="1:8" x14ac:dyDescent="0.35">
      <c r="A371" t="s">
        <v>388</v>
      </c>
      <c r="B371">
        <v>9.9029208333333294</v>
      </c>
      <c r="C371">
        <f t="shared" si="15"/>
        <v>10.24615472652447</v>
      </c>
      <c r="D371">
        <v>31.0129393030074</v>
      </c>
      <c r="E371">
        <f t="shared" si="16"/>
        <v>35.993577887381868</v>
      </c>
      <c r="F371">
        <f t="shared" si="17"/>
        <v>34.583639973651145</v>
      </c>
      <c r="G371">
        <v>0.46305240399999997</v>
      </c>
      <c r="H371">
        <v>9.9029208333333294</v>
      </c>
    </row>
    <row r="372" spans="1:8" x14ac:dyDescent="0.35">
      <c r="A372" t="s">
        <v>389</v>
      </c>
      <c r="B372">
        <v>9.9203069444444392</v>
      </c>
      <c r="C372">
        <f t="shared" si="15"/>
        <v>10.236944463721622</v>
      </c>
      <c r="D372">
        <v>31.105628316753201</v>
      </c>
      <c r="E372">
        <f t="shared" si="16"/>
        <v>35.779199205370652</v>
      </c>
      <c r="F372">
        <f t="shared" si="17"/>
        <v>34.396829367569211</v>
      </c>
      <c r="G372">
        <v>0.48510251799999998</v>
      </c>
      <c r="H372">
        <v>9.9203069444444392</v>
      </c>
    </row>
    <row r="373" spans="1:8" x14ac:dyDescent="0.35">
      <c r="A373" t="s">
        <v>390</v>
      </c>
      <c r="B373">
        <v>9.8994736111111106</v>
      </c>
      <c r="C373">
        <f t="shared" si="15"/>
        <v>10.289148390023863</v>
      </c>
      <c r="D373">
        <v>30.582460661745898</v>
      </c>
      <c r="E373">
        <f t="shared" si="16"/>
        <v>36.036083710097266</v>
      </c>
      <c r="F373">
        <f t="shared" si="17"/>
        <v>34.620757700118943</v>
      </c>
      <c r="G373">
        <v>0.50715263300000002</v>
      </c>
      <c r="H373">
        <v>9.8994736111111106</v>
      </c>
    </row>
    <row r="374" spans="1:8" x14ac:dyDescent="0.35">
      <c r="A374" t="s">
        <v>391</v>
      </c>
      <c r="B374">
        <v>9.8584388888888892</v>
      </c>
      <c r="C374">
        <f t="shared" si="15"/>
        <v>10.161780516917105</v>
      </c>
      <c r="D374">
        <v>31.868333880808699</v>
      </c>
      <c r="E374">
        <f t="shared" si="16"/>
        <v>36.542060556240564</v>
      </c>
      <c r="F374">
        <f t="shared" si="17"/>
        <v>35.064589834311782</v>
      </c>
      <c r="G374">
        <v>0.52920274700000003</v>
      </c>
      <c r="H374">
        <v>9.8584388888888892</v>
      </c>
    </row>
    <row r="375" spans="1:8" x14ac:dyDescent="0.35">
      <c r="A375" t="s">
        <v>392</v>
      </c>
      <c r="B375">
        <v>9.74898611111111</v>
      </c>
      <c r="C375">
        <f t="shared" si="15"/>
        <v>9.9127373218880717</v>
      </c>
      <c r="D375">
        <v>34.478083042584601</v>
      </c>
      <c r="E375">
        <f t="shared" si="16"/>
        <v>37.891663241539938</v>
      </c>
      <c r="F375">
        <f t="shared" si="17"/>
        <v>36.266706680567864</v>
      </c>
      <c r="G375">
        <v>0.55125286200000001</v>
      </c>
      <c r="H375">
        <v>9.74898611111111</v>
      </c>
    </row>
    <row r="376" spans="1:8" x14ac:dyDescent="0.35">
      <c r="A376" t="s">
        <v>393</v>
      </c>
      <c r="B376">
        <v>9.5912305555555495</v>
      </c>
      <c r="C376">
        <f t="shared" si="15"/>
        <v>9.7127734943016897</v>
      </c>
      <c r="D376">
        <v>36.670393613875802</v>
      </c>
      <c r="E376">
        <f t="shared" si="16"/>
        <v>39.836861213864978</v>
      </c>
      <c r="F376">
        <f t="shared" si="17"/>
        <v>38.047601931155654</v>
      </c>
      <c r="G376">
        <v>0.62943115800000005</v>
      </c>
      <c r="H376">
        <v>9.5912305555555495</v>
      </c>
    </row>
    <row r="377" spans="1:8" x14ac:dyDescent="0.35">
      <c r="A377" t="s">
        <v>394</v>
      </c>
      <c r="B377">
        <v>9.5204458333333299</v>
      </c>
      <c r="C377">
        <f t="shared" si="15"/>
        <v>9.7054512510193405</v>
      </c>
      <c r="D377">
        <v>36.752385835974501</v>
      </c>
      <c r="E377">
        <f t="shared" si="16"/>
        <v>40.709669132757938</v>
      </c>
      <c r="F377">
        <f t="shared" si="17"/>
        <v>38.86586963551072</v>
      </c>
      <c r="G377">
        <v>0.70760945399999997</v>
      </c>
      <c r="H377">
        <v>9.5204458333333299</v>
      </c>
    </row>
    <row r="378" spans="1:8" x14ac:dyDescent="0.35">
      <c r="A378" t="s">
        <v>395</v>
      </c>
      <c r="B378">
        <v>9.4968305555555492</v>
      </c>
      <c r="C378">
        <f t="shared" si="15"/>
        <v>9.7402737938717721</v>
      </c>
      <c r="D378">
        <v>36.363554659059503</v>
      </c>
      <c r="E378">
        <f t="shared" si="16"/>
        <v>41.000856281682488</v>
      </c>
      <c r="F378">
        <f t="shared" si="17"/>
        <v>39.141574594960673</v>
      </c>
      <c r="G378">
        <v>0.78578775000000001</v>
      </c>
      <c r="H378">
        <v>9.4968305555555492</v>
      </c>
    </row>
    <row r="379" spans="1:8" x14ac:dyDescent="0.35">
      <c r="A379" t="s">
        <v>396</v>
      </c>
      <c r="B379">
        <v>9.5346847222222202</v>
      </c>
      <c r="C379">
        <f t="shared" si="15"/>
        <v>9.8268322824263006</v>
      </c>
      <c r="D379">
        <v>35.408974394312402</v>
      </c>
      <c r="E379">
        <f t="shared" si="16"/>
        <v>40.534097136594063</v>
      </c>
      <c r="F379">
        <f t="shared" si="17"/>
        <v>38.700292649341087</v>
      </c>
      <c r="G379">
        <v>0.86396604700000001</v>
      </c>
      <c r="H379">
        <v>9.5346847222222202</v>
      </c>
    </row>
    <row r="380" spans="1:8" x14ac:dyDescent="0.35">
      <c r="A380" t="s">
        <v>397</v>
      </c>
      <c r="B380">
        <v>9.7111458333333296</v>
      </c>
      <c r="C380">
        <f t="shared" si="15"/>
        <v>9.7706392255121486</v>
      </c>
      <c r="D380">
        <v>36.0267540933433</v>
      </c>
      <c r="E380">
        <f t="shared" si="16"/>
        <v>38.358251130291855</v>
      </c>
      <c r="F380">
        <f t="shared" si="17"/>
        <v>36.688608971739434</v>
      </c>
      <c r="G380">
        <v>0.94214434300000005</v>
      </c>
      <c r="H380">
        <v>9.7111458333333296</v>
      </c>
    </row>
    <row r="381" spans="1:8" x14ac:dyDescent="0.35">
      <c r="A381" t="s">
        <v>398</v>
      </c>
      <c r="B381">
        <v>9.9330361111111092</v>
      </c>
      <c r="C381">
        <f t="shared" si="15"/>
        <v>9.8457896201411241</v>
      </c>
      <c r="D381">
        <v>35.202150482981899</v>
      </c>
      <c r="E381">
        <f t="shared" si="16"/>
        <v>35.622242772982609</v>
      </c>
      <c r="F381">
        <f t="shared" si="17"/>
        <v>34.260471454946035</v>
      </c>
      <c r="G381">
        <v>1.020322639</v>
      </c>
      <c r="H381">
        <v>9.9330361111111092</v>
      </c>
    </row>
    <row r="382" spans="1:8" x14ac:dyDescent="0.35">
      <c r="A382" t="s">
        <v>399</v>
      </c>
      <c r="B382">
        <v>10.0613833333333</v>
      </c>
      <c r="C382">
        <f t="shared" si="15"/>
        <v>9.9594498691550832</v>
      </c>
      <c r="D382">
        <v>33.978632949764602</v>
      </c>
      <c r="E382">
        <f t="shared" si="16"/>
        <v>34.039662967530198</v>
      </c>
      <c r="F382">
        <f t="shared" si="17"/>
        <v>32.904863029207363</v>
      </c>
      <c r="G382">
        <v>1.0985009349999999</v>
      </c>
      <c r="H382">
        <v>10.0613833333333</v>
      </c>
    </row>
    <row r="383" spans="1:8" x14ac:dyDescent="0.35">
      <c r="A383" t="s">
        <v>400</v>
      </c>
      <c r="B383">
        <v>10.0218541666666</v>
      </c>
      <c r="C383">
        <f t="shared" si="15"/>
        <v>9.9686090466606405</v>
      </c>
      <c r="D383">
        <v>33.881251988418803</v>
      </c>
      <c r="E383">
        <f t="shared" si="16"/>
        <v>34.527075626799004</v>
      </c>
      <c r="F383">
        <f t="shared" si="17"/>
        <v>33.318671503368321</v>
      </c>
      <c r="G383">
        <v>1.176679231</v>
      </c>
      <c r="H383">
        <v>10.0218541666666</v>
      </c>
    </row>
    <row r="384" spans="1:8" x14ac:dyDescent="0.35">
      <c r="A384" t="s">
        <v>401</v>
      </c>
      <c r="B384">
        <v>9.9124736111111105</v>
      </c>
      <c r="C384">
        <f t="shared" si="15"/>
        <v>9.9875466538824167</v>
      </c>
      <c r="D384">
        <v>33.680472559087697</v>
      </c>
      <c r="E384">
        <f t="shared" si="16"/>
        <v>35.875787779147821</v>
      </c>
      <c r="F384">
        <f t="shared" si="17"/>
        <v>34.480915997949275</v>
      </c>
      <c r="G384">
        <v>1.2548575280000001</v>
      </c>
      <c r="H384">
        <v>9.9124736111111105</v>
      </c>
    </row>
    <row r="385" spans="1:8" x14ac:dyDescent="0.35">
      <c r="A385" t="s">
        <v>402</v>
      </c>
      <c r="B385">
        <v>9.9332944444444404</v>
      </c>
      <c r="C385">
        <f t="shared" si="15"/>
        <v>10.002462815818685</v>
      </c>
      <c r="D385">
        <v>33.522864355579301</v>
      </c>
      <c r="E385">
        <f t="shared" si="16"/>
        <v>35.619057405124025</v>
      </c>
      <c r="F385">
        <f t="shared" si="17"/>
        <v>34.257707743990608</v>
      </c>
      <c r="G385">
        <v>1.333035824</v>
      </c>
      <c r="H385">
        <v>9.9332944444444404</v>
      </c>
    </row>
    <row r="386" spans="1:8" x14ac:dyDescent="0.35">
      <c r="A386" t="s">
        <v>403</v>
      </c>
      <c r="B386">
        <v>9.9623041666666605</v>
      </c>
      <c r="C386">
        <f t="shared" si="15"/>
        <v>10.028391666292876</v>
      </c>
      <c r="D386">
        <v>33.250008972594699</v>
      </c>
      <c r="E386">
        <f t="shared" si="16"/>
        <v>35.26135429510898</v>
      </c>
      <c r="F386">
        <f t="shared" si="17"/>
        <v>33.948266670107657</v>
      </c>
      <c r="G386">
        <v>1.4112141199999999</v>
      </c>
      <c r="H386">
        <v>9.9623041666666605</v>
      </c>
    </row>
    <row r="387" spans="1:8" x14ac:dyDescent="0.35">
      <c r="A387" t="s">
        <v>404</v>
      </c>
      <c r="B387">
        <v>9.9605208333333302</v>
      </c>
      <c r="C387">
        <f t="shared" si="15"/>
        <v>10.059864587785873</v>
      </c>
      <c r="D387">
        <v>32.920701844085499</v>
      </c>
      <c r="E387">
        <f t="shared" si="16"/>
        <v>35.283343608713551</v>
      </c>
      <c r="F387">
        <f t="shared" si="17"/>
        <v>33.967237143893634</v>
      </c>
      <c r="G387">
        <v>1.4893924160000001</v>
      </c>
      <c r="H387">
        <v>9.9605208333333302</v>
      </c>
    </row>
    <row r="388" spans="1:8" x14ac:dyDescent="0.35">
      <c r="A388" t="s">
        <v>405</v>
      </c>
      <c r="B388">
        <v>9.9538444444444405</v>
      </c>
      <c r="C388">
        <f t="shared" si="15"/>
        <v>10.087179225800677</v>
      </c>
      <c r="D388">
        <v>32.6365692391377</v>
      </c>
      <c r="E388">
        <f t="shared" si="16"/>
        <v>35.365666529661631</v>
      </c>
      <c r="F388">
        <f t="shared" si="17"/>
        <v>34.038318584951213</v>
      </c>
      <c r="G388">
        <v>3.3711198119999999</v>
      </c>
      <c r="H388">
        <v>9.9538444444444405</v>
      </c>
    </row>
    <row r="389" spans="1:8" x14ac:dyDescent="0.35">
      <c r="A389" t="s">
        <v>406</v>
      </c>
      <c r="B389">
        <v>9.8764097222222205</v>
      </c>
      <c r="C389">
        <f t="shared" si="15"/>
        <v>10.061674347842766</v>
      </c>
      <c r="D389">
        <v>32.901828619733003</v>
      </c>
      <c r="E389">
        <f t="shared" si="16"/>
        <v>36.32047198246336</v>
      </c>
      <c r="F389">
        <f t="shared" si="17"/>
        <v>34.869763138457863</v>
      </c>
      <c r="G389">
        <v>3.53924518</v>
      </c>
      <c r="H389">
        <v>9.8764097222222205</v>
      </c>
    </row>
    <row r="390" spans="1:8" x14ac:dyDescent="0.35">
      <c r="A390" t="s">
        <v>407</v>
      </c>
      <c r="B390">
        <v>9.7763902777777698</v>
      </c>
      <c r="C390">
        <f t="shared" si="15"/>
        <v>9.9721434621866756</v>
      </c>
      <c r="D390">
        <v>33.843721689773297</v>
      </c>
      <c r="E390">
        <f t="shared" si="16"/>
        <v>37.553757364022552</v>
      </c>
      <c r="F390">
        <f t="shared" si="17"/>
        <v>35.963201496336474</v>
      </c>
      <c r="G390">
        <v>3.7073705480000001</v>
      </c>
      <c r="H390">
        <v>9.7763902777777698</v>
      </c>
    </row>
    <row r="391" spans="1:8" x14ac:dyDescent="0.35">
      <c r="A391" t="s">
        <v>408</v>
      </c>
      <c r="B391">
        <v>9.7147527777777807</v>
      </c>
      <c r="C391">
        <f t="shared" si="15"/>
        <v>9.9725149520893481</v>
      </c>
      <c r="D391">
        <v>33.8397785579551</v>
      </c>
      <c r="E391">
        <f t="shared" si="16"/>
        <v>38.313775859706759</v>
      </c>
      <c r="F391">
        <f t="shared" si="17"/>
        <v>36.648251428585752</v>
      </c>
      <c r="G391">
        <v>3.8754959169999998</v>
      </c>
      <c r="H391">
        <v>9.7147527777777807</v>
      </c>
    </row>
    <row r="392" spans="1:8" x14ac:dyDescent="0.35">
      <c r="A392" t="s">
        <v>409</v>
      </c>
      <c r="B392">
        <v>9.6852374999999995</v>
      </c>
      <c r="C392">
        <f t="shared" si="15"/>
        <v>9.9235371640911456</v>
      </c>
      <c r="D392">
        <v>34.362193350928102</v>
      </c>
      <c r="E392">
        <f t="shared" si="16"/>
        <v>38.677712700369909</v>
      </c>
      <c r="F392">
        <f t="shared" si="17"/>
        <v>36.979376711686058</v>
      </c>
      <c r="G392">
        <v>4.0436212850000004</v>
      </c>
      <c r="H392">
        <v>9.6852374999999995</v>
      </c>
    </row>
    <row r="393" spans="1:8" x14ac:dyDescent="0.35">
      <c r="A393" t="s">
        <v>410</v>
      </c>
      <c r="B393">
        <v>9.7444249999999997</v>
      </c>
      <c r="C393">
        <f t="shared" ref="C393:C418" si="18">$B$2/(1+$B$4*((D393/100)/$B$3))</f>
        <v>9.7594094937956939</v>
      </c>
      <c r="D393">
        <v>36.151065321793602</v>
      </c>
      <c r="E393">
        <f t="shared" ref="E393:E418" si="19" xml:space="preserve"> (12.822 - B393)/0.0811</f>
        <v>37.947903822441418</v>
      </c>
      <c r="F393">
        <f t="shared" ref="F393:F418" si="20" xml:space="preserve"> ((($B$3 *($B$2-B393))/($B$4*B393)))*100</f>
        <v>36.317387365870182</v>
      </c>
      <c r="G393">
        <v>4.2117466529999996</v>
      </c>
      <c r="H393">
        <v>9.7444249999999997</v>
      </c>
    </row>
    <row r="394" spans="1:8" x14ac:dyDescent="0.35">
      <c r="A394" t="s">
        <v>411</v>
      </c>
      <c r="B394">
        <v>9.7627374999999894</v>
      </c>
      <c r="C394">
        <f t="shared" si="18"/>
        <v>9.8549702365675653</v>
      </c>
      <c r="D394">
        <v>35.102276247107497</v>
      </c>
      <c r="E394">
        <f t="shared" si="19"/>
        <v>37.722102342786798</v>
      </c>
      <c r="F394">
        <f t="shared" si="20"/>
        <v>36.114195038890408</v>
      </c>
      <c r="G394">
        <v>4.3798720209999997</v>
      </c>
      <c r="H394">
        <v>9.7627374999999894</v>
      </c>
    </row>
    <row r="395" spans="1:8" x14ac:dyDescent="0.35">
      <c r="A395" t="s">
        <v>412</v>
      </c>
      <c r="B395">
        <v>9.8135694444444397</v>
      </c>
      <c r="C395">
        <f t="shared" si="18"/>
        <v>9.9023692672323733</v>
      </c>
      <c r="D395">
        <v>34.589577186762</v>
      </c>
      <c r="E395">
        <f t="shared" si="19"/>
        <v>37.09532127688729</v>
      </c>
      <c r="F395">
        <f t="shared" si="20"/>
        <v>35.554146580204808</v>
      </c>
      <c r="G395">
        <v>4.5479973899999999</v>
      </c>
      <c r="H395">
        <v>9.8135694444444397</v>
      </c>
    </row>
    <row r="396" spans="1:8" x14ac:dyDescent="0.35">
      <c r="A396" t="s">
        <v>413</v>
      </c>
      <c r="B396">
        <v>9.8254736111111107</v>
      </c>
      <c r="C396">
        <f t="shared" si="18"/>
        <v>9.9015937560513141</v>
      </c>
      <c r="D396">
        <v>34.597926126721703</v>
      </c>
      <c r="E396">
        <f t="shared" si="19"/>
        <v>36.948537470886414</v>
      </c>
      <c r="F396">
        <f t="shared" si="20"/>
        <v>35.423828101719195</v>
      </c>
      <c r="G396">
        <v>0</v>
      </c>
      <c r="H396">
        <v>9.8254736111111107</v>
      </c>
    </row>
    <row r="397" spans="1:8" x14ac:dyDescent="0.35">
      <c r="A397" t="s">
        <v>414</v>
      </c>
      <c r="B397">
        <v>9.7887805555555492</v>
      </c>
      <c r="C397">
        <f t="shared" si="18"/>
        <v>9.861192414545112</v>
      </c>
      <c r="D397">
        <v>35.034692047449397</v>
      </c>
      <c r="E397">
        <f t="shared" si="19"/>
        <v>37.400979586244759</v>
      </c>
      <c r="F397">
        <f t="shared" si="20"/>
        <v>35.82653520301821</v>
      </c>
      <c r="G397">
        <v>0</v>
      </c>
      <c r="H397">
        <v>9.7887805555555492</v>
      </c>
    </row>
    <row r="398" spans="1:8" x14ac:dyDescent="0.35">
      <c r="A398" t="s">
        <v>415</v>
      </c>
      <c r="B398">
        <v>9.7431486111111099</v>
      </c>
      <c r="C398">
        <f t="shared" si="18"/>
        <v>9.8881785961987987</v>
      </c>
      <c r="D398">
        <v>34.742557310828197</v>
      </c>
      <c r="E398">
        <f t="shared" si="19"/>
        <v>37.963642279764358</v>
      </c>
      <c r="F398">
        <f t="shared" si="20"/>
        <v>36.331578430127095</v>
      </c>
      <c r="G398">
        <v>0</v>
      </c>
      <c r="H398">
        <v>9.7431486111111099</v>
      </c>
    </row>
    <row r="399" spans="1:8" x14ac:dyDescent="0.35">
      <c r="A399" t="s">
        <v>416</v>
      </c>
      <c r="B399">
        <v>9.7663444444444405</v>
      </c>
      <c r="C399">
        <f t="shared" si="18"/>
        <v>9.9181231740135782</v>
      </c>
      <c r="D399">
        <v>34.420257618638402</v>
      </c>
      <c r="E399">
        <f t="shared" si="19"/>
        <v>37.677627072201709</v>
      </c>
      <c r="F399">
        <f t="shared" si="20"/>
        <v>36.074262833188342</v>
      </c>
      <c r="G399">
        <v>0</v>
      </c>
      <c r="H399">
        <v>9.7663444444444405</v>
      </c>
    </row>
    <row r="400" spans="1:8" x14ac:dyDescent="0.35">
      <c r="A400" t="s">
        <v>417</v>
      </c>
      <c r="B400">
        <v>9.7858944444444393</v>
      </c>
      <c r="C400">
        <f t="shared" si="18"/>
        <v>9.9516980926434062</v>
      </c>
      <c r="D400">
        <v>34.0611903858197</v>
      </c>
      <c r="E400">
        <f t="shared" si="19"/>
        <v>37.436566652966206</v>
      </c>
      <c r="F400">
        <f t="shared" si="20"/>
        <v>35.858338447146409</v>
      </c>
      <c r="G400">
        <v>0</v>
      </c>
      <c r="H400">
        <v>9.7858944444444393</v>
      </c>
    </row>
    <row r="401" spans="1:8" x14ac:dyDescent="0.35">
      <c r="A401" t="s">
        <v>418</v>
      </c>
      <c r="B401">
        <v>9.8085416666666596</v>
      </c>
      <c r="C401">
        <f t="shared" si="18"/>
        <v>9.9832770315241621</v>
      </c>
      <c r="D401">
        <v>33.7256732440419</v>
      </c>
      <c r="E401">
        <f t="shared" si="19"/>
        <v>37.157316070694691</v>
      </c>
      <c r="F401">
        <f t="shared" si="20"/>
        <v>35.609282183181591</v>
      </c>
      <c r="G401">
        <v>0</v>
      </c>
      <c r="H401">
        <v>9.8085416666666596</v>
      </c>
    </row>
    <row r="402" spans="1:8" x14ac:dyDescent="0.35">
      <c r="A402" t="s">
        <v>419</v>
      </c>
      <c r="B402">
        <v>9.7963208333333291</v>
      </c>
      <c r="C402">
        <f t="shared" si="18"/>
        <v>9.9012929303889923</v>
      </c>
      <c r="D402">
        <v>34.601165085075202</v>
      </c>
      <c r="E402">
        <f t="shared" si="19"/>
        <v>37.308004521167319</v>
      </c>
      <c r="F402">
        <f t="shared" si="20"/>
        <v>35.743534217632131</v>
      </c>
      <c r="G402">
        <v>0</v>
      </c>
      <c r="H402">
        <v>9.7963208333333291</v>
      </c>
    </row>
    <row r="403" spans="1:8" x14ac:dyDescent="0.35">
      <c r="A403" t="s">
        <v>420</v>
      </c>
      <c r="B403">
        <v>9.7915347222222202</v>
      </c>
      <c r="C403">
        <f t="shared" si="18"/>
        <v>9.9205697243228919</v>
      </c>
      <c r="D403">
        <v>34.394010868605399</v>
      </c>
      <c r="E403">
        <f t="shared" si="19"/>
        <v>37.367019454719838</v>
      </c>
      <c r="F403">
        <f t="shared" si="20"/>
        <v>35.796203391224253</v>
      </c>
      <c r="G403">
        <v>0</v>
      </c>
      <c r="H403">
        <v>9.7915347222222202</v>
      </c>
    </row>
    <row r="404" spans="1:8" x14ac:dyDescent="0.35">
      <c r="A404" t="s">
        <v>421</v>
      </c>
      <c r="B404">
        <v>9.8278430555555492</v>
      </c>
      <c r="C404">
        <f t="shared" si="18"/>
        <v>9.9250836667174518</v>
      </c>
      <c r="D404">
        <v>34.345618963715999</v>
      </c>
      <c r="E404">
        <f t="shared" si="19"/>
        <v>36.919321139882243</v>
      </c>
      <c r="F404">
        <f t="shared" si="20"/>
        <v>35.397926756511481</v>
      </c>
      <c r="G404">
        <v>0</v>
      </c>
      <c r="H404">
        <v>9.8278430555555492</v>
      </c>
    </row>
    <row r="405" spans="1:8" x14ac:dyDescent="0.35">
      <c r="A405" t="s">
        <v>422</v>
      </c>
      <c r="B405">
        <v>9.7624388888888802</v>
      </c>
      <c r="C405">
        <f t="shared" si="18"/>
        <v>9.9422182680764397</v>
      </c>
      <c r="D405">
        <v>34.162326743897999</v>
      </c>
      <c r="E405">
        <f t="shared" si="19"/>
        <v>37.725784354021194</v>
      </c>
      <c r="F405">
        <f t="shared" si="20"/>
        <v>36.11750226218868</v>
      </c>
      <c r="G405">
        <v>0</v>
      </c>
      <c r="H405">
        <v>9.7624388888888802</v>
      </c>
    </row>
    <row r="406" spans="1:8" x14ac:dyDescent="0.35">
      <c r="A406" t="s">
        <v>423</v>
      </c>
      <c r="B406">
        <v>9.7279374999999995</v>
      </c>
      <c r="C406">
        <f t="shared" si="18"/>
        <v>9.8288525643301003</v>
      </c>
      <c r="D406">
        <v>35.386895205924603</v>
      </c>
      <c r="E406">
        <f t="shared" si="19"/>
        <v>38.151202219482116</v>
      </c>
      <c r="F406">
        <f t="shared" si="20"/>
        <v>36.500984253757288</v>
      </c>
      <c r="G406">
        <v>0</v>
      </c>
      <c r="H406">
        <v>9.7279374999999995</v>
      </c>
    </row>
    <row r="407" spans="1:8" x14ac:dyDescent="0.35">
      <c r="A407" t="s">
        <v>424</v>
      </c>
      <c r="B407">
        <v>9.7090083333333297</v>
      </c>
      <c r="C407">
        <f t="shared" si="18"/>
        <v>9.7558115181925817</v>
      </c>
      <c r="D407">
        <v>36.190954837889102</v>
      </c>
      <c r="E407">
        <f t="shared" si="19"/>
        <v>38.384607480476809</v>
      </c>
      <c r="F407">
        <f t="shared" si="20"/>
        <v>36.712539278689626</v>
      </c>
      <c r="G407">
        <v>0</v>
      </c>
      <c r="H407">
        <v>9.7090083333333297</v>
      </c>
    </row>
    <row r="408" spans="1:8" x14ac:dyDescent="0.35">
      <c r="A408" t="s">
        <v>425</v>
      </c>
      <c r="B408">
        <v>9.7122055555555509</v>
      </c>
      <c r="C408">
        <f t="shared" si="18"/>
        <v>9.8155634690253635</v>
      </c>
      <c r="D408">
        <v>35.532295356270701</v>
      </c>
      <c r="E408">
        <f t="shared" si="19"/>
        <v>38.345184271818106</v>
      </c>
      <c r="F408">
        <f t="shared" si="20"/>
        <v>36.676748794049097</v>
      </c>
      <c r="G408">
        <v>0</v>
      </c>
      <c r="H408">
        <v>9.7122055555555509</v>
      </c>
    </row>
    <row r="409" spans="1:8" x14ac:dyDescent="0.35">
      <c r="A409" t="s">
        <v>426</v>
      </c>
      <c r="B409">
        <v>9.7248861111111093</v>
      </c>
      <c r="C409">
        <f t="shared" si="18"/>
        <v>9.7761824606881973</v>
      </c>
      <c r="D409">
        <v>35.965496698396599</v>
      </c>
      <c r="E409">
        <f t="shared" si="19"/>
        <v>38.188827236607764</v>
      </c>
      <c r="F409">
        <f t="shared" si="20"/>
        <v>36.535031325085342</v>
      </c>
      <c r="G409">
        <v>0</v>
      </c>
      <c r="H409">
        <v>9.7248861111111093</v>
      </c>
    </row>
    <row r="410" spans="1:8" x14ac:dyDescent="0.35">
      <c r="A410" t="s">
        <v>427</v>
      </c>
      <c r="B410">
        <v>9.6477611111111106</v>
      </c>
      <c r="C410">
        <f t="shared" si="18"/>
        <v>9.7350292515486228</v>
      </c>
      <c r="D410">
        <v>36.421937693637197</v>
      </c>
      <c r="E410">
        <f t="shared" si="19"/>
        <v>39.139813673105898</v>
      </c>
      <c r="F410">
        <f t="shared" si="20"/>
        <v>37.402735341029484</v>
      </c>
      <c r="G410">
        <v>0</v>
      </c>
      <c r="H410">
        <v>9.6477611111111106</v>
      </c>
    </row>
    <row r="411" spans="1:8" x14ac:dyDescent="0.35">
      <c r="A411" t="s">
        <v>428</v>
      </c>
      <c r="B411">
        <v>9.6815874999999991</v>
      </c>
      <c r="C411">
        <f t="shared" si="18"/>
        <v>9.7169865482806834</v>
      </c>
      <c r="D411">
        <v>36.6232731391963</v>
      </c>
      <c r="E411">
        <f t="shared" si="19"/>
        <v>38.722718865598026</v>
      </c>
      <c r="F411">
        <f t="shared" si="20"/>
        <v>37.020465516660423</v>
      </c>
      <c r="G411">
        <v>0</v>
      </c>
      <c r="H411">
        <v>9.6815874999999991</v>
      </c>
    </row>
    <row r="412" spans="1:8" x14ac:dyDescent="0.35">
      <c r="A412" t="s">
        <v>429</v>
      </c>
      <c r="B412">
        <v>9.6965541666666599</v>
      </c>
      <c r="C412">
        <f t="shared" si="18"/>
        <v>9.6729718596143304</v>
      </c>
      <c r="D412">
        <v>37.1175765465319</v>
      </c>
      <c r="E412">
        <f t="shared" si="19"/>
        <v>38.538173037402451</v>
      </c>
      <c r="F412">
        <f t="shared" si="20"/>
        <v>36.852179287445757</v>
      </c>
      <c r="G412">
        <v>0</v>
      </c>
      <c r="H412">
        <v>9.6965541666666599</v>
      </c>
    </row>
    <row r="413" spans="1:8" x14ac:dyDescent="0.35">
      <c r="A413" t="s">
        <v>430</v>
      </c>
      <c r="B413">
        <v>9.7859944444444409</v>
      </c>
      <c r="C413">
        <f t="shared" si="18"/>
        <v>9.7306481524743642</v>
      </c>
      <c r="D413">
        <v>36.470756992747397</v>
      </c>
      <c r="E413">
        <f t="shared" si="19"/>
        <v>37.435333607343502</v>
      </c>
      <c r="F413">
        <f t="shared" si="20"/>
        <v>35.857236192333183</v>
      </c>
      <c r="G413">
        <v>0</v>
      </c>
      <c r="H413">
        <v>9.7859944444444409</v>
      </c>
    </row>
    <row r="414" spans="1:8" x14ac:dyDescent="0.35">
      <c r="A414" t="s">
        <v>431</v>
      </c>
      <c r="B414">
        <v>9.8443194444444408</v>
      </c>
      <c r="C414">
        <f t="shared" si="18"/>
        <v>9.7790341386872264</v>
      </c>
      <c r="D414">
        <v>35.934010319308598</v>
      </c>
      <c r="E414">
        <f t="shared" si="19"/>
        <v>36.716159747910702</v>
      </c>
      <c r="F414">
        <f t="shared" si="20"/>
        <v>35.218161557737091</v>
      </c>
      <c r="G414">
        <v>0</v>
      </c>
      <c r="H414">
        <v>9.8443194444444408</v>
      </c>
    </row>
    <row r="415" spans="1:8" x14ac:dyDescent="0.35">
      <c r="A415" t="s">
        <v>432</v>
      </c>
      <c r="B415">
        <v>9.8091666666666608</v>
      </c>
      <c r="C415">
        <f t="shared" si="18"/>
        <v>9.8509668661482124</v>
      </c>
      <c r="D415">
        <v>35.145805287817602</v>
      </c>
      <c r="E415">
        <f t="shared" si="19"/>
        <v>37.149609535552877</v>
      </c>
      <c r="F415">
        <f t="shared" si="20"/>
        <v>35.602425233568916</v>
      </c>
      <c r="G415">
        <v>0</v>
      </c>
      <c r="H415">
        <v>9.8091666666666608</v>
      </c>
    </row>
    <row r="416" spans="1:8" x14ac:dyDescent="0.35">
      <c r="A416" t="s">
        <v>433</v>
      </c>
      <c r="B416">
        <v>9.7417388888888894</v>
      </c>
      <c r="C416">
        <f t="shared" si="18"/>
        <v>9.886864395112287</v>
      </c>
      <c r="D416">
        <v>34.756747050838399</v>
      </c>
      <c r="E416">
        <f t="shared" si="19"/>
        <v>37.981024797917506</v>
      </c>
      <c r="F416">
        <f t="shared" si="20"/>
        <v>36.347256234096761</v>
      </c>
      <c r="G416">
        <v>0</v>
      </c>
      <c r="H416">
        <v>9.7417388888888894</v>
      </c>
    </row>
    <row r="417" spans="1:8" x14ac:dyDescent="0.35">
      <c r="A417" t="s">
        <v>434</v>
      </c>
      <c r="B417">
        <v>9.6333473290598199</v>
      </c>
      <c r="C417">
        <f t="shared" si="18"/>
        <v>9.8589958797344757</v>
      </c>
      <c r="D417">
        <v>35.058540679219703</v>
      </c>
      <c r="E417">
        <f t="shared" si="19"/>
        <v>39.317542181753133</v>
      </c>
      <c r="F417">
        <f t="shared" si="20"/>
        <v>37.566440243822029</v>
      </c>
      <c r="G417">
        <v>0</v>
      </c>
      <c r="H417">
        <v>9.6333473290598199</v>
      </c>
    </row>
    <row r="418" spans="1:8" x14ac:dyDescent="0.35">
      <c r="A418" t="s">
        <v>435</v>
      </c>
      <c r="B418">
        <v>9.6337772435897406</v>
      </c>
      <c r="C418">
        <f t="shared" si="18"/>
        <v>9.8780463313135733</v>
      </c>
      <c r="D418">
        <v>34.852055432655199</v>
      </c>
      <c r="E418">
        <f t="shared" si="19"/>
        <v>39.312241139460646</v>
      </c>
      <c r="F418">
        <f t="shared" si="20"/>
        <v>37.561550390861882</v>
      </c>
      <c r="G418">
        <v>0</v>
      </c>
      <c r="H418">
        <v>9.6337772435897406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7CE2F-1FAA-474A-9C53-F2D5911EFD4B}">
  <dimension ref="A1:N10"/>
  <sheetViews>
    <sheetView workbookViewId="0">
      <selection activeCell="B3" sqref="B3"/>
    </sheetView>
  </sheetViews>
  <sheetFormatPr defaultRowHeight="14.5" x14ac:dyDescent="0.35"/>
  <sheetData>
    <row r="1" spans="1:14" x14ac:dyDescent="0.35">
      <c r="A1" t="s">
        <v>17</v>
      </c>
      <c r="D1" t="s">
        <v>18</v>
      </c>
      <c r="G1" t="s">
        <v>19</v>
      </c>
      <c r="J1" t="s">
        <v>21</v>
      </c>
      <c r="M1" t="s">
        <v>20</v>
      </c>
    </row>
    <row r="2" spans="1:14" x14ac:dyDescent="0.35">
      <c r="A2" t="s">
        <v>15</v>
      </c>
      <c r="B2" t="s">
        <v>16</v>
      </c>
      <c r="D2" t="s">
        <v>15</v>
      </c>
      <c r="E2" t="s">
        <v>16</v>
      </c>
      <c r="G2" t="s">
        <v>15</v>
      </c>
      <c r="H2" t="s">
        <v>16</v>
      </c>
      <c r="J2" t="s">
        <v>15</v>
      </c>
      <c r="K2" t="s">
        <v>16</v>
      </c>
      <c r="M2" t="s">
        <v>15</v>
      </c>
      <c r="N2" t="s">
        <v>16</v>
      </c>
    </row>
    <row r="3" spans="1:14" x14ac:dyDescent="0.35">
      <c r="A3">
        <v>0</v>
      </c>
      <c r="B3">
        <v>0.68</v>
      </c>
      <c r="D3">
        <v>0</v>
      </c>
      <c r="E3">
        <v>0.66</v>
      </c>
      <c r="G3">
        <v>0</v>
      </c>
      <c r="H3">
        <v>0.66</v>
      </c>
      <c r="J3">
        <v>0</v>
      </c>
      <c r="K3">
        <v>0.54</v>
      </c>
      <c r="M3">
        <v>0</v>
      </c>
      <c r="N3">
        <v>0.65</v>
      </c>
    </row>
    <row r="4" spans="1:14" x14ac:dyDescent="0.35">
      <c r="A4">
        <v>2E-3</v>
      </c>
      <c r="B4">
        <v>0.75</v>
      </c>
      <c r="D4">
        <v>2E-3</v>
      </c>
      <c r="E4">
        <v>0.75</v>
      </c>
      <c r="G4">
        <v>2E-3</v>
      </c>
      <c r="H4">
        <v>0.78</v>
      </c>
      <c r="J4">
        <v>2E-3</v>
      </c>
      <c r="K4">
        <v>0.68</v>
      </c>
      <c r="M4">
        <v>2E-3</v>
      </c>
      <c r="N4">
        <v>0.75</v>
      </c>
    </row>
    <row r="5" spans="1:14" x14ac:dyDescent="0.35">
      <c r="A5">
        <v>4.0000000000000001E-3</v>
      </c>
      <c r="B5">
        <v>0.77</v>
      </c>
      <c r="D5">
        <v>4.0000000000000001E-3</v>
      </c>
      <c r="E5">
        <v>0.78</v>
      </c>
      <c r="G5">
        <v>4.0000000000000001E-3</v>
      </c>
      <c r="H5">
        <v>0.84</v>
      </c>
      <c r="J5">
        <v>4.0000000000000001E-3</v>
      </c>
      <c r="K5">
        <v>0.76</v>
      </c>
      <c r="M5">
        <v>4.0000000000000001E-3</v>
      </c>
      <c r="N5">
        <v>0.8</v>
      </c>
    </row>
    <row r="6" spans="1:14" x14ac:dyDescent="0.35">
      <c r="A6">
        <v>6.0000000000000001E-3</v>
      </c>
      <c r="B6">
        <v>0.76</v>
      </c>
      <c r="D6">
        <v>6.0000000000000001E-3</v>
      </c>
      <c r="E6">
        <v>0.77</v>
      </c>
      <c r="G6">
        <v>6.0000000000000001E-3</v>
      </c>
      <c r="H6">
        <v>0.85</v>
      </c>
      <c r="J6">
        <v>6.0000000000000001E-3</v>
      </c>
      <c r="K6">
        <v>0.8</v>
      </c>
      <c r="M6">
        <v>6.0000000000000001E-3</v>
      </c>
      <c r="N6">
        <v>0.81</v>
      </c>
    </row>
    <row r="7" spans="1:14" x14ac:dyDescent="0.35">
      <c r="A7">
        <v>8.0000000000000002E-3</v>
      </c>
      <c r="B7">
        <v>0.73</v>
      </c>
      <c r="D7">
        <v>8.0000000000000002E-3</v>
      </c>
      <c r="E7">
        <v>0.75</v>
      </c>
      <c r="G7">
        <v>8.0000000000000002E-3</v>
      </c>
      <c r="H7">
        <v>0.84</v>
      </c>
      <c r="J7">
        <v>8.0000000000000002E-3</v>
      </c>
      <c r="K7">
        <v>0.80979999999999996</v>
      </c>
      <c r="M7">
        <v>8.0000000000000002E-3</v>
      </c>
      <c r="N7">
        <v>0.79</v>
      </c>
    </row>
    <row r="8" spans="1:14" x14ac:dyDescent="0.35">
      <c r="A8">
        <v>0.01</v>
      </c>
      <c r="B8">
        <v>0.7</v>
      </c>
      <c r="D8">
        <v>0.01</v>
      </c>
      <c r="E8">
        <v>0.72</v>
      </c>
      <c r="G8">
        <v>0.01</v>
      </c>
      <c r="H8">
        <v>0.82</v>
      </c>
      <c r="J8">
        <v>0.01</v>
      </c>
      <c r="K8">
        <v>0.80649999999999999</v>
      </c>
      <c r="M8">
        <v>0.01</v>
      </c>
      <c r="N8">
        <v>0.77</v>
      </c>
    </row>
    <row r="9" spans="1:14" x14ac:dyDescent="0.35">
      <c r="A9">
        <v>1.4999999999999999E-2</v>
      </c>
      <c r="B9">
        <v>0.62</v>
      </c>
      <c r="D9">
        <v>1.4999999999999999E-2</v>
      </c>
      <c r="E9">
        <v>0.64</v>
      </c>
      <c r="G9">
        <v>1.4999999999999999E-2</v>
      </c>
      <c r="H9">
        <v>0.76</v>
      </c>
      <c r="J9">
        <v>1.4999999999999999E-2</v>
      </c>
      <c r="K9">
        <v>0.77</v>
      </c>
      <c r="M9">
        <v>1.4999999999999999E-2</v>
      </c>
      <c r="N9">
        <v>0.71</v>
      </c>
    </row>
    <row r="10" spans="1:14" x14ac:dyDescent="0.35">
      <c r="A10">
        <v>0.02</v>
      </c>
      <c r="B10">
        <v>0.55000000000000004</v>
      </c>
      <c r="D10">
        <v>0.02</v>
      </c>
      <c r="E10">
        <v>0.57999999999999996</v>
      </c>
      <c r="G10">
        <v>0.02</v>
      </c>
      <c r="H10">
        <v>0.7</v>
      </c>
      <c r="J10">
        <v>0.02</v>
      </c>
      <c r="K10">
        <v>0.73</v>
      </c>
      <c r="M10">
        <v>0.02</v>
      </c>
      <c r="N10">
        <v>0.65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selhausen_SM_Kdose_daily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Akter</dc:creator>
  <cp:lastModifiedBy>Sonia Akter</cp:lastModifiedBy>
  <dcterms:created xsi:type="dcterms:W3CDTF">2023-09-04T15:01:05Z</dcterms:created>
  <dcterms:modified xsi:type="dcterms:W3CDTF">2026-09-14T10:18:32Z</dcterms:modified>
</cp:coreProperties>
</file>